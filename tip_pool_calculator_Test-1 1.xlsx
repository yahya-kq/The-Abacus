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MalikMuhammadNasir\Desktop\"/>
    </mc:Choice>
  </mc:AlternateContent>
  <xr:revisionPtr revIDLastSave="2" documentId="13_ncr:1_{71858BC8-3B28-40F3-BF44-901AD413C608}" xr6:coauthVersionLast="47" xr6:coauthVersionMax="47" xr10:uidLastSave="{8826A709-DCEF-4014-8E5A-2B3EA7166085}"/>
  <bookViews>
    <workbookView xWindow="-108" yWindow="-108" windowWidth="23256" windowHeight="13896" tabRatio="500" firstSheet="4" activeTab="1" xr2:uid="{00000000-000D-0000-FFFF-FFFF00000000}"/>
  </bookViews>
  <sheets>
    <sheet name="Instructions" sheetId="1" r:id="rId1"/>
    <sheet name="Settings" sheetId="2" r:id="rId2"/>
    <sheet name="Time Card Data" sheetId="3" r:id="rId3"/>
    <sheet name="Pool by Date" sheetId="4" r:id="rId4"/>
    <sheet name="Employee Totals"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 i="4" l="1"/>
  <c r="S601" i="3"/>
  <c r="R601" i="3"/>
  <c r="S600" i="3"/>
  <c r="T600" i="3" s="1"/>
  <c r="R600" i="3"/>
  <c r="S599" i="3"/>
  <c r="R599" i="3"/>
  <c r="S598" i="3"/>
  <c r="R598" i="3"/>
  <c r="S597" i="3"/>
  <c r="R597" i="3"/>
  <c r="S596" i="3"/>
  <c r="R596" i="3"/>
  <c r="S595" i="3"/>
  <c r="R595" i="3"/>
  <c r="S594" i="3"/>
  <c r="T594" i="3" s="1"/>
  <c r="R594" i="3"/>
  <c r="S593" i="3"/>
  <c r="R593" i="3"/>
  <c r="S592" i="3"/>
  <c r="R592" i="3"/>
  <c r="S591" i="3"/>
  <c r="R591" i="3"/>
  <c r="S590" i="3"/>
  <c r="R590" i="3"/>
  <c r="S589" i="3"/>
  <c r="R589" i="3"/>
  <c r="S588" i="3"/>
  <c r="R588" i="3"/>
  <c r="S587" i="3"/>
  <c r="T587" i="3" s="1"/>
  <c r="R587" i="3"/>
  <c r="S586" i="3"/>
  <c r="R586" i="3"/>
  <c r="S585" i="3"/>
  <c r="R585" i="3"/>
  <c r="S584" i="3"/>
  <c r="R584" i="3"/>
  <c r="S583" i="3"/>
  <c r="R583" i="3"/>
  <c r="S582" i="3"/>
  <c r="R582" i="3"/>
  <c r="S581" i="3"/>
  <c r="R581" i="3"/>
  <c r="S580" i="3"/>
  <c r="R580" i="3"/>
  <c r="S579" i="3"/>
  <c r="R579" i="3"/>
  <c r="S578" i="3"/>
  <c r="R578" i="3"/>
  <c r="S577" i="3"/>
  <c r="R577" i="3"/>
  <c r="S576" i="3"/>
  <c r="R576" i="3"/>
  <c r="S575" i="3"/>
  <c r="R575" i="3"/>
  <c r="S574" i="3"/>
  <c r="R574" i="3"/>
  <c r="S573" i="3"/>
  <c r="R573" i="3"/>
  <c r="S572" i="3"/>
  <c r="R572" i="3"/>
  <c r="S571" i="3"/>
  <c r="R571" i="3"/>
  <c r="S570" i="3"/>
  <c r="R570" i="3"/>
  <c r="S569" i="3"/>
  <c r="R569" i="3"/>
  <c r="S568" i="3"/>
  <c r="R568" i="3"/>
  <c r="S567" i="3"/>
  <c r="R567" i="3"/>
  <c r="S566" i="3"/>
  <c r="R566" i="3"/>
  <c r="S565" i="3"/>
  <c r="T565" i="3" s="1"/>
  <c r="R565" i="3"/>
  <c r="S564" i="3"/>
  <c r="R564" i="3"/>
  <c r="S563" i="3"/>
  <c r="R563" i="3"/>
  <c r="S562" i="3"/>
  <c r="T562" i="3" s="1"/>
  <c r="R562" i="3"/>
  <c r="S561" i="3"/>
  <c r="R561" i="3"/>
  <c r="S560" i="3"/>
  <c r="R560" i="3"/>
  <c r="S559" i="3"/>
  <c r="R559" i="3"/>
  <c r="S558" i="3"/>
  <c r="R558" i="3"/>
  <c r="S557" i="3"/>
  <c r="R557" i="3"/>
  <c r="S556" i="3"/>
  <c r="R556" i="3"/>
  <c r="S555" i="3"/>
  <c r="R555" i="3"/>
  <c r="S554" i="3"/>
  <c r="R554" i="3"/>
  <c r="S553" i="3"/>
  <c r="R553" i="3"/>
  <c r="S552" i="3"/>
  <c r="R552" i="3"/>
  <c r="S551" i="3"/>
  <c r="R551" i="3"/>
  <c r="S550" i="3"/>
  <c r="R550" i="3"/>
  <c r="S549" i="3"/>
  <c r="R549" i="3"/>
  <c r="S548" i="3"/>
  <c r="R548" i="3"/>
  <c r="S547" i="3"/>
  <c r="R547" i="3"/>
  <c r="S546" i="3"/>
  <c r="T546" i="3" s="1"/>
  <c r="R546" i="3"/>
  <c r="S545" i="3"/>
  <c r="T545" i="3" s="1"/>
  <c r="R545" i="3"/>
  <c r="S544" i="3"/>
  <c r="R544" i="3"/>
  <c r="S543" i="3"/>
  <c r="R543" i="3"/>
  <c r="S542" i="3"/>
  <c r="R542" i="3"/>
  <c r="S541" i="3"/>
  <c r="R541" i="3"/>
  <c r="S540" i="3"/>
  <c r="R540" i="3"/>
  <c r="S539" i="3"/>
  <c r="R539" i="3"/>
  <c r="S538" i="3"/>
  <c r="R538" i="3"/>
  <c r="S537" i="3"/>
  <c r="R537" i="3"/>
  <c r="S536" i="3"/>
  <c r="R536" i="3"/>
  <c r="S535" i="3"/>
  <c r="T535" i="3" s="1"/>
  <c r="R535" i="3"/>
  <c r="S534" i="3"/>
  <c r="R534" i="3"/>
  <c r="S533" i="3"/>
  <c r="R533" i="3"/>
  <c r="S532" i="3"/>
  <c r="R532" i="3"/>
  <c r="S531" i="3"/>
  <c r="R531" i="3"/>
  <c r="S530" i="3"/>
  <c r="R530" i="3"/>
  <c r="S529" i="3"/>
  <c r="R529" i="3"/>
  <c r="S528" i="3"/>
  <c r="R528" i="3"/>
  <c r="S527" i="3"/>
  <c r="R527" i="3"/>
  <c r="S526" i="3"/>
  <c r="T526" i="3" s="1"/>
  <c r="R526" i="3"/>
  <c r="S525" i="3"/>
  <c r="R525" i="3"/>
  <c r="S524" i="3"/>
  <c r="R524" i="3"/>
  <c r="S523" i="3"/>
  <c r="R523" i="3"/>
  <c r="S522" i="3"/>
  <c r="R522" i="3"/>
  <c r="S521" i="3"/>
  <c r="R521" i="3"/>
  <c r="S520" i="3"/>
  <c r="R520" i="3"/>
  <c r="S519" i="3"/>
  <c r="T519" i="3" s="1"/>
  <c r="R519" i="3"/>
  <c r="S518" i="3"/>
  <c r="R518" i="3"/>
  <c r="S517" i="3"/>
  <c r="T517" i="3" s="1"/>
  <c r="R517" i="3"/>
  <c r="S516" i="3"/>
  <c r="R516" i="3"/>
  <c r="S515" i="3"/>
  <c r="R515" i="3"/>
  <c r="S514" i="3"/>
  <c r="R514" i="3"/>
  <c r="S513" i="3"/>
  <c r="R513" i="3"/>
  <c r="S512" i="3"/>
  <c r="R512" i="3"/>
  <c r="S511" i="3"/>
  <c r="R511" i="3"/>
  <c r="S510" i="3"/>
  <c r="R510" i="3"/>
  <c r="S509" i="3"/>
  <c r="R509" i="3"/>
  <c r="S508" i="3"/>
  <c r="R508" i="3"/>
  <c r="S507" i="3"/>
  <c r="R507" i="3"/>
  <c r="S506" i="3"/>
  <c r="R506" i="3"/>
  <c r="S505" i="3"/>
  <c r="R505" i="3"/>
  <c r="S504" i="3"/>
  <c r="R504" i="3"/>
  <c r="S503" i="3"/>
  <c r="R503" i="3"/>
  <c r="S502" i="3"/>
  <c r="R502" i="3"/>
  <c r="S501" i="3"/>
  <c r="R501" i="3"/>
  <c r="S500" i="3"/>
  <c r="T500" i="3" s="1"/>
  <c r="R500" i="3"/>
  <c r="S499" i="3"/>
  <c r="R499" i="3"/>
  <c r="S498" i="3"/>
  <c r="R498" i="3"/>
  <c r="S497" i="3"/>
  <c r="R497" i="3"/>
  <c r="S496" i="3"/>
  <c r="R496" i="3"/>
  <c r="S495" i="3"/>
  <c r="R495" i="3"/>
  <c r="S494" i="3"/>
  <c r="R494" i="3"/>
  <c r="S493" i="3"/>
  <c r="R493" i="3"/>
  <c r="S492" i="3"/>
  <c r="R492" i="3"/>
  <c r="S491" i="3"/>
  <c r="R491" i="3"/>
  <c r="S490" i="3"/>
  <c r="T490" i="3" s="1"/>
  <c r="R490" i="3"/>
  <c r="S489" i="3"/>
  <c r="R489" i="3"/>
  <c r="S488" i="3"/>
  <c r="R488" i="3"/>
  <c r="S487" i="3"/>
  <c r="R487" i="3"/>
  <c r="S486" i="3"/>
  <c r="R486" i="3"/>
  <c r="S485" i="3"/>
  <c r="R485" i="3"/>
  <c r="S484" i="3"/>
  <c r="R484" i="3"/>
  <c r="S483" i="3"/>
  <c r="R483" i="3"/>
  <c r="S482" i="3"/>
  <c r="R482" i="3"/>
  <c r="S481" i="3"/>
  <c r="R481" i="3"/>
  <c r="S480" i="3"/>
  <c r="R480" i="3"/>
  <c r="S479" i="3"/>
  <c r="R479" i="3"/>
  <c r="S478" i="3"/>
  <c r="R478" i="3"/>
  <c r="S477" i="3"/>
  <c r="R477" i="3"/>
  <c r="S476" i="3"/>
  <c r="T476" i="3" s="1"/>
  <c r="R476" i="3"/>
  <c r="S475" i="3"/>
  <c r="T475" i="3" s="1"/>
  <c r="R475" i="3"/>
  <c r="S474" i="3"/>
  <c r="R474" i="3"/>
  <c r="S473" i="3"/>
  <c r="R473" i="3"/>
  <c r="S472" i="3"/>
  <c r="R472" i="3"/>
  <c r="S471" i="3"/>
  <c r="R471" i="3"/>
  <c r="S470" i="3"/>
  <c r="R470" i="3"/>
  <c r="S469" i="3"/>
  <c r="R469" i="3"/>
  <c r="S468" i="3"/>
  <c r="T468" i="3" s="1"/>
  <c r="R468" i="3"/>
  <c r="S467" i="3"/>
  <c r="T467" i="3" s="1"/>
  <c r="R467" i="3"/>
  <c r="S466" i="3"/>
  <c r="R466" i="3"/>
  <c r="S465" i="3"/>
  <c r="R465" i="3"/>
  <c r="S464" i="3"/>
  <c r="T464" i="3" s="1"/>
  <c r="R464" i="3"/>
  <c r="S463" i="3"/>
  <c r="R463" i="3"/>
  <c r="S462" i="3"/>
  <c r="T462" i="3" s="1"/>
  <c r="R462" i="3"/>
  <c r="S461" i="3"/>
  <c r="R461" i="3"/>
  <c r="S460" i="3"/>
  <c r="R460" i="3"/>
  <c r="S459" i="3"/>
  <c r="R459" i="3"/>
  <c r="S458" i="3"/>
  <c r="R458" i="3"/>
  <c r="S457" i="3"/>
  <c r="R457" i="3"/>
  <c r="S456" i="3"/>
  <c r="R456" i="3"/>
  <c r="S455" i="3"/>
  <c r="R455" i="3"/>
  <c r="S454" i="3"/>
  <c r="R454" i="3"/>
  <c r="S453" i="3"/>
  <c r="R453" i="3"/>
  <c r="S452" i="3"/>
  <c r="R452" i="3"/>
  <c r="S451" i="3"/>
  <c r="T451" i="3" s="1"/>
  <c r="R451" i="3"/>
  <c r="S450" i="3"/>
  <c r="R450" i="3"/>
  <c r="S449" i="3"/>
  <c r="R449" i="3"/>
  <c r="S448" i="3"/>
  <c r="R448" i="3"/>
  <c r="S447" i="3"/>
  <c r="T447" i="3" s="1"/>
  <c r="R447" i="3"/>
  <c r="S446" i="3"/>
  <c r="R446" i="3"/>
  <c r="S445" i="3"/>
  <c r="R445" i="3"/>
  <c r="S444" i="3"/>
  <c r="R444" i="3"/>
  <c r="S443" i="3"/>
  <c r="R443" i="3"/>
  <c r="S442" i="3"/>
  <c r="R442" i="3"/>
  <c r="S441" i="3"/>
  <c r="R441" i="3"/>
  <c r="S440" i="3"/>
  <c r="R440" i="3"/>
  <c r="S439" i="3"/>
  <c r="R439" i="3"/>
  <c r="S438" i="3"/>
  <c r="R438" i="3"/>
  <c r="S437" i="3"/>
  <c r="R437" i="3"/>
  <c r="S436" i="3"/>
  <c r="R436" i="3"/>
  <c r="S435" i="3"/>
  <c r="R435" i="3"/>
  <c r="S434" i="3"/>
  <c r="R434" i="3"/>
  <c r="S433" i="3"/>
  <c r="R433" i="3"/>
  <c r="S432" i="3"/>
  <c r="R432" i="3"/>
  <c r="S431" i="3"/>
  <c r="R431" i="3"/>
  <c r="S430" i="3"/>
  <c r="R430" i="3"/>
  <c r="S429" i="3"/>
  <c r="R429" i="3"/>
  <c r="S428" i="3"/>
  <c r="R428" i="3"/>
  <c r="S427" i="3"/>
  <c r="R427" i="3"/>
  <c r="S426" i="3"/>
  <c r="R426" i="3"/>
  <c r="S425" i="3"/>
  <c r="R425" i="3"/>
  <c r="S424" i="3"/>
  <c r="R424" i="3"/>
  <c r="S423" i="3"/>
  <c r="R423" i="3"/>
  <c r="S422" i="3"/>
  <c r="R422" i="3"/>
  <c r="S421" i="3"/>
  <c r="R421" i="3"/>
  <c r="S420" i="3"/>
  <c r="R420" i="3"/>
  <c r="S419" i="3"/>
  <c r="R419" i="3"/>
  <c r="S418" i="3"/>
  <c r="T418" i="3" s="1"/>
  <c r="R418" i="3"/>
  <c r="S417" i="3"/>
  <c r="R417" i="3"/>
  <c r="S416" i="3"/>
  <c r="R416" i="3"/>
  <c r="S415" i="3"/>
  <c r="R415" i="3"/>
  <c r="S414" i="3"/>
  <c r="R414" i="3"/>
  <c r="S413" i="3"/>
  <c r="R413" i="3"/>
  <c r="S412" i="3"/>
  <c r="R412" i="3"/>
  <c r="S411" i="3"/>
  <c r="R411" i="3"/>
  <c r="S410" i="3"/>
  <c r="R410" i="3"/>
  <c r="S409" i="3"/>
  <c r="R409" i="3"/>
  <c r="S408" i="3"/>
  <c r="R408" i="3"/>
  <c r="S407" i="3"/>
  <c r="R407" i="3"/>
  <c r="S406" i="3"/>
  <c r="R406" i="3"/>
  <c r="S405" i="3"/>
  <c r="R405" i="3"/>
  <c r="S404" i="3"/>
  <c r="R404" i="3"/>
  <c r="S403" i="3"/>
  <c r="R403" i="3"/>
  <c r="S402" i="3"/>
  <c r="R402" i="3"/>
  <c r="S401" i="3"/>
  <c r="R401" i="3"/>
  <c r="S400" i="3"/>
  <c r="T400" i="3" s="1"/>
  <c r="R400" i="3"/>
  <c r="S399" i="3"/>
  <c r="R399" i="3"/>
  <c r="S398" i="3"/>
  <c r="R398" i="3"/>
  <c r="S397" i="3"/>
  <c r="T397" i="3" s="1"/>
  <c r="R397" i="3"/>
  <c r="S396" i="3"/>
  <c r="R396" i="3"/>
  <c r="S395" i="3"/>
  <c r="R395" i="3"/>
  <c r="S394" i="3"/>
  <c r="R394" i="3"/>
  <c r="S393" i="3"/>
  <c r="R393" i="3"/>
  <c r="S392" i="3"/>
  <c r="R392" i="3"/>
  <c r="S391" i="3"/>
  <c r="R391" i="3"/>
  <c r="S390" i="3"/>
  <c r="R390" i="3"/>
  <c r="S389" i="3"/>
  <c r="R389" i="3"/>
  <c r="S388" i="3"/>
  <c r="R388" i="3"/>
  <c r="S387" i="3"/>
  <c r="R387" i="3"/>
  <c r="S386" i="3"/>
  <c r="R386" i="3"/>
  <c r="S385" i="3"/>
  <c r="R385" i="3"/>
  <c r="S384" i="3"/>
  <c r="R384" i="3"/>
  <c r="S383" i="3"/>
  <c r="R383" i="3"/>
  <c r="S382" i="3"/>
  <c r="R382" i="3"/>
  <c r="S381" i="3"/>
  <c r="R381" i="3"/>
  <c r="S380" i="3"/>
  <c r="R380" i="3"/>
  <c r="S379" i="3"/>
  <c r="R379" i="3"/>
  <c r="S378" i="3"/>
  <c r="R378" i="3"/>
  <c r="S377" i="3"/>
  <c r="R377" i="3"/>
  <c r="S376" i="3"/>
  <c r="R376" i="3"/>
  <c r="S375" i="3"/>
  <c r="R375" i="3"/>
  <c r="S374" i="3"/>
  <c r="R374" i="3"/>
  <c r="S373" i="3"/>
  <c r="R373" i="3"/>
  <c r="S372" i="3"/>
  <c r="R372" i="3"/>
  <c r="S371" i="3"/>
  <c r="R371" i="3"/>
  <c r="S370" i="3"/>
  <c r="R370" i="3"/>
  <c r="S369" i="3"/>
  <c r="R369" i="3"/>
  <c r="S368" i="3"/>
  <c r="T368" i="3" s="1"/>
  <c r="R368" i="3"/>
  <c r="S367" i="3"/>
  <c r="R367" i="3"/>
  <c r="S366" i="3"/>
  <c r="R366" i="3"/>
  <c r="S365" i="3"/>
  <c r="R365" i="3"/>
  <c r="S364" i="3"/>
  <c r="T364" i="3" s="1"/>
  <c r="R364" i="3"/>
  <c r="S363" i="3"/>
  <c r="R363" i="3"/>
  <c r="S362" i="3"/>
  <c r="R362" i="3"/>
  <c r="S361" i="3"/>
  <c r="R361" i="3"/>
  <c r="S360" i="3"/>
  <c r="T360" i="3" s="1"/>
  <c r="R360" i="3"/>
  <c r="S359" i="3"/>
  <c r="R359" i="3"/>
  <c r="S358" i="3"/>
  <c r="R358" i="3"/>
  <c r="S357" i="3"/>
  <c r="R357" i="3"/>
  <c r="S356" i="3"/>
  <c r="R356" i="3"/>
  <c r="S355" i="3"/>
  <c r="T355" i="3" s="1"/>
  <c r="R355" i="3"/>
  <c r="S354" i="3"/>
  <c r="R354" i="3"/>
  <c r="S353" i="3"/>
  <c r="R353" i="3"/>
  <c r="S352" i="3"/>
  <c r="R352" i="3"/>
  <c r="S351" i="3"/>
  <c r="R351" i="3"/>
  <c r="S350" i="3"/>
  <c r="R350" i="3"/>
  <c r="S349" i="3"/>
  <c r="R349" i="3"/>
  <c r="S348" i="3"/>
  <c r="T348" i="3" s="1"/>
  <c r="R348" i="3"/>
  <c r="S347" i="3"/>
  <c r="R347" i="3"/>
  <c r="S346" i="3"/>
  <c r="R346" i="3"/>
  <c r="S345" i="3"/>
  <c r="R345" i="3"/>
  <c r="S344" i="3"/>
  <c r="R344" i="3"/>
  <c r="S343" i="3"/>
  <c r="T343" i="3" s="1"/>
  <c r="R343" i="3"/>
  <c r="S342" i="3"/>
  <c r="R342" i="3"/>
  <c r="S341" i="3"/>
  <c r="R341" i="3"/>
  <c r="S340" i="3"/>
  <c r="R340" i="3"/>
  <c r="S339" i="3"/>
  <c r="R339" i="3"/>
  <c r="S338" i="3"/>
  <c r="R338" i="3"/>
  <c r="S337" i="3"/>
  <c r="R337" i="3"/>
  <c r="S336" i="3"/>
  <c r="R336" i="3"/>
  <c r="S335" i="3"/>
  <c r="R335" i="3"/>
  <c r="S334" i="3"/>
  <c r="R334" i="3"/>
  <c r="S333" i="3"/>
  <c r="R333" i="3"/>
  <c r="S332" i="3"/>
  <c r="R332" i="3"/>
  <c r="S331" i="3"/>
  <c r="R331" i="3"/>
  <c r="S330" i="3"/>
  <c r="R330" i="3"/>
  <c r="S329" i="3"/>
  <c r="R329" i="3"/>
  <c r="S328" i="3"/>
  <c r="R328" i="3"/>
  <c r="S327" i="3"/>
  <c r="T327" i="3" s="1"/>
  <c r="R327" i="3"/>
  <c r="S326" i="3"/>
  <c r="R326" i="3"/>
  <c r="S325" i="3"/>
  <c r="R325" i="3"/>
  <c r="S324" i="3"/>
  <c r="R324" i="3"/>
  <c r="S323" i="3"/>
  <c r="R323" i="3"/>
  <c r="S322" i="3"/>
  <c r="R322" i="3"/>
  <c r="S321" i="3"/>
  <c r="R321" i="3"/>
  <c r="S320" i="3"/>
  <c r="R320" i="3"/>
  <c r="S319" i="3"/>
  <c r="R319" i="3"/>
  <c r="S318" i="3"/>
  <c r="R318" i="3"/>
  <c r="S317" i="3"/>
  <c r="R317" i="3"/>
  <c r="S316" i="3"/>
  <c r="R316" i="3"/>
  <c r="S315" i="3"/>
  <c r="R315" i="3"/>
  <c r="S314" i="3"/>
  <c r="T314" i="3" s="1"/>
  <c r="R314" i="3"/>
  <c r="S313" i="3"/>
  <c r="R313" i="3"/>
  <c r="S312" i="3"/>
  <c r="T312" i="3" s="1"/>
  <c r="R312" i="3"/>
  <c r="S311" i="3"/>
  <c r="R311" i="3"/>
  <c r="S310" i="3"/>
  <c r="R310" i="3"/>
  <c r="S309" i="3"/>
  <c r="R309" i="3"/>
  <c r="S308" i="3"/>
  <c r="R308" i="3"/>
  <c r="S307" i="3"/>
  <c r="R307" i="3"/>
  <c r="S306" i="3"/>
  <c r="R306" i="3"/>
  <c r="S305" i="3"/>
  <c r="R305" i="3"/>
  <c r="S304" i="3"/>
  <c r="R304" i="3"/>
  <c r="S303" i="3"/>
  <c r="R303" i="3"/>
  <c r="S302" i="3"/>
  <c r="R302" i="3"/>
  <c r="S301" i="3"/>
  <c r="R301" i="3"/>
  <c r="S300" i="3"/>
  <c r="R300" i="3"/>
  <c r="S299" i="3"/>
  <c r="R299" i="3"/>
  <c r="S298" i="3"/>
  <c r="R298" i="3"/>
  <c r="S297" i="3"/>
  <c r="R297" i="3"/>
  <c r="S296" i="3"/>
  <c r="R296" i="3"/>
  <c r="S295" i="3"/>
  <c r="R295" i="3"/>
  <c r="S294" i="3"/>
  <c r="R294" i="3"/>
  <c r="S293" i="3"/>
  <c r="R293" i="3"/>
  <c r="S292" i="3"/>
  <c r="R292" i="3"/>
  <c r="S291" i="3"/>
  <c r="R291" i="3"/>
  <c r="S290" i="3"/>
  <c r="R290" i="3"/>
  <c r="S289" i="3"/>
  <c r="R289" i="3"/>
  <c r="S288" i="3"/>
  <c r="R288" i="3"/>
  <c r="S287" i="3"/>
  <c r="R287" i="3"/>
  <c r="S286" i="3"/>
  <c r="R286" i="3"/>
  <c r="S285" i="3"/>
  <c r="R285" i="3"/>
  <c r="S284" i="3"/>
  <c r="T284" i="3" s="1"/>
  <c r="R284" i="3"/>
  <c r="S283" i="3"/>
  <c r="R283" i="3"/>
  <c r="S282" i="3"/>
  <c r="R282" i="3"/>
  <c r="S281" i="3"/>
  <c r="R281" i="3"/>
  <c r="S280" i="3"/>
  <c r="R280" i="3"/>
  <c r="S279" i="3"/>
  <c r="R279" i="3"/>
  <c r="S278" i="3"/>
  <c r="R278" i="3"/>
  <c r="S277" i="3"/>
  <c r="R277" i="3"/>
  <c r="S276" i="3"/>
  <c r="R276" i="3"/>
  <c r="S275" i="3"/>
  <c r="R275" i="3"/>
  <c r="S274" i="3"/>
  <c r="R274" i="3"/>
  <c r="S273" i="3"/>
  <c r="R273" i="3"/>
  <c r="S272" i="3"/>
  <c r="R272" i="3"/>
  <c r="S271" i="3"/>
  <c r="R271" i="3"/>
  <c r="S270" i="3"/>
  <c r="R270" i="3"/>
  <c r="S269" i="3"/>
  <c r="R269" i="3"/>
  <c r="S268" i="3"/>
  <c r="R268" i="3"/>
  <c r="S267" i="3"/>
  <c r="R267" i="3"/>
  <c r="S266" i="3"/>
  <c r="T266" i="3" s="1"/>
  <c r="R266" i="3"/>
  <c r="S265" i="3"/>
  <c r="R265" i="3"/>
  <c r="S264" i="3"/>
  <c r="R264" i="3"/>
  <c r="S263" i="3"/>
  <c r="R263" i="3"/>
  <c r="S262" i="3"/>
  <c r="T262" i="3" s="1"/>
  <c r="R262" i="3"/>
  <c r="S261" i="3"/>
  <c r="R261" i="3"/>
  <c r="S260" i="3"/>
  <c r="R260" i="3"/>
  <c r="S259" i="3"/>
  <c r="R259" i="3"/>
  <c r="S258" i="3"/>
  <c r="R258" i="3"/>
  <c r="S257" i="3"/>
  <c r="T257" i="3" s="1"/>
  <c r="R257" i="3"/>
  <c r="S256" i="3"/>
  <c r="T256" i="3" s="1"/>
  <c r="R256" i="3"/>
  <c r="S255" i="3"/>
  <c r="R255" i="3"/>
  <c r="S254" i="3"/>
  <c r="R254" i="3"/>
  <c r="S253" i="3"/>
  <c r="R253" i="3"/>
  <c r="S252" i="3"/>
  <c r="T252" i="3" s="1"/>
  <c r="R252" i="3"/>
  <c r="S251" i="3"/>
  <c r="R251" i="3"/>
  <c r="S250" i="3"/>
  <c r="R250" i="3"/>
  <c r="S249" i="3"/>
  <c r="R249" i="3"/>
  <c r="S248" i="3"/>
  <c r="R248" i="3"/>
  <c r="S247" i="3"/>
  <c r="R247" i="3"/>
  <c r="S246" i="3"/>
  <c r="R246" i="3"/>
  <c r="S245" i="3"/>
  <c r="R245" i="3"/>
  <c r="S244" i="3"/>
  <c r="R244" i="3"/>
  <c r="S243" i="3"/>
  <c r="R243" i="3"/>
  <c r="S242" i="3"/>
  <c r="R242" i="3"/>
  <c r="S241" i="3"/>
  <c r="R241" i="3"/>
  <c r="S240" i="3"/>
  <c r="R240" i="3"/>
  <c r="S239" i="3"/>
  <c r="R239" i="3"/>
  <c r="S238" i="3"/>
  <c r="R238" i="3"/>
  <c r="S237" i="3"/>
  <c r="R237" i="3"/>
  <c r="S236" i="3"/>
  <c r="R236" i="3"/>
  <c r="S235" i="3"/>
  <c r="R235" i="3"/>
  <c r="S234" i="3"/>
  <c r="R234" i="3"/>
  <c r="S233" i="3"/>
  <c r="R233" i="3"/>
  <c r="S232" i="3"/>
  <c r="R232" i="3"/>
  <c r="S231" i="3"/>
  <c r="R231" i="3"/>
  <c r="S230" i="3"/>
  <c r="R230" i="3"/>
  <c r="S229" i="3"/>
  <c r="R229" i="3"/>
  <c r="S228" i="3"/>
  <c r="R228" i="3"/>
  <c r="S227" i="3"/>
  <c r="T227" i="3" s="1"/>
  <c r="R227" i="3"/>
  <c r="S226" i="3"/>
  <c r="R226" i="3"/>
  <c r="S225" i="3"/>
  <c r="R225" i="3"/>
  <c r="S224" i="3"/>
  <c r="R224" i="3"/>
  <c r="S223" i="3"/>
  <c r="R223" i="3"/>
  <c r="S222" i="3"/>
  <c r="R222" i="3"/>
  <c r="S221" i="3"/>
  <c r="R221" i="3"/>
  <c r="S220" i="3"/>
  <c r="R220" i="3"/>
  <c r="S219" i="3"/>
  <c r="T219" i="3" s="1"/>
  <c r="R219" i="3"/>
  <c r="S218" i="3"/>
  <c r="R218" i="3"/>
  <c r="S217" i="3"/>
  <c r="R217" i="3"/>
  <c r="S216" i="3"/>
  <c r="R216" i="3"/>
  <c r="S215" i="3"/>
  <c r="R215" i="3"/>
  <c r="S214" i="3"/>
  <c r="R214" i="3"/>
  <c r="S213" i="3"/>
  <c r="R213" i="3"/>
  <c r="S212" i="3"/>
  <c r="R212" i="3"/>
  <c r="S211" i="3"/>
  <c r="R211" i="3"/>
  <c r="S210" i="3"/>
  <c r="R210" i="3"/>
  <c r="S209" i="3"/>
  <c r="R209" i="3"/>
  <c r="S208" i="3"/>
  <c r="R208" i="3"/>
  <c r="S207" i="3"/>
  <c r="R207" i="3"/>
  <c r="S206" i="3"/>
  <c r="R206" i="3"/>
  <c r="S205" i="3"/>
  <c r="T205" i="3" s="1"/>
  <c r="R205" i="3"/>
  <c r="S204" i="3"/>
  <c r="R204" i="3"/>
  <c r="S203" i="3"/>
  <c r="R203" i="3"/>
  <c r="S202" i="3"/>
  <c r="R202" i="3"/>
  <c r="S201" i="3"/>
  <c r="R201" i="3"/>
  <c r="S200" i="3"/>
  <c r="R200" i="3"/>
  <c r="S199" i="3"/>
  <c r="R199" i="3"/>
  <c r="S198" i="3"/>
  <c r="R198" i="3"/>
  <c r="S197" i="3"/>
  <c r="T197" i="3" s="1"/>
  <c r="R197" i="3"/>
  <c r="S196" i="3"/>
  <c r="R196" i="3"/>
  <c r="S195" i="3"/>
  <c r="R195" i="3"/>
  <c r="S194" i="3"/>
  <c r="T194" i="3" s="1"/>
  <c r="R194" i="3"/>
  <c r="S193" i="3"/>
  <c r="R193" i="3"/>
  <c r="S192" i="3"/>
  <c r="R192" i="3"/>
  <c r="S191" i="3"/>
  <c r="R191" i="3"/>
  <c r="S190" i="3"/>
  <c r="R190" i="3"/>
  <c r="S189" i="3"/>
  <c r="R189" i="3"/>
  <c r="S188" i="3"/>
  <c r="R188" i="3"/>
  <c r="S187" i="3"/>
  <c r="R187" i="3"/>
  <c r="S186" i="3"/>
  <c r="T186" i="3" s="1"/>
  <c r="R186" i="3"/>
  <c r="S185" i="3"/>
  <c r="R185" i="3"/>
  <c r="S184" i="3"/>
  <c r="R184" i="3"/>
  <c r="S183" i="3"/>
  <c r="R183" i="3"/>
  <c r="S182" i="3"/>
  <c r="R182" i="3"/>
  <c r="S181" i="3"/>
  <c r="R181" i="3"/>
  <c r="S180" i="3"/>
  <c r="R180" i="3"/>
  <c r="S179" i="3"/>
  <c r="R179" i="3"/>
  <c r="S178" i="3"/>
  <c r="R178" i="3"/>
  <c r="S177" i="3"/>
  <c r="R177" i="3"/>
  <c r="S176" i="3"/>
  <c r="T176" i="3" s="1"/>
  <c r="R176" i="3"/>
  <c r="S175" i="3"/>
  <c r="R175" i="3"/>
  <c r="S174" i="3"/>
  <c r="R174" i="3"/>
  <c r="S173" i="3"/>
  <c r="R173" i="3"/>
  <c r="S172" i="3"/>
  <c r="R172" i="3"/>
  <c r="S171" i="3"/>
  <c r="R171" i="3"/>
  <c r="S170" i="3"/>
  <c r="R170" i="3"/>
  <c r="S169" i="3"/>
  <c r="R169" i="3"/>
  <c r="S168" i="3"/>
  <c r="R168" i="3"/>
  <c r="S167" i="3"/>
  <c r="R167" i="3"/>
  <c r="S166" i="3"/>
  <c r="R166" i="3"/>
  <c r="S165" i="3"/>
  <c r="R165" i="3"/>
  <c r="S164" i="3"/>
  <c r="R164" i="3"/>
  <c r="S163" i="3"/>
  <c r="R163" i="3"/>
  <c r="S162" i="3"/>
  <c r="R162" i="3"/>
  <c r="S161" i="3"/>
  <c r="T161" i="3" s="1"/>
  <c r="R161" i="3"/>
  <c r="S160" i="3"/>
  <c r="R160" i="3"/>
  <c r="S159" i="3"/>
  <c r="R159" i="3"/>
  <c r="S158" i="3"/>
  <c r="R158" i="3"/>
  <c r="S157" i="3"/>
  <c r="R157" i="3"/>
  <c r="S156" i="3"/>
  <c r="R156" i="3"/>
  <c r="S155" i="3"/>
  <c r="R155" i="3"/>
  <c r="S154" i="3"/>
  <c r="R154" i="3"/>
  <c r="S153" i="3"/>
  <c r="R153" i="3"/>
  <c r="S152" i="3"/>
  <c r="R152" i="3"/>
  <c r="S151" i="3"/>
  <c r="R151" i="3"/>
  <c r="S150" i="3"/>
  <c r="R150" i="3"/>
  <c r="S149" i="3"/>
  <c r="R149" i="3"/>
  <c r="S148" i="3"/>
  <c r="R148" i="3"/>
  <c r="S147" i="3"/>
  <c r="R147" i="3"/>
  <c r="S146" i="3"/>
  <c r="R146" i="3"/>
  <c r="S145" i="3"/>
  <c r="R145" i="3"/>
  <c r="S144" i="3"/>
  <c r="T144" i="3" s="1"/>
  <c r="R144" i="3"/>
  <c r="S143" i="3"/>
  <c r="R143" i="3"/>
  <c r="S142" i="3"/>
  <c r="R142" i="3"/>
  <c r="S141" i="3"/>
  <c r="R141" i="3"/>
  <c r="S140" i="3"/>
  <c r="R140" i="3"/>
  <c r="S139" i="3"/>
  <c r="R139" i="3"/>
  <c r="S138" i="3"/>
  <c r="R138" i="3"/>
  <c r="S137" i="3"/>
  <c r="R137" i="3"/>
  <c r="S136" i="3"/>
  <c r="R136" i="3"/>
  <c r="S135" i="3"/>
  <c r="R135" i="3"/>
  <c r="S134" i="3"/>
  <c r="T134" i="3" s="1"/>
  <c r="R134" i="3"/>
  <c r="S133" i="3"/>
  <c r="R133" i="3"/>
  <c r="S132" i="3"/>
  <c r="R132" i="3"/>
  <c r="S131" i="3"/>
  <c r="R131" i="3"/>
  <c r="S130" i="3"/>
  <c r="R130" i="3"/>
  <c r="S129" i="3"/>
  <c r="R129" i="3"/>
  <c r="S128" i="3"/>
  <c r="T128" i="3" s="1"/>
  <c r="R128" i="3"/>
  <c r="S127" i="3"/>
  <c r="R127" i="3"/>
  <c r="S126" i="3"/>
  <c r="R126" i="3"/>
  <c r="S125" i="3"/>
  <c r="R125" i="3"/>
  <c r="S124" i="3"/>
  <c r="R124" i="3"/>
  <c r="S123" i="3"/>
  <c r="R123" i="3"/>
  <c r="S122" i="3"/>
  <c r="R122" i="3"/>
  <c r="S121" i="3"/>
  <c r="R121" i="3"/>
  <c r="S120" i="3"/>
  <c r="R120" i="3"/>
  <c r="S119" i="3"/>
  <c r="R119" i="3"/>
  <c r="S118" i="3"/>
  <c r="R118" i="3"/>
  <c r="S117" i="3"/>
  <c r="R117" i="3"/>
  <c r="S116" i="3"/>
  <c r="R116" i="3"/>
  <c r="S115" i="3"/>
  <c r="R115" i="3"/>
  <c r="S114" i="3"/>
  <c r="R114" i="3"/>
  <c r="S113" i="3"/>
  <c r="R113" i="3"/>
  <c r="S112" i="3"/>
  <c r="R112" i="3"/>
  <c r="S111" i="3"/>
  <c r="R111" i="3"/>
  <c r="S110" i="3"/>
  <c r="R110" i="3"/>
  <c r="S109" i="3"/>
  <c r="R109" i="3"/>
  <c r="S108" i="3"/>
  <c r="R108" i="3"/>
  <c r="S107" i="3"/>
  <c r="R107" i="3"/>
  <c r="S106" i="3"/>
  <c r="R106" i="3"/>
  <c r="S105" i="3"/>
  <c r="Z105" i="3" s="1"/>
  <c r="S104" i="3"/>
  <c r="S103" i="3"/>
  <c r="T103" i="3" s="1"/>
  <c r="S102" i="3"/>
  <c r="S101" i="3"/>
  <c r="T101" i="3" s="1"/>
  <c r="S100" i="3"/>
  <c r="T100" i="3" s="1"/>
  <c r="S99" i="3"/>
  <c r="S98" i="3"/>
  <c r="T98" i="3" s="1"/>
  <c r="S97" i="3"/>
  <c r="T97" i="3" s="1"/>
  <c r="S96" i="3"/>
  <c r="S95" i="3"/>
  <c r="S94" i="3"/>
  <c r="S93" i="3"/>
  <c r="T93" i="3" s="1"/>
  <c r="S92" i="3"/>
  <c r="AA92" i="3" s="1"/>
  <c r="R92" i="3"/>
  <c r="R93" i="3" s="1"/>
  <c r="R94" i="3" s="1"/>
  <c r="R95" i="3" s="1"/>
  <c r="S91" i="3"/>
  <c r="R91" i="3"/>
  <c r="S90" i="3"/>
  <c r="R90" i="3"/>
  <c r="S89" i="3"/>
  <c r="U89" i="3" s="1"/>
  <c r="S88" i="3"/>
  <c r="Z88" i="3" s="1"/>
  <c r="S87" i="3"/>
  <c r="S86" i="3"/>
  <c r="S85" i="3"/>
  <c r="S84" i="3"/>
  <c r="Z84" i="3" s="1"/>
  <c r="AG84" i="3" s="1"/>
  <c r="S83" i="3"/>
  <c r="T83" i="3" s="1"/>
  <c r="S82" i="3"/>
  <c r="T82" i="3" s="1"/>
  <c r="S81" i="3"/>
  <c r="S80" i="3"/>
  <c r="AA80" i="3" s="1"/>
  <c r="S79" i="3"/>
  <c r="S78" i="3"/>
  <c r="U78" i="3" s="1"/>
  <c r="S77" i="3"/>
  <c r="T77" i="3" s="1"/>
  <c r="S76" i="3"/>
  <c r="V76" i="3" s="1"/>
  <c r="S75" i="3"/>
  <c r="S74" i="3"/>
  <c r="T74" i="3" s="1"/>
  <c r="S73" i="3"/>
  <c r="AB73" i="3" s="1"/>
  <c r="S72" i="3"/>
  <c r="S71" i="3"/>
  <c r="S70" i="3"/>
  <c r="S69" i="3"/>
  <c r="S68" i="3"/>
  <c r="S67" i="3"/>
  <c r="T67" i="3" s="1"/>
  <c r="S66" i="3"/>
  <c r="S65" i="3"/>
  <c r="S64" i="3"/>
  <c r="S63" i="3"/>
  <c r="T63" i="3" s="1"/>
  <c r="S62" i="3"/>
  <c r="Z62" i="3" s="1"/>
  <c r="S61" i="3"/>
  <c r="T61" i="3" s="1"/>
  <c r="S60" i="3"/>
  <c r="T60" i="3" s="1"/>
  <c r="S59" i="3"/>
  <c r="V59" i="3" s="1"/>
  <c r="S58" i="3"/>
  <c r="S57" i="3"/>
  <c r="S56" i="3"/>
  <c r="T56" i="3" s="1"/>
  <c r="S55" i="3"/>
  <c r="T55" i="3" s="1"/>
  <c r="S54" i="3"/>
  <c r="S53" i="3"/>
  <c r="AB53" i="3" s="1"/>
  <c r="S52" i="3"/>
  <c r="T52" i="3" s="1"/>
  <c r="S51" i="3"/>
  <c r="U51" i="3" s="1"/>
  <c r="S50" i="3"/>
  <c r="U50" i="3" s="1"/>
  <c r="R50" i="3"/>
  <c r="R51" i="3" s="1"/>
  <c r="R52" i="3" s="1"/>
  <c r="R53" i="3" s="1"/>
  <c r="R54" i="3" s="1"/>
  <c r="R55" i="3" s="1"/>
  <c r="R56" i="3" s="1"/>
  <c r="R57" i="3" s="1"/>
  <c r="R58" i="3" s="1"/>
  <c r="R59" i="3" s="1"/>
  <c r="S49" i="3"/>
  <c r="T49" i="3" s="1"/>
  <c r="R49" i="3"/>
  <c r="S48" i="3"/>
  <c r="S47" i="3"/>
  <c r="T47" i="3" s="1"/>
  <c r="S46" i="3"/>
  <c r="AA46" i="3" s="1"/>
  <c r="S45" i="3"/>
  <c r="T45" i="3" s="1"/>
  <c r="S44" i="3"/>
  <c r="T44" i="3" s="1"/>
  <c r="S43" i="3"/>
  <c r="S42" i="3"/>
  <c r="S41" i="3"/>
  <c r="T41" i="3" s="1"/>
  <c r="S40" i="3"/>
  <c r="AB40" i="3" s="1"/>
  <c r="S39" i="3"/>
  <c r="S38" i="3"/>
  <c r="S37" i="3"/>
  <c r="S36" i="3"/>
  <c r="S35" i="3"/>
  <c r="Z35" i="3" s="1"/>
  <c r="S34" i="3"/>
  <c r="S33" i="3"/>
  <c r="S32" i="3"/>
  <c r="T32" i="3" s="1"/>
  <c r="S31" i="3"/>
  <c r="W31" i="3" s="1"/>
  <c r="S30" i="3"/>
  <c r="S29" i="3"/>
  <c r="S28" i="3"/>
  <c r="S27" i="3"/>
  <c r="S26" i="3"/>
  <c r="AB26" i="3" s="1"/>
  <c r="S25" i="3"/>
  <c r="T25" i="3" s="1"/>
  <c r="S24" i="3"/>
  <c r="T24" i="3" s="1"/>
  <c r="S23" i="3"/>
  <c r="S22" i="3"/>
  <c r="S21" i="3"/>
  <c r="T21" i="3" s="1"/>
  <c r="R21" i="3"/>
  <c r="R22" i="3" s="1"/>
  <c r="R23" i="3" s="1"/>
  <c r="R24" i="3" s="1"/>
  <c r="R25" i="3" s="1"/>
  <c r="R26" i="3" s="1"/>
  <c r="R27" i="3" s="1"/>
  <c r="R28" i="3" s="1"/>
  <c r="R29" i="3" s="1"/>
  <c r="R30" i="3" s="1"/>
  <c r="S20" i="3"/>
  <c r="AA20" i="3" s="1"/>
  <c r="R20" i="3"/>
  <c r="S19" i="3"/>
  <c r="AI19" i="3" s="1"/>
  <c r="R19" i="3"/>
  <c r="S18" i="3"/>
  <c r="S17" i="3"/>
  <c r="U17" i="3" s="1"/>
  <c r="S16" i="3"/>
  <c r="S15" i="3"/>
  <c r="T15" i="3" s="1"/>
  <c r="R15" i="3"/>
  <c r="R16" i="3" s="1"/>
  <c r="R17" i="3" s="1"/>
  <c r="R18" i="3" s="1"/>
  <c r="S14" i="3"/>
  <c r="S13" i="3"/>
  <c r="S12" i="3"/>
  <c r="S11" i="3"/>
  <c r="Z11" i="3" s="1"/>
  <c r="S10" i="3"/>
  <c r="V10" i="3" s="1"/>
  <c r="S9" i="3"/>
  <c r="AB9" i="3" s="1"/>
  <c r="S8" i="3"/>
  <c r="T8" i="3" s="1"/>
  <c r="S7" i="3"/>
  <c r="V7" i="3" s="1"/>
  <c r="S6" i="3"/>
  <c r="AB6" i="3" s="1"/>
  <c r="S5" i="3"/>
  <c r="W5" i="3" s="1"/>
  <c r="S4" i="3"/>
  <c r="T4" i="3" s="1"/>
  <c r="S3" i="3"/>
  <c r="S2" i="3"/>
  <c r="R2" i="3"/>
  <c r="R3" i="3" s="1"/>
  <c r="D43" i="2"/>
  <c r="V2" i="3" l="1"/>
  <c r="T2" i="3"/>
  <c r="W3" i="3"/>
  <c r="T3" i="3"/>
  <c r="AA12" i="3"/>
  <c r="T12" i="3"/>
  <c r="V13" i="3"/>
  <c r="T13" i="3"/>
  <c r="V14" i="3"/>
  <c r="T14" i="3"/>
  <c r="AB16" i="3"/>
  <c r="T16" i="3"/>
  <c r="T18" i="3"/>
  <c r="W18" i="3"/>
  <c r="T22" i="3"/>
  <c r="AB22" i="3"/>
  <c r="U22" i="3"/>
  <c r="Z23" i="3"/>
  <c r="T23" i="3"/>
  <c r="AA23" i="3"/>
  <c r="W27" i="3"/>
  <c r="T27" i="3"/>
  <c r="AA28" i="3"/>
  <c r="T28" i="3"/>
  <c r="W29" i="3"/>
  <c r="T29" i="3"/>
  <c r="Z30" i="3"/>
  <c r="T30" i="3"/>
  <c r="AB30" i="3"/>
  <c r="V30" i="3"/>
  <c r="U30" i="3"/>
  <c r="Z34" i="3"/>
  <c r="AB34" i="3"/>
  <c r="U36" i="3"/>
  <c r="T36" i="3"/>
  <c r="W37" i="3"/>
  <c r="T37" i="3"/>
  <c r="AB38" i="3"/>
  <c r="T38" i="3"/>
  <c r="W39" i="3"/>
  <c r="T39" i="3"/>
  <c r="V42" i="3"/>
  <c r="T42" i="3"/>
  <c r="U43" i="3"/>
  <c r="T43" i="3"/>
  <c r="AB54" i="3"/>
  <c r="T54" i="3"/>
  <c r="AB57" i="3"/>
  <c r="T57" i="3"/>
  <c r="U58" i="3"/>
  <c r="T58" i="3"/>
  <c r="AA64" i="3"/>
  <c r="T64" i="3"/>
  <c r="Z65" i="3"/>
  <c r="T65" i="3"/>
  <c r="T66" i="3"/>
  <c r="Z66" i="3"/>
  <c r="U66" i="3"/>
  <c r="T69" i="3"/>
  <c r="AA69" i="3"/>
  <c r="Z69" i="3"/>
  <c r="AG69" i="3" s="1"/>
  <c r="W69" i="3"/>
  <c r="U69" i="3"/>
  <c r="U70" i="3"/>
  <c r="T70" i="3"/>
  <c r="W71" i="3"/>
  <c r="T71" i="3"/>
  <c r="AB72" i="3"/>
  <c r="T72" i="3"/>
  <c r="Z72" i="3"/>
  <c r="AG72" i="3" s="1"/>
  <c r="V72" i="3"/>
  <c r="U72" i="3"/>
  <c r="T75" i="3"/>
  <c r="Z75" i="3"/>
  <c r="Z79" i="3"/>
  <c r="AG79" i="3" s="1"/>
  <c r="AA79" i="3"/>
  <c r="U81" i="3"/>
  <c r="T81" i="3"/>
  <c r="AB85" i="3"/>
  <c r="T85" i="3"/>
  <c r="AA86" i="3"/>
  <c r="Z86" i="3"/>
  <c r="AG86" i="3" s="1"/>
  <c r="W87" i="3"/>
  <c r="AB87" i="3"/>
  <c r="AA87" i="3"/>
  <c r="Z87" i="3"/>
  <c r="AG87" i="3" s="1"/>
  <c r="V87" i="3"/>
  <c r="AA90" i="3"/>
  <c r="AC90" i="3"/>
  <c r="AE91" i="3"/>
  <c r="T91" i="3"/>
  <c r="AI91" i="3"/>
  <c r="AF91" i="3"/>
  <c r="AD91" i="3"/>
  <c r="AC91" i="3"/>
  <c r="AB91" i="3"/>
  <c r="AA91" i="3"/>
  <c r="Z91" i="3"/>
  <c r="AG91" i="3" s="1"/>
  <c r="Y91" i="3"/>
  <c r="W91" i="3"/>
  <c r="V91" i="3"/>
  <c r="U91" i="3"/>
  <c r="X91" i="3" s="1"/>
  <c r="T95" i="3"/>
  <c r="AA95" i="3"/>
  <c r="W95" i="3"/>
  <c r="Z96" i="3"/>
  <c r="AG96" i="3" s="1"/>
  <c r="T96" i="3"/>
  <c r="T102" i="3"/>
  <c r="AB102" i="3"/>
  <c r="AA102" i="3"/>
  <c r="Z102" i="3"/>
  <c r="AG102" i="3" s="1"/>
  <c r="W102" i="3"/>
  <c r="V102" i="3"/>
  <c r="T104" i="3"/>
  <c r="W104" i="3"/>
  <c r="Z106" i="3"/>
  <c r="T106" i="3"/>
  <c r="AI106" i="3"/>
  <c r="AF106" i="3"/>
  <c r="AE106" i="3"/>
  <c r="AD106" i="3"/>
  <c r="AC106" i="3"/>
  <c r="AB106" i="3"/>
  <c r="AA106" i="3"/>
  <c r="Y106" i="3"/>
  <c r="W106" i="3"/>
  <c r="V106" i="3"/>
  <c r="U106" i="3"/>
  <c r="X106" i="3" s="1"/>
  <c r="T107" i="3"/>
  <c r="AH107" i="3"/>
  <c r="Z107" i="3"/>
  <c r="Y107" i="3"/>
  <c r="W107" i="3"/>
  <c r="V107" i="3"/>
  <c r="T108" i="3"/>
  <c r="AI108" i="3"/>
  <c r="AH108" i="3"/>
  <c r="V108" i="3"/>
  <c r="T109" i="3"/>
  <c r="AF109" i="3"/>
  <c r="T110" i="3"/>
  <c r="AI110" i="3"/>
  <c r="AF110" i="3"/>
  <c r="AD110" i="3"/>
  <c r="AC110" i="3"/>
  <c r="AB110" i="3"/>
  <c r="AA110" i="3"/>
  <c r="Z110" i="3"/>
  <c r="AG110" i="3" s="1"/>
  <c r="Y110" i="3"/>
  <c r="U110" i="3"/>
  <c r="T111" i="3"/>
  <c r="AH111" i="3"/>
  <c r="AF111" i="3"/>
  <c r="AE111" i="3"/>
  <c r="AD111" i="3"/>
  <c r="AB111" i="3"/>
  <c r="AA111" i="3"/>
  <c r="Y111" i="3"/>
  <c r="W111" i="3"/>
  <c r="V111" i="3"/>
  <c r="U111" i="3"/>
  <c r="X111" i="3" s="1"/>
  <c r="AH112" i="3"/>
  <c r="T112" i="3"/>
  <c r="AE112" i="3"/>
  <c r="AC112" i="3"/>
  <c r="AB112" i="3"/>
  <c r="AA112" i="3"/>
  <c r="Z112" i="3"/>
  <c r="Y112" i="3"/>
  <c r="W112" i="3"/>
  <c r="V112" i="3"/>
  <c r="T113" i="3"/>
  <c r="AI113" i="3"/>
  <c r="AH113" i="3"/>
  <c r="AF113" i="3"/>
  <c r="AE113" i="3"/>
  <c r="AD113" i="3"/>
  <c r="AC113" i="3"/>
  <c r="AB113" i="3"/>
  <c r="AA113" i="3"/>
  <c r="Z113" i="3"/>
  <c r="Y113" i="3"/>
  <c r="W113" i="3"/>
  <c r="V113" i="3"/>
  <c r="U113" i="3"/>
  <c r="X113" i="3" s="1"/>
  <c r="AE114" i="3"/>
  <c r="T114" i="3"/>
  <c r="AH114" i="3"/>
  <c r="AF114" i="3"/>
  <c r="AD114" i="3"/>
  <c r="U114" i="3"/>
  <c r="T115" i="3"/>
  <c r="AI115" i="3"/>
  <c r="AF115" i="3"/>
  <c r="AE115" i="3"/>
  <c r="AD115" i="3"/>
  <c r="AC115" i="3"/>
  <c r="AB115" i="3"/>
  <c r="AA115" i="3"/>
  <c r="Z115" i="3"/>
  <c r="AG115" i="3" s="1"/>
  <c r="U115" i="3"/>
  <c r="T116" i="3"/>
  <c r="AH116" i="3"/>
  <c r="AE116" i="3"/>
  <c r="AD116" i="3"/>
  <c r="AB116" i="3"/>
  <c r="AA116" i="3"/>
  <c r="Z116" i="3"/>
  <c r="AG116" i="3" s="1"/>
  <c r="Y116" i="3"/>
  <c r="W116" i="3"/>
  <c r="V116" i="3"/>
  <c r="U116" i="3"/>
  <c r="X116" i="3" s="1"/>
  <c r="AH117" i="3"/>
  <c r="T117" i="3"/>
  <c r="AE117" i="3"/>
  <c r="AC117" i="3"/>
  <c r="AB117" i="3"/>
  <c r="Z117" i="3"/>
  <c r="Y117" i="3"/>
  <c r="W117" i="3"/>
  <c r="V117" i="3"/>
  <c r="U117" i="3"/>
  <c r="V118" i="3"/>
  <c r="T118" i="3"/>
  <c r="AI118" i="3"/>
  <c r="AH118" i="3"/>
  <c r="AF118" i="3"/>
  <c r="AE118" i="3"/>
  <c r="AD118" i="3"/>
  <c r="AC118" i="3"/>
  <c r="AB118" i="3"/>
  <c r="AA118" i="3"/>
  <c r="Z118" i="3"/>
  <c r="Y118" i="3"/>
  <c r="W118" i="3"/>
  <c r="U118" i="3"/>
  <c r="X118" i="3" s="1"/>
  <c r="T119" i="3"/>
  <c r="AH119" i="3"/>
  <c r="T120" i="3"/>
  <c r="AH120" i="3"/>
  <c r="AF120" i="3"/>
  <c r="AE120" i="3"/>
  <c r="AD120" i="3"/>
  <c r="AB120" i="3"/>
  <c r="T121" i="3"/>
  <c r="AH121" i="3"/>
  <c r="AE121" i="3"/>
  <c r="AD121" i="3"/>
  <c r="AC121" i="3"/>
  <c r="AB121" i="3"/>
  <c r="AA121" i="3"/>
  <c r="Z121" i="3"/>
  <c r="AG121" i="3" s="1"/>
  <c r="Y121" i="3"/>
  <c r="W121" i="3"/>
  <c r="V121" i="3"/>
  <c r="AH122" i="3"/>
  <c r="T122" i="3"/>
  <c r="AF122" i="3"/>
  <c r="AE122" i="3"/>
  <c r="AC122" i="3"/>
  <c r="AB122" i="3"/>
  <c r="Z122" i="3"/>
  <c r="Y122" i="3"/>
  <c r="W122" i="3"/>
  <c r="V122" i="3"/>
  <c r="U122" i="3"/>
  <c r="X122" i="3" s="1"/>
  <c r="T123" i="3"/>
  <c r="AH123" i="3"/>
  <c r="AA123" i="3"/>
  <c r="Z123" i="3"/>
  <c r="W123" i="3"/>
  <c r="U123" i="3"/>
  <c r="X123" i="3" s="1"/>
  <c r="T124" i="3"/>
  <c r="AI124" i="3"/>
  <c r="AF124" i="3"/>
  <c r="AE125" i="3"/>
  <c r="T125" i="3"/>
  <c r="AH125" i="3"/>
  <c r="AF125" i="3"/>
  <c r="AD125" i="3"/>
  <c r="U125" i="3"/>
  <c r="T126" i="3"/>
  <c r="AH126" i="3"/>
  <c r="AF126" i="3"/>
  <c r="AE126" i="3"/>
  <c r="AD126" i="3"/>
  <c r="AC126" i="3"/>
  <c r="AB126" i="3"/>
  <c r="AA126" i="3"/>
  <c r="Z126" i="3"/>
  <c r="AG126" i="3" s="1"/>
  <c r="T127" i="3"/>
  <c r="AI127" i="3"/>
  <c r="AH127" i="3"/>
  <c r="AF127" i="3"/>
  <c r="AE127" i="3"/>
  <c r="AD127" i="3"/>
  <c r="AC127" i="3"/>
  <c r="AB127" i="3"/>
  <c r="AA127" i="3"/>
  <c r="Z127" i="3"/>
  <c r="Y127" i="3"/>
  <c r="W127" i="3"/>
  <c r="V127" i="3"/>
  <c r="U127" i="3"/>
  <c r="X127" i="3" s="1"/>
  <c r="T129" i="3"/>
  <c r="U129" i="3"/>
  <c r="AD130" i="3"/>
  <c r="T130" i="3"/>
  <c r="AH130" i="3"/>
  <c r="AE130" i="3"/>
  <c r="AB130" i="3"/>
  <c r="U130" i="3"/>
  <c r="T131" i="3"/>
  <c r="AH131" i="3"/>
  <c r="AF131" i="3"/>
  <c r="AE131" i="3"/>
  <c r="AD131" i="3"/>
  <c r="AC131" i="3"/>
  <c r="AB131" i="3"/>
  <c r="Z131" i="3"/>
  <c r="AG131" i="3" s="1"/>
  <c r="Y131" i="3"/>
  <c r="V132" i="3"/>
  <c r="T132" i="3"/>
  <c r="AI132" i="3"/>
  <c r="AH132" i="3"/>
  <c r="AF132" i="3"/>
  <c r="AE132" i="3"/>
  <c r="AD132" i="3"/>
  <c r="AC132" i="3"/>
  <c r="AB132" i="3"/>
  <c r="AA132" i="3"/>
  <c r="Z132" i="3"/>
  <c r="Y132" i="3"/>
  <c r="W132" i="3"/>
  <c r="U132" i="3"/>
  <c r="X132" i="3" s="1"/>
  <c r="AH133" i="3"/>
  <c r="T133" i="3"/>
  <c r="AD133" i="3"/>
  <c r="AA133" i="3"/>
  <c r="Z133" i="3"/>
  <c r="Y133" i="3"/>
  <c r="W133" i="3"/>
  <c r="V133" i="3"/>
  <c r="U133" i="3"/>
  <c r="X133" i="3" s="1"/>
  <c r="AD135" i="3"/>
  <c r="T135" i="3"/>
  <c r="AH135" i="3"/>
  <c r="AE135" i="3"/>
  <c r="AC135" i="3"/>
  <c r="V135" i="3"/>
  <c r="T136" i="3"/>
  <c r="AH136" i="3"/>
  <c r="AF136" i="3"/>
  <c r="AE136" i="3"/>
  <c r="AC136" i="3"/>
  <c r="Z136" i="3"/>
  <c r="T137" i="3"/>
  <c r="AH137" i="3"/>
  <c r="AF137" i="3"/>
  <c r="AE137" i="3"/>
  <c r="AD137" i="3"/>
  <c r="AC137" i="3"/>
  <c r="AB137" i="3"/>
  <c r="AA137" i="3"/>
  <c r="Z137" i="3"/>
  <c r="AG137" i="3" s="1"/>
  <c r="W137" i="3"/>
  <c r="U137" i="3"/>
  <c r="X137" i="3" s="1"/>
  <c r="T138" i="3"/>
  <c r="AI138" i="3"/>
  <c r="AF138" i="3"/>
  <c r="AD138" i="3"/>
  <c r="AC138" i="3"/>
  <c r="AB138" i="3"/>
  <c r="AA138" i="3"/>
  <c r="Z138" i="3"/>
  <c r="Y138" i="3"/>
  <c r="W138" i="3"/>
  <c r="V138" i="3"/>
  <c r="U138" i="3"/>
  <c r="X138" i="3" s="1"/>
  <c r="T139" i="3"/>
  <c r="V139" i="3"/>
  <c r="U139" i="3"/>
  <c r="T140" i="3"/>
  <c r="W140" i="3"/>
  <c r="T141" i="3"/>
  <c r="AI141" i="3"/>
  <c r="AH141" i="3"/>
  <c r="AF141" i="3"/>
  <c r="AE141" i="3"/>
  <c r="AD141" i="3"/>
  <c r="AC141" i="3"/>
  <c r="AB141" i="3"/>
  <c r="AA141" i="3"/>
  <c r="Z141" i="3"/>
  <c r="Y141" i="3"/>
  <c r="W141" i="3"/>
  <c r="V141" i="3"/>
  <c r="U141" i="3"/>
  <c r="X141" i="3" s="1"/>
  <c r="AH142" i="3"/>
  <c r="T142" i="3"/>
  <c r="AF142" i="3"/>
  <c r="AE142" i="3"/>
  <c r="AD142" i="3"/>
  <c r="AC142" i="3"/>
  <c r="AA142" i="3"/>
  <c r="Z142" i="3"/>
  <c r="AG142" i="3" s="1"/>
  <c r="T143" i="3"/>
  <c r="AI143" i="3"/>
  <c r="AF143" i="3"/>
  <c r="AE143" i="3"/>
  <c r="AD143" i="3"/>
  <c r="AC143" i="3"/>
  <c r="AB143" i="3"/>
  <c r="AA143" i="3"/>
  <c r="Z143" i="3"/>
  <c r="Y143" i="3"/>
  <c r="V143" i="3"/>
  <c r="U143" i="3"/>
  <c r="X143" i="3" s="1"/>
  <c r="T145" i="3"/>
  <c r="AF145" i="3"/>
  <c r="V145" i="3"/>
  <c r="V146" i="3"/>
  <c r="T146" i="3"/>
  <c r="AI146" i="3"/>
  <c r="AH146" i="3"/>
  <c r="AF146" i="3"/>
  <c r="AE146" i="3"/>
  <c r="AD146" i="3"/>
  <c r="AC146" i="3"/>
  <c r="AB146" i="3"/>
  <c r="AA146" i="3"/>
  <c r="Z146" i="3"/>
  <c r="Y146" i="3"/>
  <c r="W146" i="3"/>
  <c r="U146" i="3"/>
  <c r="X146" i="3" s="1"/>
  <c r="T147" i="3"/>
  <c r="AH147" i="3"/>
  <c r="AF147" i="3"/>
  <c r="AD147" i="3"/>
  <c r="AC147" i="3"/>
  <c r="AA147" i="3"/>
  <c r="Z147" i="3"/>
  <c r="AG147" i="3" s="1"/>
  <c r="Y147" i="3"/>
  <c r="AI148" i="3"/>
  <c r="T148" i="3"/>
  <c r="AF148" i="3"/>
  <c r="AE148" i="3"/>
  <c r="AD148" i="3"/>
  <c r="AC148" i="3"/>
  <c r="AB148" i="3"/>
  <c r="AA148" i="3"/>
  <c r="Y148" i="3"/>
  <c r="V148" i="3"/>
  <c r="U148" i="3"/>
  <c r="X148" i="3" s="1"/>
  <c r="AH149" i="3"/>
  <c r="T149" i="3"/>
  <c r="AE149" i="3"/>
  <c r="AB149" i="3"/>
  <c r="AA149" i="3"/>
  <c r="Z149" i="3"/>
  <c r="Y149" i="3"/>
  <c r="W149" i="3"/>
  <c r="V149" i="3"/>
  <c r="T150" i="3"/>
  <c r="Z150" i="3"/>
  <c r="V150" i="3"/>
  <c r="U150" i="3"/>
  <c r="AA151" i="3"/>
  <c r="T151" i="3"/>
  <c r="AI151" i="3"/>
  <c r="AH151" i="3"/>
  <c r="AF151" i="3"/>
  <c r="AE151" i="3"/>
  <c r="AD151" i="3"/>
  <c r="AC151" i="3"/>
  <c r="AB151" i="3"/>
  <c r="Z151" i="3"/>
  <c r="W151" i="3"/>
  <c r="U151" i="3"/>
  <c r="X151" i="3" s="1"/>
  <c r="T152" i="3"/>
  <c r="AA152" i="3"/>
  <c r="Z152" i="3"/>
  <c r="Y152" i="3"/>
  <c r="W152" i="3"/>
  <c r="U152" i="3"/>
  <c r="X152" i="3" s="1"/>
  <c r="T153" i="3"/>
  <c r="AH153" i="3"/>
  <c r="AF153" i="3"/>
  <c r="AB153" i="3"/>
  <c r="AA153" i="3"/>
  <c r="Y153" i="3"/>
  <c r="V153" i="3"/>
  <c r="U153" i="3"/>
  <c r="X153" i="3" s="1"/>
  <c r="T154" i="3"/>
  <c r="AH154" i="3"/>
  <c r="AE154" i="3"/>
  <c r="AC154" i="3"/>
  <c r="AB154" i="3"/>
  <c r="Z154" i="3"/>
  <c r="AG154" i="3" s="1"/>
  <c r="W154" i="3"/>
  <c r="U154" i="3"/>
  <c r="X154" i="3" s="1"/>
  <c r="T155" i="3"/>
  <c r="AH155" i="3"/>
  <c r="AF155" i="3"/>
  <c r="AE155" i="3"/>
  <c r="AD155" i="3"/>
  <c r="AC155" i="3"/>
  <c r="AB155" i="3"/>
  <c r="Z155" i="3"/>
  <c r="AG155" i="3" s="1"/>
  <c r="W155" i="3"/>
  <c r="U155" i="3"/>
  <c r="X155" i="3" s="1"/>
  <c r="T156" i="3"/>
  <c r="AI156" i="3"/>
  <c r="AF156" i="3"/>
  <c r="AE156" i="3"/>
  <c r="AD156" i="3"/>
  <c r="AC156" i="3"/>
  <c r="AB156" i="3"/>
  <c r="AA156" i="3"/>
  <c r="Z156" i="3"/>
  <c r="AG156" i="3" s="1"/>
  <c r="Y156" i="3"/>
  <c r="W156" i="3"/>
  <c r="U156" i="3"/>
  <c r="X156" i="3" s="1"/>
  <c r="AH157" i="3"/>
  <c r="T157" i="3"/>
  <c r="AF157" i="3"/>
  <c r="AB157" i="3"/>
  <c r="AA157" i="3"/>
  <c r="Y157" i="3"/>
  <c r="W157" i="3"/>
  <c r="V157" i="3"/>
  <c r="U157" i="3"/>
  <c r="X157" i="3" s="1"/>
  <c r="T158" i="3"/>
  <c r="AI158" i="3"/>
  <c r="AH158" i="3"/>
  <c r="AD158" i="3"/>
  <c r="AC158" i="3"/>
  <c r="AA158" i="3"/>
  <c r="AI159" i="3"/>
  <c r="T159" i="3"/>
  <c r="AH159" i="3"/>
  <c r="AF159" i="3"/>
  <c r="AE159" i="3"/>
  <c r="AD159" i="3"/>
  <c r="AC159" i="3"/>
  <c r="AB159" i="3"/>
  <c r="AA159" i="3"/>
  <c r="Z159" i="3"/>
  <c r="Y159" i="3"/>
  <c r="W159" i="3"/>
  <c r="V159" i="3"/>
  <c r="T160" i="3"/>
  <c r="AI160" i="3"/>
  <c r="AF160" i="3"/>
  <c r="AE160" i="3"/>
  <c r="AI162" i="3"/>
  <c r="T162" i="3"/>
  <c r="AE162" i="3"/>
  <c r="AC162" i="3"/>
  <c r="AB162" i="3"/>
  <c r="Z162" i="3"/>
  <c r="AG162" i="3" s="1"/>
  <c r="Y162" i="3"/>
  <c r="W162" i="3"/>
  <c r="V162" i="3"/>
  <c r="T163" i="3"/>
  <c r="Z163" i="3"/>
  <c r="Y163" i="3"/>
  <c r="W163" i="3"/>
  <c r="V163" i="3"/>
  <c r="U163" i="3"/>
  <c r="T164" i="3"/>
  <c r="AI164" i="3"/>
  <c r="AH164" i="3"/>
  <c r="AF164" i="3"/>
  <c r="AB164" i="3"/>
  <c r="AA164" i="3"/>
  <c r="Y164" i="3"/>
  <c r="W164" i="3"/>
  <c r="T165" i="3"/>
  <c r="AI165" i="3"/>
  <c r="AH165" i="3"/>
  <c r="AF165" i="3"/>
  <c r="AD165" i="3"/>
  <c r="AC165" i="3"/>
  <c r="AB165" i="3"/>
  <c r="AA165" i="3"/>
  <c r="Z165" i="3"/>
  <c r="Y165" i="3"/>
  <c r="W165" i="3"/>
  <c r="V165" i="3"/>
  <c r="U165" i="3"/>
  <c r="X165" i="3" s="1"/>
  <c r="T166" i="3"/>
  <c r="AH166" i="3"/>
  <c r="AF166" i="3"/>
  <c r="AE166" i="3"/>
  <c r="AD166" i="3"/>
  <c r="AC166" i="3"/>
  <c r="AA166" i="3"/>
  <c r="Y166" i="3"/>
  <c r="W166" i="3"/>
  <c r="U166" i="3"/>
  <c r="X166" i="3" s="1"/>
  <c r="T167" i="3"/>
  <c r="AH167" i="3"/>
  <c r="AF167" i="3"/>
  <c r="AE167" i="3"/>
  <c r="AD167" i="3"/>
  <c r="AC167" i="3"/>
  <c r="AB167" i="3"/>
  <c r="AA167" i="3"/>
  <c r="Z167" i="3"/>
  <c r="AG167" i="3" s="1"/>
  <c r="Y167" i="3"/>
  <c r="V167" i="3"/>
  <c r="T168" i="3"/>
  <c r="AH168" i="3"/>
  <c r="AE168" i="3"/>
  <c r="AC168" i="3"/>
  <c r="AA168" i="3"/>
  <c r="Z168" i="3"/>
  <c r="Y168" i="3"/>
  <c r="W168" i="3"/>
  <c r="V168" i="3"/>
  <c r="U168" i="3"/>
  <c r="X168" i="3" s="1"/>
  <c r="T169" i="3"/>
  <c r="W169" i="3"/>
  <c r="T170" i="3"/>
  <c r="AI170" i="3"/>
  <c r="AF170" i="3"/>
  <c r="AE170" i="3"/>
  <c r="AD170" i="3"/>
  <c r="AB170" i="3"/>
  <c r="Z170" i="3"/>
  <c r="AG170" i="3" s="1"/>
  <c r="Y170" i="3"/>
  <c r="W170" i="3"/>
  <c r="U170" i="3"/>
  <c r="T171" i="3"/>
  <c r="AI171" i="3"/>
  <c r="AF171" i="3"/>
  <c r="AD171" i="3"/>
  <c r="AB171" i="3"/>
  <c r="AA171" i="3"/>
  <c r="W171" i="3"/>
  <c r="V171" i="3"/>
  <c r="T172" i="3"/>
  <c r="AI172" i="3"/>
  <c r="AF172" i="3"/>
  <c r="AD172" i="3"/>
  <c r="AI173" i="3"/>
  <c r="T173" i="3"/>
  <c r="AH173" i="3"/>
  <c r="AF173" i="3"/>
  <c r="AE173" i="3"/>
  <c r="AD173" i="3"/>
  <c r="AC173" i="3"/>
  <c r="AB173" i="3"/>
  <c r="AA173" i="3"/>
  <c r="Z173" i="3"/>
  <c r="Y173" i="3"/>
  <c r="W173" i="3"/>
  <c r="V173" i="3"/>
  <c r="AE174" i="3"/>
  <c r="T174" i="3"/>
  <c r="AI174" i="3"/>
  <c r="AC174" i="3"/>
  <c r="T175" i="3"/>
  <c r="AI175" i="3"/>
  <c r="V175" i="3"/>
  <c r="T177" i="3"/>
  <c r="AH177" i="3"/>
  <c r="AF177" i="3"/>
  <c r="AE177" i="3"/>
  <c r="AD177" i="3"/>
  <c r="AB177" i="3"/>
  <c r="Z177" i="3"/>
  <c r="AG177" i="3" s="1"/>
  <c r="Y177" i="3"/>
  <c r="W177" i="3"/>
  <c r="U177" i="3"/>
  <c r="X177" i="3" s="1"/>
  <c r="T178" i="3"/>
  <c r="AH178" i="3"/>
  <c r="AF178" i="3"/>
  <c r="AE178" i="3"/>
  <c r="AD178" i="3"/>
  <c r="AC178" i="3"/>
  <c r="AB178" i="3"/>
  <c r="AA178" i="3"/>
  <c r="Z178" i="3"/>
  <c r="AG178" i="3" s="1"/>
  <c r="Y178" i="3"/>
  <c r="W178" i="3"/>
  <c r="U178" i="3"/>
  <c r="T179" i="3"/>
  <c r="AI179" i="3"/>
  <c r="AH179" i="3"/>
  <c r="AF179" i="3"/>
  <c r="AD179" i="3"/>
  <c r="AC179" i="3"/>
  <c r="AB179" i="3"/>
  <c r="AA179" i="3"/>
  <c r="Z179" i="3"/>
  <c r="Y179" i="3"/>
  <c r="W179" i="3"/>
  <c r="V179" i="3"/>
  <c r="U179" i="3"/>
  <c r="X179" i="3" s="1"/>
  <c r="T180" i="3"/>
  <c r="U180" i="3"/>
  <c r="T181" i="3"/>
  <c r="AH181" i="3"/>
  <c r="AF181" i="3"/>
  <c r="AE181" i="3"/>
  <c r="AD181" i="3"/>
  <c r="Z181" i="3"/>
  <c r="AG181" i="3" s="1"/>
  <c r="Y181" i="3"/>
  <c r="V181" i="3"/>
  <c r="AI182" i="3"/>
  <c r="T182" i="3"/>
  <c r="AH182" i="3"/>
  <c r="AE182" i="3"/>
  <c r="AC182" i="3"/>
  <c r="AB182" i="3"/>
  <c r="AA182" i="3"/>
  <c r="Z182" i="3"/>
  <c r="V182" i="3"/>
  <c r="U182" i="3"/>
  <c r="T183" i="3"/>
  <c r="AI183" i="3"/>
  <c r="AH183" i="3"/>
  <c r="AF183" i="3"/>
  <c r="AE183" i="3"/>
  <c r="AC183" i="3"/>
  <c r="AB183" i="3"/>
  <c r="Z183" i="3"/>
  <c r="W183" i="3"/>
  <c r="T184" i="3"/>
  <c r="AI184" i="3"/>
  <c r="AF184" i="3"/>
  <c r="AE184" i="3"/>
  <c r="AC184" i="3"/>
  <c r="AB184" i="3"/>
  <c r="AA184" i="3"/>
  <c r="Z184" i="3"/>
  <c r="Y184" i="3"/>
  <c r="W184" i="3"/>
  <c r="U184" i="3"/>
  <c r="X184" i="3" s="1"/>
  <c r="T185" i="3"/>
  <c r="AI185" i="3"/>
  <c r="AI187" i="3"/>
  <c r="T187" i="3"/>
  <c r="AH187" i="3"/>
  <c r="AF187" i="3"/>
  <c r="AE187" i="3"/>
  <c r="AD187" i="3"/>
  <c r="AC187" i="3"/>
  <c r="AB187" i="3"/>
  <c r="AA187" i="3"/>
  <c r="Z187" i="3"/>
  <c r="Y187" i="3"/>
  <c r="W187" i="3"/>
  <c r="V187" i="3"/>
  <c r="T188" i="3"/>
  <c r="AH188" i="3"/>
  <c r="AF188" i="3"/>
  <c r="AE188" i="3"/>
  <c r="AC188" i="3"/>
  <c r="AA188" i="3"/>
  <c r="Z188" i="3"/>
  <c r="AG188" i="3" s="1"/>
  <c r="Y188" i="3"/>
  <c r="W188" i="3"/>
  <c r="U188" i="3"/>
  <c r="X188" i="3" s="1"/>
  <c r="T189" i="3"/>
  <c r="AH189" i="3"/>
  <c r="AF189" i="3"/>
  <c r="AE189" i="3"/>
  <c r="AD189" i="3"/>
  <c r="AC189" i="3"/>
  <c r="AB189" i="3"/>
  <c r="AA189" i="3"/>
  <c r="Z189" i="3"/>
  <c r="AG189" i="3" s="1"/>
  <c r="V189" i="3"/>
  <c r="U189" i="3"/>
  <c r="X189" i="3" s="1"/>
  <c r="AI190" i="3"/>
  <c r="T190" i="3"/>
  <c r="AD190" i="3"/>
  <c r="AA190" i="3"/>
  <c r="Z190" i="3"/>
  <c r="W190" i="3"/>
  <c r="V190" i="3"/>
  <c r="U190" i="3"/>
  <c r="X190" i="3" s="1"/>
  <c r="T191" i="3"/>
  <c r="AI191" i="3"/>
  <c r="AH191" i="3"/>
  <c r="AB191" i="3"/>
  <c r="T192" i="3"/>
  <c r="AH192" i="3"/>
  <c r="AF192" i="3"/>
  <c r="AE192" i="3"/>
  <c r="AD192" i="3"/>
  <c r="Z192" i="3"/>
  <c r="AG192" i="3" s="1"/>
  <c r="Y192" i="3"/>
  <c r="U192" i="3"/>
  <c r="T193" i="3"/>
  <c r="AI193" i="3"/>
  <c r="AH193" i="3"/>
  <c r="AF193" i="3"/>
  <c r="AD193" i="3"/>
  <c r="AC193" i="3"/>
  <c r="AB193" i="3"/>
  <c r="AA193" i="3"/>
  <c r="Z193" i="3"/>
  <c r="Y193" i="3"/>
  <c r="W193" i="3"/>
  <c r="V193" i="3"/>
  <c r="U193" i="3"/>
  <c r="X193" i="3" s="1"/>
  <c r="T195" i="3"/>
  <c r="AH195" i="3"/>
  <c r="AF195" i="3"/>
  <c r="AE195" i="3"/>
  <c r="AC195" i="3"/>
  <c r="AB195" i="3"/>
  <c r="AA195" i="3"/>
  <c r="Z195" i="3"/>
  <c r="Y195" i="3"/>
  <c r="V195" i="3"/>
  <c r="T196" i="3"/>
  <c r="AB196" i="3"/>
  <c r="Y196" i="3"/>
  <c r="V196" i="3"/>
  <c r="U196" i="3"/>
  <c r="X196" i="3" s="1"/>
  <c r="V198" i="3"/>
  <c r="T198" i="3"/>
  <c r="AI198" i="3"/>
  <c r="AF198" i="3"/>
  <c r="AE198" i="3"/>
  <c r="AD198" i="3"/>
  <c r="AC198" i="3"/>
  <c r="AB198" i="3"/>
  <c r="AA198" i="3"/>
  <c r="Z198" i="3"/>
  <c r="Y198" i="3"/>
  <c r="W198" i="3"/>
  <c r="U198" i="3"/>
  <c r="X198" i="3" s="1"/>
  <c r="T199" i="3"/>
  <c r="AI199" i="3"/>
  <c r="AH199" i="3"/>
  <c r="AF199" i="3"/>
  <c r="AD199" i="3"/>
  <c r="W199" i="3"/>
  <c r="U199" i="3"/>
  <c r="X199" i="3" s="1"/>
  <c r="T200" i="3"/>
  <c r="AI200" i="3"/>
  <c r="AF200" i="3"/>
  <c r="AE200" i="3"/>
  <c r="AD200" i="3"/>
  <c r="V200" i="3"/>
  <c r="AI201" i="3"/>
  <c r="T201" i="3"/>
  <c r="AH201" i="3"/>
  <c r="AF201" i="3"/>
  <c r="AE201" i="3"/>
  <c r="AD201" i="3"/>
  <c r="AC201" i="3"/>
  <c r="AB201" i="3"/>
  <c r="AA201" i="3"/>
  <c r="Z201" i="3"/>
  <c r="Y201" i="3"/>
  <c r="W201" i="3"/>
  <c r="V201" i="3"/>
  <c r="T202" i="3"/>
  <c r="AI202" i="3"/>
  <c r="AH202" i="3"/>
  <c r="AF202" i="3"/>
  <c r="AE202" i="3"/>
  <c r="AC202" i="3"/>
  <c r="Z202" i="3"/>
  <c r="AG202" i="3" s="1"/>
  <c r="Y202" i="3"/>
  <c r="W202" i="3"/>
  <c r="V202" i="3"/>
  <c r="U202" i="3"/>
  <c r="X202" i="3" s="1"/>
  <c r="AH203" i="3"/>
  <c r="T203" i="3"/>
  <c r="AI203" i="3"/>
  <c r="AF203" i="3"/>
  <c r="AD203" i="3"/>
  <c r="AC203" i="3"/>
  <c r="AB203" i="3"/>
  <c r="AA203" i="3"/>
  <c r="Z203" i="3"/>
  <c r="AG203" i="3" s="1"/>
  <c r="U203" i="3"/>
  <c r="X203" i="3" s="1"/>
  <c r="AI204" i="3"/>
  <c r="T204" i="3"/>
  <c r="AD204" i="3"/>
  <c r="AA204" i="3"/>
  <c r="Z204" i="3"/>
  <c r="W204" i="3"/>
  <c r="V204" i="3"/>
  <c r="U204" i="3"/>
  <c r="X204" i="3" s="1"/>
  <c r="T206" i="3"/>
  <c r="AH206" i="3"/>
  <c r="T207" i="3"/>
  <c r="AI207" i="3"/>
  <c r="AH207" i="3"/>
  <c r="AF207" i="3"/>
  <c r="AD207" i="3"/>
  <c r="AC207" i="3"/>
  <c r="AB207" i="3"/>
  <c r="AA207" i="3"/>
  <c r="Z207" i="3"/>
  <c r="Y207" i="3"/>
  <c r="W207" i="3"/>
  <c r="V207" i="3"/>
  <c r="U207" i="3"/>
  <c r="X207" i="3" s="1"/>
  <c r="T208" i="3"/>
  <c r="W208" i="3"/>
  <c r="T209" i="3"/>
  <c r="AF209" i="3"/>
  <c r="AE209" i="3"/>
  <c r="AD209" i="3"/>
  <c r="AC209" i="3"/>
  <c r="AB209" i="3"/>
  <c r="AA209" i="3"/>
  <c r="Z209" i="3"/>
  <c r="AG209" i="3" s="1"/>
  <c r="V209" i="3"/>
  <c r="T210" i="3"/>
  <c r="AI210" i="3"/>
  <c r="AH210" i="3"/>
  <c r="AE210" i="3"/>
  <c r="AB210" i="3"/>
  <c r="AA210" i="3"/>
  <c r="Z210" i="3"/>
  <c r="AG210" i="3" s="1"/>
  <c r="Y210" i="3"/>
  <c r="W210" i="3"/>
  <c r="U210" i="3"/>
  <c r="X210" i="3" s="1"/>
  <c r="T211" i="3"/>
  <c r="AF211" i="3"/>
  <c r="AD211" i="3"/>
  <c r="AC211" i="3"/>
  <c r="AB211" i="3"/>
  <c r="V212" i="3"/>
  <c r="T212" i="3"/>
  <c r="AI212" i="3"/>
  <c r="AF212" i="3"/>
  <c r="AE212" i="3"/>
  <c r="AD212" i="3"/>
  <c r="AC212" i="3"/>
  <c r="AB212" i="3"/>
  <c r="AA212" i="3"/>
  <c r="Z212" i="3"/>
  <c r="Y212" i="3"/>
  <c r="W212" i="3"/>
  <c r="U212" i="3"/>
  <c r="X212" i="3" s="1"/>
  <c r="AI213" i="3"/>
  <c r="T213" i="3"/>
  <c r="AH213" i="3"/>
  <c r="AD213" i="3"/>
  <c r="AA213" i="3"/>
  <c r="Z213" i="3"/>
  <c r="AG213" i="3" s="1"/>
  <c r="Y213" i="3"/>
  <c r="W213" i="3"/>
  <c r="V213" i="3"/>
  <c r="U213" i="3"/>
  <c r="X213" i="3" s="1"/>
  <c r="AI214" i="3"/>
  <c r="T214" i="3"/>
  <c r="AF214" i="3"/>
  <c r="AC214" i="3"/>
  <c r="AB214" i="3"/>
  <c r="Y214" i="3"/>
  <c r="V214" i="3"/>
  <c r="U214" i="3"/>
  <c r="T215" i="3"/>
  <c r="AI215" i="3"/>
  <c r="AH215" i="3"/>
  <c r="AF215" i="3"/>
  <c r="AE215" i="3"/>
  <c r="AD215" i="3"/>
  <c r="AC215" i="3"/>
  <c r="AB215" i="3"/>
  <c r="AA215" i="3"/>
  <c r="Z215" i="3"/>
  <c r="Y215" i="3"/>
  <c r="W215" i="3"/>
  <c r="V215" i="3"/>
  <c r="U215" i="3"/>
  <c r="X215" i="3" s="1"/>
  <c r="T216" i="3"/>
  <c r="W216" i="3"/>
  <c r="T217" i="3"/>
  <c r="AI217" i="3"/>
  <c r="AH217" i="3"/>
  <c r="AF217" i="3"/>
  <c r="AE217" i="3"/>
  <c r="AD217" i="3"/>
  <c r="AC217" i="3"/>
  <c r="AB217" i="3"/>
  <c r="AA217" i="3"/>
  <c r="Z217" i="3"/>
  <c r="AG217" i="3" s="1"/>
  <c r="U217" i="3"/>
  <c r="AD218" i="3"/>
  <c r="T218" i="3"/>
  <c r="AI218" i="3"/>
  <c r="AC218" i="3"/>
  <c r="AB218" i="3"/>
  <c r="AA218" i="3"/>
  <c r="Z218" i="3"/>
  <c r="AG218" i="3" s="1"/>
  <c r="Y218" i="3"/>
  <c r="U218" i="3"/>
  <c r="AF220" i="3"/>
  <c r="T220" i="3"/>
  <c r="AE220" i="3"/>
  <c r="AD220" i="3"/>
  <c r="AC220" i="3"/>
  <c r="AB220" i="3"/>
  <c r="AA220" i="3"/>
  <c r="Z220" i="3"/>
  <c r="AG220" i="3" s="1"/>
  <c r="Y220" i="3"/>
  <c r="W220" i="3"/>
  <c r="T221" i="3"/>
  <c r="AI221" i="3"/>
  <c r="AH221" i="3"/>
  <c r="AF221" i="3"/>
  <c r="AD221" i="3"/>
  <c r="AC221" i="3"/>
  <c r="AB221" i="3"/>
  <c r="AA221" i="3"/>
  <c r="Z221" i="3"/>
  <c r="Y221" i="3"/>
  <c r="W221" i="3"/>
  <c r="V221" i="3"/>
  <c r="U221" i="3"/>
  <c r="X221" i="3" s="1"/>
  <c r="AI222" i="3"/>
  <c r="T222" i="3"/>
  <c r="AD222" i="3"/>
  <c r="AC222" i="3"/>
  <c r="W222" i="3"/>
  <c r="V222" i="3"/>
  <c r="U222" i="3"/>
  <c r="W223" i="3"/>
  <c r="T223" i="3"/>
  <c r="AF223" i="3"/>
  <c r="AE223" i="3"/>
  <c r="AD223" i="3"/>
  <c r="AC223" i="3"/>
  <c r="AB223" i="3"/>
  <c r="AA223" i="3"/>
  <c r="Z223" i="3"/>
  <c r="Y223" i="3"/>
  <c r="V223" i="3"/>
  <c r="AI224" i="3"/>
  <c r="T224" i="3"/>
  <c r="Z224" i="3"/>
  <c r="AG224" i="3" s="1"/>
  <c r="Y224" i="3"/>
  <c r="W224" i="3"/>
  <c r="V224" i="3"/>
  <c r="U224" i="3"/>
  <c r="T225" i="3"/>
  <c r="V225" i="3"/>
  <c r="V226" i="3"/>
  <c r="T226" i="3"/>
  <c r="AI226" i="3"/>
  <c r="AF226" i="3"/>
  <c r="AE226" i="3"/>
  <c r="AD226" i="3"/>
  <c r="AC226" i="3"/>
  <c r="AB226" i="3"/>
  <c r="AA226" i="3"/>
  <c r="Z226" i="3"/>
  <c r="Y226" i="3"/>
  <c r="W226" i="3"/>
  <c r="U226" i="3"/>
  <c r="X226" i="3" s="1"/>
  <c r="T228" i="3"/>
  <c r="AI228" i="3"/>
  <c r="AD228" i="3"/>
  <c r="Y228" i="3"/>
  <c r="T229" i="3"/>
  <c r="AI229" i="3"/>
  <c r="AH229" i="3"/>
  <c r="AF229" i="3"/>
  <c r="AE229" i="3"/>
  <c r="AD229" i="3"/>
  <c r="AC229" i="3"/>
  <c r="AB229" i="3"/>
  <c r="AA229" i="3"/>
  <c r="Z229" i="3"/>
  <c r="Y229" i="3"/>
  <c r="W229" i="3"/>
  <c r="V229" i="3"/>
  <c r="U229" i="3"/>
  <c r="X229" i="3" s="1"/>
  <c r="AI230" i="3"/>
  <c r="T230" i="3"/>
  <c r="AH230" i="3"/>
  <c r="AF230" i="3"/>
  <c r="AE230" i="3"/>
  <c r="V230" i="3"/>
  <c r="T231" i="3"/>
  <c r="AH231" i="3"/>
  <c r="AF231" i="3"/>
  <c r="AE231" i="3"/>
  <c r="AD231" i="3"/>
  <c r="AC231" i="3"/>
  <c r="AB231" i="3"/>
  <c r="AA231" i="3"/>
  <c r="T232" i="3"/>
  <c r="AI232" i="3"/>
  <c r="AC232" i="3"/>
  <c r="AB232" i="3"/>
  <c r="W232" i="3"/>
  <c r="AI233" i="3"/>
  <c r="T233" i="3"/>
  <c r="AH233" i="3"/>
  <c r="AF233" i="3"/>
  <c r="AE233" i="3"/>
  <c r="V233" i="3"/>
  <c r="T234" i="3"/>
  <c r="AF234" i="3"/>
  <c r="AE234" i="3"/>
  <c r="AD234" i="3"/>
  <c r="AC234" i="3"/>
  <c r="AB234" i="3"/>
  <c r="AA234" i="3"/>
  <c r="Y234" i="3"/>
  <c r="W234" i="3"/>
  <c r="T235" i="3"/>
  <c r="AI235" i="3"/>
  <c r="AH235" i="3"/>
  <c r="AF235" i="3"/>
  <c r="AD235" i="3"/>
  <c r="AC235" i="3"/>
  <c r="AB235" i="3"/>
  <c r="AA235" i="3"/>
  <c r="Z235" i="3"/>
  <c r="Y235" i="3"/>
  <c r="W235" i="3"/>
  <c r="V235" i="3"/>
  <c r="U235" i="3"/>
  <c r="X235" i="3" s="1"/>
  <c r="AI236" i="3"/>
  <c r="T236" i="3"/>
  <c r="AF236" i="3"/>
  <c r="AE236" i="3"/>
  <c r="AD236" i="3"/>
  <c r="AB236" i="3"/>
  <c r="U236" i="3"/>
  <c r="T237" i="3"/>
  <c r="AI237" i="3"/>
  <c r="AH237" i="3"/>
  <c r="AF237" i="3"/>
  <c r="AE237" i="3"/>
  <c r="AD237" i="3"/>
  <c r="AB237" i="3"/>
  <c r="AA237" i="3"/>
  <c r="T238" i="3"/>
  <c r="AI238" i="3"/>
  <c r="AF238" i="3"/>
  <c r="AE238" i="3"/>
  <c r="AD238" i="3"/>
  <c r="AC238" i="3"/>
  <c r="AB238" i="3"/>
  <c r="AA238" i="3"/>
  <c r="Z238" i="3"/>
  <c r="AG238" i="3" s="1"/>
  <c r="Y238" i="3"/>
  <c r="W238" i="3"/>
  <c r="V238" i="3"/>
  <c r="U238" i="3"/>
  <c r="T239" i="3"/>
  <c r="AI239" i="3"/>
  <c r="AH239" i="3"/>
  <c r="AF239" i="3"/>
  <c r="AE239" i="3"/>
  <c r="AD239" i="3"/>
  <c r="AC239" i="3"/>
  <c r="AB239" i="3"/>
  <c r="AA239" i="3"/>
  <c r="Z239" i="3"/>
  <c r="Y239" i="3"/>
  <c r="W239" i="3"/>
  <c r="V239" i="3"/>
  <c r="U239" i="3"/>
  <c r="X239" i="3" s="1"/>
  <c r="T240" i="3"/>
  <c r="AI240" i="3"/>
  <c r="AH240" i="3"/>
  <c r="AF240" i="3"/>
  <c r="AE240" i="3"/>
  <c r="AD240" i="3"/>
  <c r="V240" i="3"/>
  <c r="U240" i="3"/>
  <c r="T241" i="3"/>
  <c r="AF241" i="3"/>
  <c r="AE241" i="3"/>
  <c r="T242" i="3"/>
  <c r="AH242" i="3"/>
  <c r="AD242" i="3"/>
  <c r="AC242" i="3"/>
  <c r="AB242" i="3"/>
  <c r="AA242" i="3"/>
  <c r="Z242" i="3"/>
  <c r="AG242" i="3" s="1"/>
  <c r="Y242" i="3"/>
  <c r="W242" i="3"/>
  <c r="U242" i="3"/>
  <c r="X242" i="3" s="1"/>
  <c r="T243" i="3"/>
  <c r="AH243" i="3"/>
  <c r="AF243" i="3"/>
  <c r="AE243" i="3"/>
  <c r="AD243" i="3"/>
  <c r="AC243" i="3"/>
  <c r="AB243" i="3"/>
  <c r="Y243" i="3"/>
  <c r="W243" i="3"/>
  <c r="V243" i="3"/>
  <c r="U243" i="3"/>
  <c r="X243" i="3" s="1"/>
  <c r="T244" i="3"/>
  <c r="AH244" i="3"/>
  <c r="T245" i="3"/>
  <c r="V245" i="3"/>
  <c r="T246" i="3"/>
  <c r="U246" i="3"/>
  <c r="T247" i="3"/>
  <c r="AF247" i="3"/>
  <c r="AE247" i="3"/>
  <c r="AD247" i="3"/>
  <c r="AC247" i="3"/>
  <c r="AB247" i="3"/>
  <c r="AA247" i="3"/>
  <c r="Z247" i="3"/>
  <c r="AG247" i="3" s="1"/>
  <c r="T248" i="3"/>
  <c r="AH248" i="3"/>
  <c r="AF248" i="3"/>
  <c r="AE248" i="3"/>
  <c r="AB248" i="3"/>
  <c r="AA248" i="3"/>
  <c r="Z248" i="3"/>
  <c r="AG248" i="3" s="1"/>
  <c r="Y248" i="3"/>
  <c r="W248" i="3"/>
  <c r="U248" i="3"/>
  <c r="X248" i="3" s="1"/>
  <c r="T249" i="3"/>
  <c r="AH249" i="3"/>
  <c r="AF249" i="3"/>
  <c r="AE249" i="3"/>
  <c r="AD249" i="3"/>
  <c r="AC249" i="3"/>
  <c r="AB249" i="3"/>
  <c r="AA249" i="3"/>
  <c r="Z249" i="3"/>
  <c r="W249" i="3"/>
  <c r="V249" i="3"/>
  <c r="U249" i="3"/>
  <c r="AH250" i="3"/>
  <c r="T250" i="3"/>
  <c r="AI250" i="3"/>
  <c r="AF250" i="3"/>
  <c r="AE250" i="3"/>
  <c r="AD250" i="3"/>
  <c r="AC250" i="3"/>
  <c r="AB250" i="3"/>
  <c r="AA250" i="3"/>
  <c r="Z250" i="3"/>
  <c r="Y250" i="3"/>
  <c r="W250" i="3"/>
  <c r="V250" i="3"/>
  <c r="U250" i="3"/>
  <c r="X250" i="3" s="1"/>
  <c r="T251" i="3"/>
  <c r="AI251" i="3"/>
  <c r="AH251" i="3"/>
  <c r="AF251" i="3"/>
  <c r="AE251" i="3"/>
  <c r="W251" i="3"/>
  <c r="V251" i="3"/>
  <c r="T253" i="3"/>
  <c r="AI253" i="3"/>
  <c r="AH253" i="3"/>
  <c r="AF253" i="3"/>
  <c r="AE253" i="3"/>
  <c r="AD253" i="3"/>
  <c r="AC253" i="3"/>
  <c r="AB253" i="3"/>
  <c r="AA253" i="3"/>
  <c r="Z253" i="3"/>
  <c r="Y253" i="3"/>
  <c r="W253" i="3"/>
  <c r="V253" i="3"/>
  <c r="U253" i="3"/>
  <c r="X253" i="3" s="1"/>
  <c r="T254" i="3"/>
  <c r="AI254" i="3"/>
  <c r="AC254" i="3"/>
  <c r="Z254" i="3"/>
  <c r="Y254" i="3"/>
  <c r="W254" i="3"/>
  <c r="V254" i="3"/>
  <c r="U254" i="3"/>
  <c r="X254" i="3" s="1"/>
  <c r="T255" i="3"/>
  <c r="AI255" i="3"/>
  <c r="AH255" i="3"/>
  <c r="AF255" i="3"/>
  <c r="T258" i="3"/>
  <c r="AH258" i="3"/>
  <c r="AF258" i="3"/>
  <c r="AE258" i="3"/>
  <c r="AD258" i="3"/>
  <c r="AC258" i="3"/>
  <c r="AB258" i="3"/>
  <c r="AA258" i="3"/>
  <c r="Z258" i="3"/>
  <c r="AG258" i="3" s="1"/>
  <c r="Y258" i="3"/>
  <c r="W258" i="3"/>
  <c r="AH259" i="3"/>
  <c r="T259" i="3"/>
  <c r="AC259" i="3"/>
  <c r="AB259" i="3"/>
  <c r="AA259" i="3"/>
  <c r="Z259" i="3"/>
  <c r="Y259" i="3"/>
  <c r="W259" i="3"/>
  <c r="V259" i="3"/>
  <c r="U259" i="3"/>
  <c r="X259" i="3" s="1"/>
  <c r="T260" i="3"/>
  <c r="AI260" i="3"/>
  <c r="AH260" i="3"/>
  <c r="AB260" i="3"/>
  <c r="AA260" i="3"/>
  <c r="W260" i="3"/>
  <c r="V260" i="3"/>
  <c r="T261" i="3"/>
  <c r="AE261" i="3"/>
  <c r="T263" i="3"/>
  <c r="AF263" i="3"/>
  <c r="AB263" i="3"/>
  <c r="AH264" i="3"/>
  <c r="T264" i="3"/>
  <c r="AI264" i="3"/>
  <c r="AF264" i="3"/>
  <c r="AE264" i="3"/>
  <c r="AD264" i="3"/>
  <c r="AC264" i="3"/>
  <c r="AB264" i="3"/>
  <c r="AA264" i="3"/>
  <c r="Z264" i="3"/>
  <c r="Y264" i="3"/>
  <c r="W264" i="3"/>
  <c r="V264" i="3"/>
  <c r="U264" i="3"/>
  <c r="X264" i="3" s="1"/>
  <c r="AH265" i="3"/>
  <c r="T265" i="3"/>
  <c r="AI265" i="3"/>
  <c r="AF265" i="3"/>
  <c r="AE265" i="3"/>
  <c r="AD265" i="3"/>
  <c r="AA265" i="3"/>
  <c r="Z265" i="3"/>
  <c r="AG265" i="3" s="1"/>
  <c r="Y265" i="3"/>
  <c r="W265" i="3"/>
  <c r="V265" i="3"/>
  <c r="T267" i="3"/>
  <c r="AI267" i="3"/>
  <c r="AH267" i="3"/>
  <c r="AF267" i="3"/>
  <c r="AE267" i="3"/>
  <c r="AD267" i="3"/>
  <c r="AC267" i="3"/>
  <c r="AB267" i="3"/>
  <c r="AA267" i="3"/>
  <c r="Z267" i="3"/>
  <c r="Y267" i="3"/>
  <c r="W267" i="3"/>
  <c r="V267" i="3"/>
  <c r="U267" i="3"/>
  <c r="X267" i="3" s="1"/>
  <c r="T268" i="3"/>
  <c r="AI268" i="3"/>
  <c r="AE268" i="3"/>
  <c r="AC268" i="3"/>
  <c r="T269" i="3"/>
  <c r="AI269" i="3"/>
  <c r="AH269" i="3"/>
  <c r="AF269" i="3"/>
  <c r="AE269" i="3"/>
  <c r="AD269" i="3"/>
  <c r="AC269" i="3"/>
  <c r="AB269" i="3"/>
  <c r="AA269" i="3"/>
  <c r="T270" i="3"/>
  <c r="AH270" i="3"/>
  <c r="AD270" i="3"/>
  <c r="AC270" i="3"/>
  <c r="AB270" i="3"/>
  <c r="AA270" i="3"/>
  <c r="Z270" i="3"/>
  <c r="AG270" i="3" s="1"/>
  <c r="Y270" i="3"/>
  <c r="V270" i="3"/>
  <c r="T271" i="3"/>
  <c r="AI271" i="3"/>
  <c r="AH271" i="3"/>
  <c r="AE271" i="3"/>
  <c r="AD271" i="3"/>
  <c r="AC271" i="3"/>
  <c r="AB271" i="3"/>
  <c r="Y271" i="3"/>
  <c r="W271" i="3"/>
  <c r="U271" i="3"/>
  <c r="X271" i="3" s="1"/>
  <c r="T272" i="3"/>
  <c r="AH272" i="3"/>
  <c r="AF272" i="3"/>
  <c r="AE272" i="3"/>
  <c r="AB272" i="3"/>
  <c r="AA272" i="3"/>
  <c r="Z272" i="3"/>
  <c r="AG272" i="3" s="1"/>
  <c r="Y272" i="3"/>
  <c r="W272" i="3"/>
  <c r="T273" i="3"/>
  <c r="AI273" i="3"/>
  <c r="AH273" i="3"/>
  <c r="AF273" i="3"/>
  <c r="AC273" i="3"/>
  <c r="AB273" i="3"/>
  <c r="Y273" i="3"/>
  <c r="W273" i="3"/>
  <c r="U273" i="3"/>
  <c r="X273" i="3" s="1"/>
  <c r="T274" i="3"/>
  <c r="AI274" i="3"/>
  <c r="AH274" i="3"/>
  <c r="AF274" i="3"/>
  <c r="AE274" i="3"/>
  <c r="AD274" i="3"/>
  <c r="AC274" i="3"/>
  <c r="AB274" i="3"/>
  <c r="AA274" i="3"/>
  <c r="V274" i="3"/>
  <c r="U274" i="3"/>
  <c r="T275" i="3"/>
  <c r="AF275" i="3"/>
  <c r="AE275" i="3"/>
  <c r="AD275" i="3"/>
  <c r="AC275" i="3"/>
  <c r="AB275" i="3"/>
  <c r="AA275" i="3"/>
  <c r="Z275" i="3"/>
  <c r="AG275" i="3" s="1"/>
  <c r="Y275" i="3"/>
  <c r="T276" i="3"/>
  <c r="AH276" i="3"/>
  <c r="AF276" i="3"/>
  <c r="AE276" i="3"/>
  <c r="AB276" i="3"/>
  <c r="AA276" i="3"/>
  <c r="Z276" i="3"/>
  <c r="AG276" i="3" s="1"/>
  <c r="Y276" i="3"/>
  <c r="W276" i="3"/>
  <c r="V276" i="3"/>
  <c r="U276" i="3"/>
  <c r="X276" i="3" s="1"/>
  <c r="T277" i="3"/>
  <c r="AI277" i="3"/>
  <c r="AH277" i="3"/>
  <c r="AE277" i="3"/>
  <c r="AD277" i="3"/>
  <c r="AC277" i="3"/>
  <c r="AB277" i="3"/>
  <c r="AA277" i="3"/>
  <c r="Z277" i="3"/>
  <c r="W277" i="3"/>
  <c r="V277" i="3"/>
  <c r="U277" i="3"/>
  <c r="AH278" i="3"/>
  <c r="T278" i="3"/>
  <c r="AI278" i="3"/>
  <c r="AF278" i="3"/>
  <c r="AE278" i="3"/>
  <c r="AD278" i="3"/>
  <c r="AC278" i="3"/>
  <c r="AB278" i="3"/>
  <c r="AA278" i="3"/>
  <c r="Z278" i="3"/>
  <c r="Y278" i="3"/>
  <c r="W278" i="3"/>
  <c r="V278" i="3"/>
  <c r="U278" i="3"/>
  <c r="X278" i="3" s="1"/>
  <c r="T279" i="3"/>
  <c r="V279" i="3"/>
  <c r="U279" i="3"/>
  <c r="X279" i="3" s="1"/>
  <c r="T280" i="3"/>
  <c r="AD280" i="3"/>
  <c r="AC280" i="3"/>
  <c r="AB280" i="3"/>
  <c r="AA280" i="3"/>
  <c r="Z280" i="3"/>
  <c r="U280" i="3"/>
  <c r="T281" i="3"/>
  <c r="AI281" i="3"/>
  <c r="AH281" i="3"/>
  <c r="AF281" i="3"/>
  <c r="AE281" i="3"/>
  <c r="AD281" i="3"/>
  <c r="AC281" i="3"/>
  <c r="AB281" i="3"/>
  <c r="AA281" i="3"/>
  <c r="Z281" i="3"/>
  <c r="Y281" i="3"/>
  <c r="W281" i="3"/>
  <c r="V281" i="3"/>
  <c r="U281" i="3"/>
  <c r="X281" i="3" s="1"/>
  <c r="T282" i="3"/>
  <c r="AI282" i="3"/>
  <c r="AH282" i="3"/>
  <c r="AD282" i="3"/>
  <c r="AC282" i="3"/>
  <c r="U282" i="3"/>
  <c r="T283" i="3"/>
  <c r="AE283" i="3"/>
  <c r="T285" i="3"/>
  <c r="AI285" i="3"/>
  <c r="AH285" i="3"/>
  <c r="AF285" i="3"/>
  <c r="AE285" i="3"/>
  <c r="T286" i="3"/>
  <c r="AH286" i="3"/>
  <c r="AF286" i="3"/>
  <c r="AE286" i="3"/>
  <c r="AD286" i="3"/>
  <c r="AC286" i="3"/>
  <c r="AB286" i="3"/>
  <c r="AA286" i="3"/>
  <c r="Z286" i="3"/>
  <c r="AG286" i="3" s="1"/>
  <c r="Y286" i="3"/>
  <c r="W286" i="3"/>
  <c r="T287" i="3"/>
  <c r="AI287" i="3"/>
  <c r="AF287" i="3"/>
  <c r="AC287" i="3"/>
  <c r="Z287" i="3"/>
  <c r="Y287" i="3"/>
  <c r="W287" i="3"/>
  <c r="U287" i="3"/>
  <c r="X287" i="3" s="1"/>
  <c r="T288" i="3"/>
  <c r="AI288" i="3"/>
  <c r="AH288" i="3"/>
  <c r="AF288" i="3"/>
  <c r="AC288" i="3"/>
  <c r="AB288" i="3"/>
  <c r="T289" i="3"/>
  <c r="AF289" i="3"/>
  <c r="AE289" i="3"/>
  <c r="T290" i="3"/>
  <c r="AH290" i="3"/>
  <c r="T291" i="3"/>
  <c r="AB291" i="3"/>
  <c r="AA291" i="3"/>
  <c r="Z291" i="3"/>
  <c r="W291" i="3"/>
  <c r="AH292" i="3"/>
  <c r="T292" i="3"/>
  <c r="AI292" i="3"/>
  <c r="AF292" i="3"/>
  <c r="AE292" i="3"/>
  <c r="AD292" i="3"/>
  <c r="AC292" i="3"/>
  <c r="AB292" i="3"/>
  <c r="AA292" i="3"/>
  <c r="Z292" i="3"/>
  <c r="Y292" i="3"/>
  <c r="W292" i="3"/>
  <c r="V292" i="3"/>
  <c r="U292" i="3"/>
  <c r="X292" i="3" s="1"/>
  <c r="T293" i="3"/>
  <c r="U293" i="3"/>
  <c r="T294" i="3"/>
  <c r="AA294" i="3"/>
  <c r="U294" i="3"/>
  <c r="T295" i="3"/>
  <c r="AI295" i="3"/>
  <c r="AH295" i="3"/>
  <c r="AF295" i="3"/>
  <c r="AE295" i="3"/>
  <c r="AD295" i="3"/>
  <c r="AC295" i="3"/>
  <c r="AB295" i="3"/>
  <c r="AA295" i="3"/>
  <c r="Z295" i="3"/>
  <c r="Y295" i="3"/>
  <c r="W295" i="3"/>
  <c r="V295" i="3"/>
  <c r="U295" i="3"/>
  <c r="X295" i="3" s="1"/>
  <c r="T296" i="3"/>
  <c r="Z296" i="3"/>
  <c r="Y296" i="3"/>
  <c r="T297" i="3"/>
  <c r="Z297" i="3"/>
  <c r="Y297" i="3"/>
  <c r="U297" i="3"/>
  <c r="T298" i="3"/>
  <c r="AI298" i="3"/>
  <c r="AH298" i="3"/>
  <c r="AB298" i="3"/>
  <c r="AA298" i="3"/>
  <c r="W298" i="3"/>
  <c r="V298" i="3"/>
  <c r="U298" i="3"/>
  <c r="X298" i="3" s="1"/>
  <c r="T299" i="3"/>
  <c r="AI299" i="3"/>
  <c r="AH299" i="3"/>
  <c r="AF299" i="3"/>
  <c r="AE299" i="3"/>
  <c r="AD299" i="3"/>
  <c r="Y299" i="3"/>
  <c r="U299" i="3"/>
  <c r="X299" i="3" s="1"/>
  <c r="T300" i="3"/>
  <c r="AH300" i="3"/>
  <c r="AF300" i="3"/>
  <c r="AE300" i="3"/>
  <c r="AD300" i="3"/>
  <c r="AC300" i="3"/>
  <c r="AB300" i="3"/>
  <c r="AA300" i="3"/>
  <c r="W300" i="3"/>
  <c r="AH301" i="3"/>
  <c r="T301" i="3"/>
  <c r="AF301" i="3"/>
  <c r="AC301" i="3"/>
  <c r="AB301" i="3"/>
  <c r="AA301" i="3"/>
  <c r="Z301" i="3"/>
  <c r="AG301" i="3" s="1"/>
  <c r="Y301" i="3"/>
  <c r="U301" i="3"/>
  <c r="X301" i="3" s="1"/>
  <c r="T302" i="3"/>
  <c r="AH302" i="3"/>
  <c r="AF302" i="3"/>
  <c r="AE302" i="3"/>
  <c r="AD302" i="3"/>
  <c r="AC302" i="3"/>
  <c r="AB302" i="3"/>
  <c r="AA302" i="3"/>
  <c r="W302" i="3"/>
  <c r="V302" i="3"/>
  <c r="U302" i="3"/>
  <c r="X302" i="3" s="1"/>
  <c r="T303" i="3"/>
  <c r="AE303" i="3"/>
  <c r="AD303" i="3"/>
  <c r="AA303" i="3"/>
  <c r="Z303" i="3"/>
  <c r="Y303" i="3"/>
  <c r="W303" i="3"/>
  <c r="V303" i="3"/>
  <c r="T304" i="3"/>
  <c r="AI304" i="3"/>
  <c r="V304" i="3"/>
  <c r="U304" i="3"/>
  <c r="T305" i="3"/>
  <c r="Z305" i="3"/>
  <c r="AH306" i="3"/>
  <c r="T306" i="3"/>
  <c r="AI306" i="3"/>
  <c r="AF306" i="3"/>
  <c r="AE306" i="3"/>
  <c r="AD306" i="3"/>
  <c r="AC306" i="3"/>
  <c r="AB306" i="3"/>
  <c r="AA306" i="3"/>
  <c r="Z306" i="3"/>
  <c r="Y306" i="3"/>
  <c r="W306" i="3"/>
  <c r="V306" i="3"/>
  <c r="U306" i="3"/>
  <c r="X306" i="3" s="1"/>
  <c r="T307" i="3"/>
  <c r="AE307" i="3"/>
  <c r="AD307" i="3"/>
  <c r="AA307" i="3"/>
  <c r="Z307" i="3"/>
  <c r="Y307" i="3"/>
  <c r="W307" i="3"/>
  <c r="T308" i="3"/>
  <c r="AH308" i="3"/>
  <c r="AF308" i="3"/>
  <c r="AE308" i="3"/>
  <c r="AD308" i="3"/>
  <c r="AC308" i="3"/>
  <c r="AB308" i="3"/>
  <c r="AA308" i="3"/>
  <c r="Z308" i="3"/>
  <c r="AG308" i="3" s="1"/>
  <c r="Y308" i="3"/>
  <c r="V308" i="3"/>
  <c r="U308" i="3"/>
  <c r="T309" i="3"/>
  <c r="AI309" i="3"/>
  <c r="AH309" i="3"/>
  <c r="AF309" i="3"/>
  <c r="AE309" i="3"/>
  <c r="AD309" i="3"/>
  <c r="AC309" i="3"/>
  <c r="AB309" i="3"/>
  <c r="AA309" i="3"/>
  <c r="Z309" i="3"/>
  <c r="Y309" i="3"/>
  <c r="W309" i="3"/>
  <c r="V309" i="3"/>
  <c r="U309" i="3"/>
  <c r="X309" i="3" s="1"/>
  <c r="T310" i="3"/>
  <c r="AI310" i="3"/>
  <c r="W310" i="3"/>
  <c r="AH311" i="3"/>
  <c r="T311" i="3"/>
  <c r="AF311" i="3"/>
  <c r="AE311" i="3"/>
  <c r="AD311" i="3"/>
  <c r="AC311" i="3"/>
  <c r="AB311" i="3"/>
  <c r="AA311" i="3"/>
  <c r="Z311" i="3"/>
  <c r="AG311" i="3" s="1"/>
  <c r="U311" i="3"/>
  <c r="T313" i="3"/>
  <c r="AI313" i="3"/>
  <c r="AF313" i="3"/>
  <c r="AB313" i="3"/>
  <c r="Y313" i="3"/>
  <c r="W313" i="3"/>
  <c r="U313" i="3"/>
  <c r="X313" i="3" s="1"/>
  <c r="T315" i="3"/>
  <c r="AC315" i="3"/>
  <c r="Z315" i="3"/>
  <c r="AG315" i="3" s="1"/>
  <c r="V315" i="3"/>
  <c r="U315" i="3"/>
  <c r="T316" i="3"/>
  <c r="AI316" i="3"/>
  <c r="AH316" i="3"/>
  <c r="AF316" i="3"/>
  <c r="AE316" i="3"/>
  <c r="AD316" i="3"/>
  <c r="AB316" i="3"/>
  <c r="W316" i="3"/>
  <c r="T317" i="3"/>
  <c r="AF317" i="3"/>
  <c r="AE317" i="3"/>
  <c r="AD317" i="3"/>
  <c r="AC317" i="3"/>
  <c r="AB317" i="3"/>
  <c r="AA317" i="3"/>
  <c r="Y317" i="3"/>
  <c r="V317" i="3"/>
  <c r="T318" i="3"/>
  <c r="Y318" i="3"/>
  <c r="V318" i="3"/>
  <c r="T319" i="3"/>
  <c r="Z319" i="3"/>
  <c r="V319" i="3"/>
  <c r="U319" i="3"/>
  <c r="AH320" i="3"/>
  <c r="T320" i="3"/>
  <c r="AI320" i="3"/>
  <c r="AF320" i="3"/>
  <c r="AE320" i="3"/>
  <c r="AD320" i="3"/>
  <c r="AC320" i="3"/>
  <c r="AB320" i="3"/>
  <c r="AA320" i="3"/>
  <c r="Z320" i="3"/>
  <c r="Y320" i="3"/>
  <c r="W320" i="3"/>
  <c r="V320" i="3"/>
  <c r="U320" i="3"/>
  <c r="X320" i="3" s="1"/>
  <c r="T321" i="3"/>
  <c r="AI321" i="3"/>
  <c r="AH321" i="3"/>
  <c r="AF321" i="3"/>
  <c r="AD321" i="3"/>
  <c r="Y321" i="3"/>
  <c r="U321" i="3"/>
  <c r="T322" i="3"/>
  <c r="AH322" i="3"/>
  <c r="AF322" i="3"/>
  <c r="AE322" i="3"/>
  <c r="AD322" i="3"/>
  <c r="AC322" i="3"/>
  <c r="AB322" i="3"/>
  <c r="AA322" i="3"/>
  <c r="V322" i="3"/>
  <c r="U322" i="3"/>
  <c r="T323" i="3"/>
  <c r="AI323" i="3"/>
  <c r="AH323" i="3"/>
  <c r="AF323" i="3"/>
  <c r="AE323" i="3"/>
  <c r="AD323" i="3"/>
  <c r="AC323" i="3"/>
  <c r="AB323" i="3"/>
  <c r="AA323" i="3"/>
  <c r="Z323" i="3"/>
  <c r="Y323" i="3"/>
  <c r="W323" i="3"/>
  <c r="V323" i="3"/>
  <c r="U323" i="3"/>
  <c r="X323" i="3" s="1"/>
  <c r="T324" i="3"/>
  <c r="AH324" i="3"/>
  <c r="AE324" i="3"/>
  <c r="AD324" i="3"/>
  <c r="Y324" i="3"/>
  <c r="W324" i="3"/>
  <c r="V324" i="3"/>
  <c r="U324" i="3"/>
  <c r="X324" i="3" s="1"/>
  <c r="W325" i="3"/>
  <c r="T325" i="3"/>
  <c r="AI325" i="3"/>
  <c r="AH325" i="3"/>
  <c r="AF325" i="3"/>
  <c r="AE325" i="3"/>
  <c r="AD325" i="3"/>
  <c r="AC325" i="3"/>
  <c r="AB325" i="3"/>
  <c r="AA325" i="3"/>
  <c r="Z325" i="3"/>
  <c r="Y325" i="3"/>
  <c r="U325" i="3"/>
  <c r="X325" i="3" s="1"/>
  <c r="T326" i="3"/>
  <c r="AI326" i="3"/>
  <c r="AH326" i="3"/>
  <c r="AC326" i="3"/>
  <c r="U326" i="3"/>
  <c r="T328" i="3"/>
  <c r="AH328" i="3"/>
  <c r="AE328" i="3"/>
  <c r="AD328" i="3"/>
  <c r="AC328" i="3"/>
  <c r="AB328" i="3"/>
  <c r="AA328" i="3"/>
  <c r="Z328" i="3"/>
  <c r="AG328" i="3" s="1"/>
  <c r="W328" i="3"/>
  <c r="AI329" i="3"/>
  <c r="T329" i="3"/>
  <c r="AH329" i="3"/>
  <c r="AF329" i="3"/>
  <c r="AC329" i="3"/>
  <c r="AB329" i="3"/>
  <c r="Z329" i="3"/>
  <c r="AG329" i="3" s="1"/>
  <c r="Y329" i="3"/>
  <c r="U329" i="3"/>
  <c r="X329" i="3" s="1"/>
  <c r="T330" i="3"/>
  <c r="AF330" i="3"/>
  <c r="AE330" i="3"/>
  <c r="AD330" i="3"/>
  <c r="AC330" i="3"/>
  <c r="AB330" i="3"/>
  <c r="AA330" i="3"/>
  <c r="T331" i="3"/>
  <c r="AF331" i="3"/>
  <c r="AD331" i="3"/>
  <c r="AC331" i="3"/>
  <c r="AB331" i="3"/>
  <c r="AA331" i="3"/>
  <c r="Z331" i="3"/>
  <c r="AG331" i="3" s="1"/>
  <c r="Y331" i="3"/>
  <c r="W331" i="3"/>
  <c r="T332" i="3"/>
  <c r="AI332" i="3"/>
  <c r="AH332" i="3"/>
  <c r="AF332" i="3"/>
  <c r="AE332" i="3"/>
  <c r="AB332" i="3"/>
  <c r="AA332" i="3"/>
  <c r="Y332" i="3"/>
  <c r="W332" i="3"/>
  <c r="V332" i="3"/>
  <c r="U332" i="3"/>
  <c r="X332" i="3" s="1"/>
  <c r="T333" i="3"/>
  <c r="AB333" i="3"/>
  <c r="AA333" i="3"/>
  <c r="W333" i="3"/>
  <c r="V333" i="3"/>
  <c r="AH334" i="3"/>
  <c r="T334" i="3"/>
  <c r="AI334" i="3"/>
  <c r="AF334" i="3"/>
  <c r="AE334" i="3"/>
  <c r="AD334" i="3"/>
  <c r="AC334" i="3"/>
  <c r="AB334" i="3"/>
  <c r="AA334" i="3"/>
  <c r="Z334" i="3"/>
  <c r="Y334" i="3"/>
  <c r="W334" i="3"/>
  <c r="V334" i="3"/>
  <c r="U334" i="3"/>
  <c r="X334" i="3" s="1"/>
  <c r="T335" i="3"/>
  <c r="AI335" i="3"/>
  <c r="AD335" i="3"/>
  <c r="W335" i="3"/>
  <c r="V335" i="3"/>
  <c r="U335" i="3"/>
  <c r="T336" i="3"/>
  <c r="U336" i="3"/>
  <c r="T337" i="3"/>
  <c r="AI337" i="3"/>
  <c r="AH337" i="3"/>
  <c r="AF337" i="3"/>
  <c r="AE337" i="3"/>
  <c r="AD337" i="3"/>
  <c r="AC337" i="3"/>
  <c r="AB337" i="3"/>
  <c r="AA337" i="3"/>
  <c r="Z337" i="3"/>
  <c r="Y337" i="3"/>
  <c r="W337" i="3"/>
  <c r="V337" i="3"/>
  <c r="U337" i="3"/>
  <c r="X337" i="3" s="1"/>
  <c r="AI338" i="3"/>
  <c r="T338" i="3"/>
  <c r="AF338" i="3"/>
  <c r="AE338" i="3"/>
  <c r="AD338" i="3"/>
  <c r="AC338" i="3"/>
  <c r="Z338" i="3"/>
  <c r="AG338" i="3" s="1"/>
  <c r="W338" i="3"/>
  <c r="AC339" i="3"/>
  <c r="T339" i="3"/>
  <c r="AI339" i="3"/>
  <c r="AF339" i="3"/>
  <c r="AE339" i="3"/>
  <c r="AD339" i="3"/>
  <c r="AB339" i="3"/>
  <c r="AA339" i="3"/>
  <c r="Z339" i="3"/>
  <c r="AG339" i="3" s="1"/>
  <c r="Y339" i="3"/>
  <c r="U339" i="3"/>
  <c r="X339" i="3" s="1"/>
  <c r="T340" i="3"/>
  <c r="AI340" i="3"/>
  <c r="AF340" i="3"/>
  <c r="AE340" i="3"/>
  <c r="AD340" i="3"/>
  <c r="AC340" i="3"/>
  <c r="AB340" i="3"/>
  <c r="AA340" i="3"/>
  <c r="Z340" i="3"/>
  <c r="AG340" i="3" s="1"/>
  <c r="Y340" i="3"/>
  <c r="W340" i="3"/>
  <c r="V340" i="3"/>
  <c r="U340" i="3"/>
  <c r="T341" i="3"/>
  <c r="AI341" i="3"/>
  <c r="AH341" i="3"/>
  <c r="AF341" i="3"/>
  <c r="AE341" i="3"/>
  <c r="AD341" i="3"/>
  <c r="AC341" i="3"/>
  <c r="AB341" i="3"/>
  <c r="AA341" i="3"/>
  <c r="Z341" i="3"/>
  <c r="Y341" i="3"/>
  <c r="W341" i="3"/>
  <c r="V341" i="3"/>
  <c r="U341" i="3"/>
  <c r="X341" i="3" s="1"/>
  <c r="T342" i="3"/>
  <c r="AH342" i="3"/>
  <c r="AF342" i="3"/>
  <c r="AC342" i="3"/>
  <c r="V342" i="3"/>
  <c r="AI344" i="3"/>
  <c r="T344" i="3"/>
  <c r="AE344" i="3"/>
  <c r="Z344" i="3"/>
  <c r="V344" i="3"/>
  <c r="U344" i="3"/>
  <c r="AH345" i="3"/>
  <c r="T345" i="3"/>
  <c r="AI345" i="3"/>
  <c r="AD345" i="3"/>
  <c r="V345" i="3"/>
  <c r="U345" i="3"/>
  <c r="AH346" i="3"/>
  <c r="T346" i="3"/>
  <c r="Z346" i="3"/>
  <c r="AG346" i="3" s="1"/>
  <c r="U346" i="3"/>
  <c r="X346" i="3" s="1"/>
  <c r="AD347" i="3"/>
  <c r="T347" i="3"/>
  <c r="AI347" i="3"/>
  <c r="AF347" i="3"/>
  <c r="AE347" i="3"/>
  <c r="AC347" i="3"/>
  <c r="AA347" i="3"/>
  <c r="Z347" i="3"/>
  <c r="Y347" i="3"/>
  <c r="W347" i="3"/>
  <c r="V347" i="3"/>
  <c r="U347" i="3"/>
  <c r="X347" i="3" s="1"/>
  <c r="T349" i="3"/>
  <c r="AI349" i="3"/>
  <c r="AF349" i="3"/>
  <c r="AC349" i="3"/>
  <c r="T350" i="3"/>
  <c r="AI350" i="3"/>
  <c r="AH350" i="3"/>
  <c r="AE350" i="3"/>
  <c r="Y350" i="3"/>
  <c r="T351" i="3"/>
  <c r="AE351" i="3"/>
  <c r="W351" i="3"/>
  <c r="T352" i="3"/>
  <c r="AI352" i="3"/>
  <c r="AH352" i="3"/>
  <c r="AF352" i="3"/>
  <c r="AE352" i="3"/>
  <c r="AD352" i="3"/>
  <c r="AC352" i="3"/>
  <c r="AB352" i="3"/>
  <c r="AA352" i="3"/>
  <c r="Z352" i="3"/>
  <c r="Y352" i="3"/>
  <c r="W352" i="3"/>
  <c r="V352" i="3"/>
  <c r="U352" i="3"/>
  <c r="X352" i="3" s="1"/>
  <c r="AB353" i="3"/>
  <c r="T353" i="3"/>
  <c r="AI353" i="3"/>
  <c r="AF353" i="3"/>
  <c r="AE353" i="3"/>
  <c r="AD353" i="3"/>
  <c r="AC353" i="3"/>
  <c r="AA353" i="3"/>
  <c r="Z353" i="3"/>
  <c r="AG353" i="3" s="1"/>
  <c r="Y353" i="3"/>
  <c r="V353" i="3"/>
  <c r="U353" i="3"/>
  <c r="X353" i="3" s="1"/>
  <c r="W354" i="3"/>
  <c r="T354" i="3"/>
  <c r="AI354" i="3"/>
  <c r="AF354" i="3"/>
  <c r="AE354" i="3"/>
  <c r="AD354" i="3"/>
  <c r="AC354" i="3"/>
  <c r="AB354" i="3"/>
  <c r="AA354" i="3"/>
  <c r="Z354" i="3"/>
  <c r="AG354" i="3" s="1"/>
  <c r="Y354" i="3"/>
  <c r="V354" i="3"/>
  <c r="U354" i="3"/>
  <c r="X354" i="3" s="1"/>
  <c r="AH356" i="3"/>
  <c r="T356" i="3"/>
  <c r="AI356" i="3"/>
  <c r="W356" i="3"/>
  <c r="V356" i="3"/>
  <c r="V357" i="3"/>
  <c r="T357" i="3"/>
  <c r="AI357" i="3"/>
  <c r="AE357" i="3"/>
  <c r="AD357" i="3"/>
  <c r="AC357" i="3"/>
  <c r="AB357" i="3"/>
  <c r="AA357" i="3"/>
  <c r="Z357" i="3"/>
  <c r="AG357" i="3" s="1"/>
  <c r="Y357" i="3"/>
  <c r="AE358" i="3"/>
  <c r="T358" i="3"/>
  <c r="AI358" i="3"/>
  <c r="AF358" i="3"/>
  <c r="AD358" i="3"/>
  <c r="AC358" i="3"/>
  <c r="AA358" i="3"/>
  <c r="Z358" i="3"/>
  <c r="Y358" i="3"/>
  <c r="W358" i="3"/>
  <c r="V358" i="3"/>
  <c r="U358" i="3"/>
  <c r="X358" i="3" s="1"/>
  <c r="T359" i="3"/>
  <c r="Y359" i="3"/>
  <c r="W359" i="3"/>
  <c r="V359" i="3"/>
  <c r="U359" i="3"/>
  <c r="AD361" i="3"/>
  <c r="T361" i="3"/>
  <c r="AE361" i="3"/>
  <c r="AC361" i="3"/>
  <c r="AB361" i="3"/>
  <c r="AA361" i="3"/>
  <c r="Z361" i="3"/>
  <c r="AG361" i="3" s="1"/>
  <c r="Y361" i="3"/>
  <c r="W361" i="3"/>
  <c r="T362" i="3"/>
  <c r="AI362" i="3"/>
  <c r="AH362" i="3"/>
  <c r="AC362" i="3"/>
  <c r="AA362" i="3"/>
  <c r="Z362" i="3"/>
  <c r="W362" i="3"/>
  <c r="T363" i="3"/>
  <c r="AI363" i="3"/>
  <c r="AF363" i="3"/>
  <c r="AE363" i="3"/>
  <c r="AD363" i="3"/>
  <c r="V363" i="3"/>
  <c r="U363" i="3"/>
  <c r="AE365" i="3"/>
  <c r="T365" i="3"/>
  <c r="AF365" i="3"/>
  <c r="AD365" i="3"/>
  <c r="AC365" i="3"/>
  <c r="AB365" i="3"/>
  <c r="AA365" i="3"/>
  <c r="Z365" i="3"/>
  <c r="AG365" i="3" s="1"/>
  <c r="Y365" i="3"/>
  <c r="W365" i="3"/>
  <c r="V365" i="3"/>
  <c r="T366" i="3"/>
  <c r="AI366" i="3"/>
  <c r="AH366" i="3"/>
  <c r="AF366" i="3"/>
  <c r="AE366" i="3"/>
  <c r="AD366" i="3"/>
  <c r="AC366" i="3"/>
  <c r="AB366" i="3"/>
  <c r="AA366" i="3"/>
  <c r="Z366" i="3"/>
  <c r="Y366" i="3"/>
  <c r="W366" i="3"/>
  <c r="V366" i="3"/>
  <c r="U366" i="3"/>
  <c r="X366" i="3" s="1"/>
  <c r="T367" i="3"/>
  <c r="AI367" i="3"/>
  <c r="AH367" i="3"/>
  <c r="AD367" i="3"/>
  <c r="AF369" i="3"/>
  <c r="T369" i="3"/>
  <c r="AI369" i="3"/>
  <c r="AE369" i="3"/>
  <c r="AD369" i="3"/>
  <c r="AC369" i="3"/>
  <c r="AA369" i="3"/>
  <c r="Z369" i="3"/>
  <c r="Y369" i="3"/>
  <c r="W369" i="3"/>
  <c r="V369" i="3"/>
  <c r="U369" i="3"/>
  <c r="X369" i="3" s="1"/>
  <c r="T370" i="3"/>
  <c r="U370" i="3"/>
  <c r="T371" i="3"/>
  <c r="AH371" i="3"/>
  <c r="AB371" i="3"/>
  <c r="AA371" i="3"/>
  <c r="AE372" i="3"/>
  <c r="T372" i="3"/>
  <c r="AD372" i="3"/>
  <c r="AC372" i="3"/>
  <c r="AB372" i="3"/>
  <c r="AA372" i="3"/>
  <c r="Z372" i="3"/>
  <c r="AG372" i="3" s="1"/>
  <c r="Y372" i="3"/>
  <c r="W372" i="3"/>
  <c r="T373" i="3"/>
  <c r="AI373" i="3"/>
  <c r="AH373" i="3"/>
  <c r="AC373" i="3"/>
  <c r="AA373" i="3"/>
  <c r="Y373" i="3"/>
  <c r="W373" i="3"/>
  <c r="T374" i="3"/>
  <c r="AH374" i="3"/>
  <c r="AF374" i="3"/>
  <c r="AE374" i="3"/>
  <c r="W374" i="3"/>
  <c r="V374" i="3"/>
  <c r="T375" i="3"/>
  <c r="AE375" i="3"/>
  <c r="Z375" i="3"/>
  <c r="U375" i="3"/>
  <c r="Y376" i="3"/>
  <c r="T376" i="3"/>
  <c r="AF376" i="3"/>
  <c r="AD376" i="3"/>
  <c r="AC376" i="3"/>
  <c r="AB376" i="3"/>
  <c r="AA376" i="3"/>
  <c r="Z376" i="3"/>
  <c r="AG376" i="3" s="1"/>
  <c r="W376" i="3"/>
  <c r="V376" i="3"/>
  <c r="T377" i="3"/>
  <c r="AI377" i="3"/>
  <c r="AB377" i="3"/>
  <c r="Z377" i="3"/>
  <c r="AG377" i="3" s="1"/>
  <c r="Y377" i="3"/>
  <c r="W377" i="3"/>
  <c r="V377" i="3"/>
  <c r="U377" i="3"/>
  <c r="T378" i="3"/>
  <c r="AH378" i="3"/>
  <c r="AF378" i="3"/>
  <c r="AE378" i="3"/>
  <c r="AD378" i="3"/>
  <c r="U378" i="3"/>
  <c r="T379" i="3"/>
  <c r="AI379" i="3"/>
  <c r="AF379" i="3"/>
  <c r="AE379" i="3"/>
  <c r="AD379" i="3"/>
  <c r="AC379" i="3"/>
  <c r="AB379" i="3"/>
  <c r="AA379" i="3"/>
  <c r="Z379" i="3"/>
  <c r="AG379" i="3" s="1"/>
  <c r="V379" i="3"/>
  <c r="U379" i="3"/>
  <c r="T380" i="3"/>
  <c r="AI380" i="3"/>
  <c r="AH380" i="3"/>
  <c r="AF380" i="3"/>
  <c r="AE380" i="3"/>
  <c r="AD380" i="3"/>
  <c r="AC380" i="3"/>
  <c r="AB380" i="3"/>
  <c r="AA380" i="3"/>
  <c r="Z380" i="3"/>
  <c r="Y380" i="3"/>
  <c r="W380" i="3"/>
  <c r="V380" i="3"/>
  <c r="U380" i="3"/>
  <c r="X380" i="3" s="1"/>
  <c r="T381" i="3"/>
  <c r="AI381" i="3"/>
  <c r="AH381" i="3"/>
  <c r="AF381" i="3"/>
  <c r="Z381" i="3"/>
  <c r="AG381" i="3" s="1"/>
  <c r="W381" i="3"/>
  <c r="T382" i="3"/>
  <c r="AI382" i="3"/>
  <c r="AH382" i="3"/>
  <c r="AF382" i="3"/>
  <c r="AE382" i="3"/>
  <c r="AD382" i="3"/>
  <c r="V382" i="3"/>
  <c r="AF383" i="3"/>
  <c r="T383" i="3"/>
  <c r="AD383" i="3"/>
  <c r="AC383" i="3"/>
  <c r="AA383" i="3"/>
  <c r="Z383" i="3"/>
  <c r="AG383" i="3" s="1"/>
  <c r="Y383" i="3"/>
  <c r="W383" i="3"/>
  <c r="T384" i="3"/>
  <c r="AI384" i="3"/>
  <c r="Y384" i="3"/>
  <c r="W384" i="3"/>
  <c r="V384" i="3"/>
  <c r="U384" i="3"/>
  <c r="T385" i="3"/>
  <c r="AD385" i="3"/>
  <c r="T386" i="3"/>
  <c r="AH386" i="3"/>
  <c r="AD386" i="3"/>
  <c r="AC386" i="3"/>
  <c r="AB386" i="3"/>
  <c r="U386" i="3"/>
  <c r="Z387" i="3"/>
  <c r="AG387" i="3" s="1"/>
  <c r="T387" i="3"/>
  <c r="AF387" i="3"/>
  <c r="AD387" i="3"/>
  <c r="AC387" i="3"/>
  <c r="AB387" i="3"/>
  <c r="AA387" i="3"/>
  <c r="Y387" i="3"/>
  <c r="W387" i="3"/>
  <c r="V387" i="3"/>
  <c r="T388" i="3"/>
  <c r="AB388" i="3"/>
  <c r="V388" i="3"/>
  <c r="T389" i="3"/>
  <c r="AE389" i="3"/>
  <c r="V389" i="3"/>
  <c r="Y390" i="3"/>
  <c r="T390" i="3"/>
  <c r="AI390" i="3"/>
  <c r="AF390" i="3"/>
  <c r="AE390" i="3"/>
  <c r="AD390" i="3"/>
  <c r="AC390" i="3"/>
  <c r="AB390" i="3"/>
  <c r="AA390" i="3"/>
  <c r="Z390" i="3"/>
  <c r="AG390" i="3" s="1"/>
  <c r="V390" i="3"/>
  <c r="U390" i="3"/>
  <c r="T391" i="3"/>
  <c r="AF391" i="3"/>
  <c r="AE391" i="3"/>
  <c r="AD391" i="3"/>
  <c r="AC391" i="3"/>
  <c r="AB391" i="3"/>
  <c r="AA391" i="3"/>
  <c r="Z391" i="3"/>
  <c r="AG391" i="3" s="1"/>
  <c r="Y391" i="3"/>
  <c r="W391" i="3"/>
  <c r="V391" i="3"/>
  <c r="T392" i="3"/>
  <c r="AI392" i="3"/>
  <c r="AH392" i="3"/>
  <c r="AA392" i="3"/>
  <c r="Y392" i="3"/>
  <c r="V392" i="3"/>
  <c r="U392" i="3"/>
  <c r="X392" i="3" s="1"/>
  <c r="T393" i="3"/>
  <c r="AH393" i="3"/>
  <c r="AF393" i="3"/>
  <c r="AE393" i="3"/>
  <c r="AD393" i="3"/>
  <c r="Y393" i="3"/>
  <c r="W393" i="3"/>
  <c r="U393" i="3"/>
  <c r="T394" i="3"/>
  <c r="AI394" i="3"/>
  <c r="AH394" i="3"/>
  <c r="AF394" i="3"/>
  <c r="AE394" i="3"/>
  <c r="AD394" i="3"/>
  <c r="AC394" i="3"/>
  <c r="AB394" i="3"/>
  <c r="AA394" i="3"/>
  <c r="Z394" i="3"/>
  <c r="Y394" i="3"/>
  <c r="W394" i="3"/>
  <c r="V394" i="3"/>
  <c r="U394" i="3"/>
  <c r="X394" i="3" s="1"/>
  <c r="T395" i="3"/>
  <c r="AH395" i="3"/>
  <c r="AE395" i="3"/>
  <c r="AD395" i="3"/>
  <c r="AC395" i="3"/>
  <c r="AA395" i="3"/>
  <c r="Z395" i="3"/>
  <c r="AG395" i="3" s="1"/>
  <c r="Y395" i="3"/>
  <c r="W395" i="3"/>
  <c r="V395" i="3"/>
  <c r="U395" i="3"/>
  <c r="X395" i="3" s="1"/>
  <c r="T396" i="3"/>
  <c r="AI396" i="3"/>
  <c r="AH396" i="3"/>
  <c r="AC396" i="3"/>
  <c r="Z396" i="3"/>
  <c r="Y396" i="3"/>
  <c r="T398" i="3"/>
  <c r="AI398" i="3"/>
  <c r="AH398" i="3"/>
  <c r="AF398" i="3"/>
  <c r="AD398" i="3"/>
  <c r="W398" i="3"/>
  <c r="U398" i="3"/>
  <c r="X398" i="3" s="1"/>
  <c r="T399" i="3"/>
  <c r="AF399" i="3"/>
  <c r="AE399" i="3"/>
  <c r="AD399" i="3"/>
  <c r="AC399" i="3"/>
  <c r="T401" i="3"/>
  <c r="AI401" i="3"/>
  <c r="AH401" i="3"/>
  <c r="AF401" i="3"/>
  <c r="AE401" i="3"/>
  <c r="AC401" i="3"/>
  <c r="AB401" i="3"/>
  <c r="AA401" i="3"/>
  <c r="U401" i="3"/>
  <c r="Y402" i="3"/>
  <c r="T402" i="3"/>
  <c r="AH402" i="3"/>
  <c r="AF402" i="3"/>
  <c r="AE402" i="3"/>
  <c r="AD402" i="3"/>
  <c r="AC402" i="3"/>
  <c r="AB402" i="3"/>
  <c r="AA402" i="3"/>
  <c r="Z402" i="3"/>
  <c r="W402" i="3"/>
  <c r="V402" i="3"/>
  <c r="T403" i="3"/>
  <c r="AI403" i="3"/>
  <c r="AF403" i="3"/>
  <c r="AE403" i="3"/>
  <c r="AC403" i="3"/>
  <c r="AA403" i="3"/>
  <c r="Z403" i="3"/>
  <c r="AG403" i="3" s="1"/>
  <c r="Y403" i="3"/>
  <c r="W403" i="3"/>
  <c r="T404" i="3"/>
  <c r="AH404" i="3"/>
  <c r="AF404" i="3"/>
  <c r="AE404" i="3"/>
  <c r="AD404" i="3"/>
  <c r="AB404" i="3"/>
  <c r="AA404" i="3"/>
  <c r="Z404" i="3"/>
  <c r="AG404" i="3" s="1"/>
  <c r="V404" i="3"/>
  <c r="U404" i="3"/>
  <c r="X404" i="3" s="1"/>
  <c r="T405" i="3"/>
  <c r="AI405" i="3"/>
  <c r="AE405" i="3"/>
  <c r="AC405" i="3"/>
  <c r="AB405" i="3"/>
  <c r="AA405" i="3"/>
  <c r="Z405" i="3"/>
  <c r="AG405" i="3" s="1"/>
  <c r="Y405" i="3"/>
  <c r="W405" i="3"/>
  <c r="V405" i="3"/>
  <c r="U405" i="3"/>
  <c r="T406" i="3"/>
  <c r="AI406" i="3"/>
  <c r="AH406" i="3"/>
  <c r="AF406" i="3"/>
  <c r="AE406" i="3"/>
  <c r="AD406" i="3"/>
  <c r="AB406" i="3"/>
  <c r="AA406" i="3"/>
  <c r="Z406" i="3"/>
  <c r="Y406" i="3"/>
  <c r="W406" i="3"/>
  <c r="V406" i="3"/>
  <c r="U406" i="3"/>
  <c r="X406" i="3" s="1"/>
  <c r="T407" i="3"/>
  <c r="AD407" i="3"/>
  <c r="AA407" i="3"/>
  <c r="Z407" i="3"/>
  <c r="T408" i="3"/>
  <c r="AI408" i="3"/>
  <c r="AH408" i="3"/>
  <c r="AF408" i="3"/>
  <c r="AE408" i="3"/>
  <c r="AD408" i="3"/>
  <c r="AC408" i="3"/>
  <c r="AB408" i="3"/>
  <c r="AA408" i="3"/>
  <c r="Z408" i="3"/>
  <c r="Y408" i="3"/>
  <c r="W408" i="3"/>
  <c r="V408" i="3"/>
  <c r="U408" i="3"/>
  <c r="X408" i="3" s="1"/>
  <c r="T409" i="3"/>
  <c r="AI409" i="3"/>
  <c r="AA409" i="3"/>
  <c r="Y409" i="3"/>
  <c r="V409" i="3"/>
  <c r="U409" i="3"/>
  <c r="AA410" i="3"/>
  <c r="T410" i="3"/>
  <c r="AH410" i="3"/>
  <c r="AF410" i="3"/>
  <c r="AE410" i="3"/>
  <c r="AD410" i="3"/>
  <c r="AC410" i="3"/>
  <c r="AB410" i="3"/>
  <c r="Z410" i="3"/>
  <c r="Y410" i="3"/>
  <c r="V410" i="3"/>
  <c r="T411" i="3"/>
  <c r="AI411" i="3"/>
  <c r="Z411" i="3"/>
  <c r="W411" i="3"/>
  <c r="U411" i="3"/>
  <c r="T412" i="3"/>
  <c r="AI412" i="3"/>
  <c r="AH412" i="3"/>
  <c r="AF412" i="3"/>
  <c r="AD412" i="3"/>
  <c r="AC412" i="3"/>
  <c r="AB412" i="3"/>
  <c r="Z412" i="3"/>
  <c r="V412" i="3"/>
  <c r="U412" i="3"/>
  <c r="X412" i="3" s="1"/>
  <c r="T413" i="3"/>
  <c r="AE413" i="3"/>
  <c r="W413" i="3"/>
  <c r="U413" i="3"/>
  <c r="W414" i="3"/>
  <c r="T414" i="3"/>
  <c r="AH414" i="3"/>
  <c r="AF414" i="3"/>
  <c r="AD414" i="3"/>
  <c r="AB414" i="3"/>
  <c r="Z414" i="3"/>
  <c r="Y414" i="3"/>
  <c r="V414" i="3"/>
  <c r="T415" i="3"/>
  <c r="AI415" i="3"/>
  <c r="AH415" i="3"/>
  <c r="AE415" i="3"/>
  <c r="AC415" i="3"/>
  <c r="AA415" i="3"/>
  <c r="Y415" i="3"/>
  <c r="W415" i="3"/>
  <c r="Y416" i="3"/>
  <c r="T416" i="3"/>
  <c r="AH416" i="3"/>
  <c r="AF416" i="3"/>
  <c r="AE416" i="3"/>
  <c r="AD416" i="3"/>
  <c r="AC416" i="3"/>
  <c r="AB416" i="3"/>
  <c r="AA416" i="3"/>
  <c r="Z416" i="3"/>
  <c r="W416" i="3"/>
  <c r="V416" i="3"/>
  <c r="T417" i="3"/>
  <c r="AI417" i="3"/>
  <c r="AE417" i="3"/>
  <c r="AA417" i="3"/>
  <c r="Y417" i="3"/>
  <c r="Z419" i="3"/>
  <c r="T419" i="3"/>
  <c r="AI419" i="3"/>
  <c r="AE419" i="3"/>
  <c r="AC419" i="3"/>
  <c r="AB419" i="3"/>
  <c r="AA419" i="3"/>
  <c r="Y419" i="3"/>
  <c r="W419" i="3"/>
  <c r="U419" i="3"/>
  <c r="T420" i="3"/>
  <c r="AI420" i="3"/>
  <c r="AH420" i="3"/>
  <c r="AF420" i="3"/>
  <c r="AE420" i="3"/>
  <c r="AD420" i="3"/>
  <c r="AB420" i="3"/>
  <c r="AA420" i="3"/>
  <c r="Z420" i="3"/>
  <c r="Y420" i="3"/>
  <c r="W420" i="3"/>
  <c r="V420" i="3"/>
  <c r="U420" i="3"/>
  <c r="X420" i="3" s="1"/>
  <c r="AD421" i="3"/>
  <c r="T421" i="3"/>
  <c r="AI421" i="3"/>
  <c r="AF421" i="3"/>
  <c r="AE421" i="3"/>
  <c r="AC421" i="3"/>
  <c r="AA421" i="3"/>
  <c r="Y421" i="3"/>
  <c r="U421" i="3"/>
  <c r="T422" i="3"/>
  <c r="AI422" i="3"/>
  <c r="AH422" i="3"/>
  <c r="AF422" i="3"/>
  <c r="AE422" i="3"/>
  <c r="AD422" i="3"/>
  <c r="AC422" i="3"/>
  <c r="AB422" i="3"/>
  <c r="AA422" i="3"/>
  <c r="Z422" i="3"/>
  <c r="Y422" i="3"/>
  <c r="W422" i="3"/>
  <c r="V422" i="3"/>
  <c r="U422" i="3"/>
  <c r="X422" i="3" s="1"/>
  <c r="T423" i="3"/>
  <c r="Y423" i="3"/>
  <c r="V423" i="3"/>
  <c r="U423" i="3"/>
  <c r="AC424" i="3"/>
  <c r="T424" i="3"/>
  <c r="AH424" i="3"/>
  <c r="AF424" i="3"/>
  <c r="AE424" i="3"/>
  <c r="AD424" i="3"/>
  <c r="AB424" i="3"/>
  <c r="Z424" i="3"/>
  <c r="Y424" i="3"/>
  <c r="V424" i="3"/>
  <c r="T425" i="3"/>
  <c r="AC425" i="3"/>
  <c r="T426" i="3"/>
  <c r="AI426" i="3"/>
  <c r="AH426" i="3"/>
  <c r="AF426" i="3"/>
  <c r="AD426" i="3"/>
  <c r="AC426" i="3"/>
  <c r="AB426" i="3"/>
  <c r="Z426" i="3"/>
  <c r="W426" i="3"/>
  <c r="V426" i="3"/>
  <c r="U426" i="3"/>
  <c r="X426" i="3" s="1"/>
  <c r="T427" i="3"/>
  <c r="AA427" i="3"/>
  <c r="Y427" i="3"/>
  <c r="W428" i="3"/>
  <c r="T428" i="3"/>
  <c r="AH428" i="3"/>
  <c r="AF428" i="3"/>
  <c r="AD428" i="3"/>
  <c r="AB428" i="3"/>
  <c r="Z428" i="3"/>
  <c r="Y428" i="3"/>
  <c r="V428" i="3"/>
  <c r="T429" i="3"/>
  <c r="AI429" i="3"/>
  <c r="AF429" i="3"/>
  <c r="AD429" i="3"/>
  <c r="AC430" i="3"/>
  <c r="T430" i="3"/>
  <c r="AI430" i="3"/>
  <c r="AF430" i="3"/>
  <c r="AE430" i="3"/>
  <c r="AB430" i="3"/>
  <c r="Z430" i="3"/>
  <c r="AG430" i="3" s="1"/>
  <c r="Y430" i="3"/>
  <c r="V430" i="3"/>
  <c r="T431" i="3"/>
  <c r="AI431" i="3"/>
  <c r="AF431" i="3"/>
  <c r="AE431" i="3"/>
  <c r="AD431" i="3"/>
  <c r="AC431" i="3"/>
  <c r="AB431" i="3"/>
  <c r="AA431" i="3"/>
  <c r="Z431" i="3"/>
  <c r="AG431" i="3" s="1"/>
  <c r="Y431" i="3"/>
  <c r="W431" i="3"/>
  <c r="V431" i="3"/>
  <c r="U431" i="3"/>
  <c r="T432" i="3"/>
  <c r="AI432" i="3"/>
  <c r="AH432" i="3"/>
  <c r="AF432" i="3"/>
  <c r="AE432" i="3"/>
  <c r="AD432" i="3"/>
  <c r="AC432" i="3"/>
  <c r="AB432" i="3"/>
  <c r="AA432" i="3"/>
  <c r="Z432" i="3"/>
  <c r="Y432" i="3"/>
  <c r="W432" i="3"/>
  <c r="V432" i="3"/>
  <c r="U432" i="3"/>
  <c r="X432" i="3" s="1"/>
  <c r="T433" i="3"/>
  <c r="Z433" i="3"/>
  <c r="W434" i="3"/>
  <c r="T434" i="3"/>
  <c r="AI434" i="3"/>
  <c r="AF434" i="3"/>
  <c r="AE434" i="3"/>
  <c r="AD434" i="3"/>
  <c r="AC434" i="3"/>
  <c r="AB434" i="3"/>
  <c r="AA434" i="3"/>
  <c r="Y434" i="3"/>
  <c r="V434" i="3"/>
  <c r="AF435" i="3"/>
  <c r="T435" i="3"/>
  <c r="AI435" i="3"/>
  <c r="AD435" i="3"/>
  <c r="AB435" i="3"/>
  <c r="Z435" i="3"/>
  <c r="AG435" i="3" s="1"/>
  <c r="Y435" i="3"/>
  <c r="V435" i="3"/>
  <c r="AA436" i="3"/>
  <c r="T436" i="3"/>
  <c r="AI436" i="3"/>
  <c r="AE436" i="3"/>
  <c r="AD436" i="3"/>
  <c r="AC436" i="3"/>
  <c r="Z436" i="3"/>
  <c r="AG436" i="3" s="1"/>
  <c r="W436" i="3"/>
  <c r="V436" i="3"/>
  <c r="U436" i="3"/>
  <c r="X436" i="3" s="1"/>
  <c r="V437" i="3"/>
  <c r="T437" i="3"/>
  <c r="AI437" i="3"/>
  <c r="AF437" i="3"/>
  <c r="AE437" i="3"/>
  <c r="AC437" i="3"/>
  <c r="AA437" i="3"/>
  <c r="Z437" i="3"/>
  <c r="AG437" i="3" s="1"/>
  <c r="Y437" i="3"/>
  <c r="W437" i="3"/>
  <c r="AE438" i="3"/>
  <c r="T438" i="3"/>
  <c r="AF438" i="3"/>
  <c r="AC438" i="3"/>
  <c r="AB438" i="3"/>
  <c r="AA438" i="3"/>
  <c r="Y438" i="3"/>
  <c r="W438" i="3"/>
  <c r="U438" i="3"/>
  <c r="Z439" i="3"/>
  <c r="T439" i="3"/>
  <c r="AF439" i="3"/>
  <c r="AB439" i="3"/>
  <c r="W439" i="3"/>
  <c r="U439" i="3"/>
  <c r="X439" i="3" s="1"/>
  <c r="T440" i="3"/>
  <c r="AH440" i="3"/>
  <c r="AF440" i="3"/>
  <c r="AD441" i="3"/>
  <c r="T441" i="3"/>
  <c r="AI441" i="3"/>
  <c r="AF441" i="3"/>
  <c r="AE441" i="3"/>
  <c r="AB441" i="3"/>
  <c r="Z441" i="3"/>
  <c r="AG441" i="3" s="1"/>
  <c r="Y441" i="3"/>
  <c r="V441" i="3"/>
  <c r="Y442" i="3"/>
  <c r="T442" i="3"/>
  <c r="AI442" i="3"/>
  <c r="AF442" i="3"/>
  <c r="AE442" i="3"/>
  <c r="AD442" i="3"/>
  <c r="AC442" i="3"/>
  <c r="AB442" i="3"/>
  <c r="AA442" i="3"/>
  <c r="Z442" i="3"/>
  <c r="AG442" i="3" s="1"/>
  <c r="W442" i="3"/>
  <c r="V442" i="3"/>
  <c r="U442" i="3"/>
  <c r="X442" i="3" s="1"/>
  <c r="AD443" i="3"/>
  <c r="T443" i="3"/>
  <c r="AF443" i="3"/>
  <c r="AE443" i="3"/>
  <c r="AC443" i="3"/>
  <c r="AB443" i="3"/>
  <c r="AA443" i="3"/>
  <c r="Z443" i="3"/>
  <c r="AG443" i="3" s="1"/>
  <c r="Y443" i="3"/>
  <c r="W443" i="3"/>
  <c r="V443" i="3"/>
  <c r="U443" i="3"/>
  <c r="X443" i="3" s="1"/>
  <c r="T444" i="3"/>
  <c r="AH444" i="3"/>
  <c r="AF444" i="3"/>
  <c r="T445" i="3"/>
  <c r="AH445" i="3"/>
  <c r="T446" i="3"/>
  <c r="AI446" i="3"/>
  <c r="AH446" i="3"/>
  <c r="AF446" i="3"/>
  <c r="AE446" i="3"/>
  <c r="AD446" i="3"/>
  <c r="AC446" i="3"/>
  <c r="AB446" i="3"/>
  <c r="AA446" i="3"/>
  <c r="Z446" i="3"/>
  <c r="Y446" i="3"/>
  <c r="W446" i="3"/>
  <c r="V446" i="3"/>
  <c r="U446" i="3"/>
  <c r="X446" i="3" s="1"/>
  <c r="W448" i="3"/>
  <c r="T448" i="3"/>
  <c r="AF448" i="3"/>
  <c r="AD448" i="3"/>
  <c r="AB448" i="3"/>
  <c r="Z448" i="3"/>
  <c r="AG448" i="3" s="1"/>
  <c r="U448" i="3"/>
  <c r="AF449" i="3"/>
  <c r="T449" i="3"/>
  <c r="AE449" i="3"/>
  <c r="AC449" i="3"/>
  <c r="AB449" i="3"/>
  <c r="AA449" i="3"/>
  <c r="Y449" i="3"/>
  <c r="W449" i="3"/>
  <c r="U449" i="3"/>
  <c r="AA450" i="3"/>
  <c r="T450" i="3"/>
  <c r="AF450" i="3"/>
  <c r="AB450" i="3"/>
  <c r="W450" i="3"/>
  <c r="U450" i="3"/>
  <c r="X450" i="3" s="1"/>
  <c r="T452" i="3"/>
  <c r="AH452" i="3"/>
  <c r="AF452" i="3"/>
  <c r="AB452" i="3"/>
  <c r="Z452" i="3"/>
  <c r="AG452" i="3" s="1"/>
  <c r="V452" i="3"/>
  <c r="AH453" i="3"/>
  <c r="T453" i="3"/>
  <c r="AE453" i="3"/>
  <c r="AD453" i="3"/>
  <c r="AC453" i="3"/>
  <c r="AA453" i="3"/>
  <c r="W453" i="3"/>
  <c r="U453" i="3"/>
  <c r="T454" i="3"/>
  <c r="AF454" i="3"/>
  <c r="AE454" i="3"/>
  <c r="AD454" i="3"/>
  <c r="AC454" i="3"/>
  <c r="AB454" i="3"/>
  <c r="AA454" i="3"/>
  <c r="Z454" i="3"/>
  <c r="Y454" i="3"/>
  <c r="V454" i="3"/>
  <c r="AH455" i="3"/>
  <c r="T455" i="3"/>
  <c r="AA455" i="3"/>
  <c r="W455" i="3"/>
  <c r="U455" i="3"/>
  <c r="X455" i="3" s="1"/>
  <c r="AH456" i="3"/>
  <c r="T456" i="3"/>
  <c r="AI456" i="3"/>
  <c r="AE456" i="3"/>
  <c r="AC456" i="3"/>
  <c r="AB456" i="3"/>
  <c r="AA456" i="3"/>
  <c r="W456" i="3"/>
  <c r="V456" i="3"/>
  <c r="U456" i="3"/>
  <c r="AH457" i="3"/>
  <c r="T457" i="3"/>
  <c r="AI457" i="3"/>
  <c r="AF457" i="3"/>
  <c r="AE457" i="3"/>
  <c r="AD457" i="3"/>
  <c r="AC457" i="3"/>
  <c r="AB457" i="3"/>
  <c r="AA457" i="3"/>
  <c r="Z457" i="3"/>
  <c r="Y457" i="3"/>
  <c r="W457" i="3"/>
  <c r="V457" i="3"/>
  <c r="U457" i="3"/>
  <c r="X457" i="3" s="1"/>
  <c r="T458" i="3"/>
  <c r="AI458" i="3"/>
  <c r="AH458" i="3"/>
  <c r="AE458" i="3"/>
  <c r="Z458" i="3"/>
  <c r="AG458" i="3" s="1"/>
  <c r="V458" i="3"/>
  <c r="T459" i="3"/>
  <c r="AI459" i="3"/>
  <c r="AH459" i="3"/>
  <c r="AF459" i="3"/>
  <c r="AE459" i="3"/>
  <c r="AC459" i="3"/>
  <c r="AA459" i="3"/>
  <c r="V459" i="3"/>
  <c r="T460" i="3"/>
  <c r="AI460" i="3"/>
  <c r="AH460" i="3"/>
  <c r="AF460" i="3"/>
  <c r="AE460" i="3"/>
  <c r="AD460" i="3"/>
  <c r="AC460" i="3"/>
  <c r="AB460" i="3"/>
  <c r="AA460" i="3"/>
  <c r="Z460" i="3"/>
  <c r="Y460" i="3"/>
  <c r="W460" i="3"/>
  <c r="V460" i="3"/>
  <c r="U460" i="3"/>
  <c r="X460" i="3" s="1"/>
  <c r="T461" i="3"/>
  <c r="AI461" i="3"/>
  <c r="AH461" i="3"/>
  <c r="AF461" i="3"/>
  <c r="AE461" i="3"/>
  <c r="Z461" i="3"/>
  <c r="Y461" i="3"/>
  <c r="W461" i="3"/>
  <c r="V461" i="3"/>
  <c r="U461" i="3"/>
  <c r="X461" i="3" s="1"/>
  <c r="T463" i="3"/>
  <c r="AI463" i="3"/>
  <c r="AH463" i="3"/>
  <c r="AD463" i="3"/>
  <c r="AC463" i="3"/>
  <c r="AB463" i="3"/>
  <c r="AA463" i="3"/>
  <c r="Z463" i="3"/>
  <c r="Y463" i="3"/>
  <c r="W463" i="3"/>
  <c r="V463" i="3"/>
  <c r="U463" i="3"/>
  <c r="X463" i="3" s="1"/>
  <c r="T465" i="3"/>
  <c r="Z465" i="3"/>
  <c r="T466" i="3"/>
  <c r="AI466" i="3"/>
  <c r="AH466" i="3"/>
  <c r="AC466" i="3"/>
  <c r="AB466" i="3"/>
  <c r="AA466" i="3"/>
  <c r="Z466" i="3"/>
  <c r="Y466" i="3"/>
  <c r="W466" i="3"/>
  <c r="V466" i="3"/>
  <c r="U466" i="3"/>
  <c r="X466" i="3" s="1"/>
  <c r="AH469" i="3"/>
  <c r="T469" i="3"/>
  <c r="AI469" i="3"/>
  <c r="AB469" i="3"/>
  <c r="Z469" i="3"/>
  <c r="AG469" i="3" s="1"/>
  <c r="Y469" i="3"/>
  <c r="W469" i="3"/>
  <c r="V469" i="3"/>
  <c r="U469" i="3"/>
  <c r="X469" i="3" s="1"/>
  <c r="AH470" i="3"/>
  <c r="T470" i="3"/>
  <c r="AI470" i="3"/>
  <c r="AF470" i="3"/>
  <c r="AE470" i="3"/>
  <c r="AD470" i="3"/>
  <c r="AC470" i="3"/>
  <c r="AB470" i="3"/>
  <c r="W470" i="3"/>
  <c r="U470" i="3"/>
  <c r="AI471" i="3"/>
  <c r="T471" i="3"/>
  <c r="AF471" i="3"/>
  <c r="AE471" i="3"/>
  <c r="AD471" i="3"/>
  <c r="AC471" i="3"/>
  <c r="AB471" i="3"/>
  <c r="AA471" i="3"/>
  <c r="Z471" i="3"/>
  <c r="Y471" i="3"/>
  <c r="W471" i="3"/>
  <c r="V471" i="3"/>
  <c r="T472" i="3"/>
  <c r="AI472" i="3"/>
  <c r="AH472" i="3"/>
  <c r="AF472" i="3"/>
  <c r="AA472" i="3"/>
  <c r="Y472" i="3"/>
  <c r="V472" i="3"/>
  <c r="T473" i="3"/>
  <c r="AH473" i="3"/>
  <c r="AF473" i="3"/>
  <c r="AE473" i="3"/>
  <c r="AD473" i="3"/>
  <c r="AC473" i="3"/>
  <c r="AA473" i="3"/>
  <c r="T474" i="3"/>
  <c r="AI474" i="3"/>
  <c r="AH474" i="3"/>
  <c r="AF474" i="3"/>
  <c r="AE474" i="3"/>
  <c r="AD474" i="3"/>
  <c r="AC474" i="3"/>
  <c r="AB474" i="3"/>
  <c r="AA474" i="3"/>
  <c r="Z474" i="3"/>
  <c r="Y474" i="3"/>
  <c r="W474" i="3"/>
  <c r="V474" i="3"/>
  <c r="U474" i="3"/>
  <c r="X474" i="3" s="1"/>
  <c r="T477" i="3"/>
  <c r="AI477" i="3"/>
  <c r="AH477" i="3"/>
  <c r="AE477" i="3"/>
  <c r="AD477" i="3"/>
  <c r="AC477" i="3"/>
  <c r="AB477" i="3"/>
  <c r="AA477" i="3"/>
  <c r="Z477" i="3"/>
  <c r="Y477" i="3"/>
  <c r="W477" i="3"/>
  <c r="V477" i="3"/>
  <c r="U477" i="3"/>
  <c r="X477" i="3" s="1"/>
  <c r="AF478" i="3"/>
  <c r="T478" i="3"/>
  <c r="AI478" i="3"/>
  <c r="AH478" i="3"/>
  <c r="AE478" i="3"/>
  <c r="AD478" i="3"/>
  <c r="Y478" i="3"/>
  <c r="W478" i="3"/>
  <c r="V478" i="3"/>
  <c r="U478" i="3"/>
  <c r="T479" i="3"/>
  <c r="AH479" i="3"/>
  <c r="AF479" i="3"/>
  <c r="AE479" i="3"/>
  <c r="AD479" i="3"/>
  <c r="AC479" i="3"/>
  <c r="AB479" i="3"/>
  <c r="AA479" i="3"/>
  <c r="Z479" i="3"/>
  <c r="Y479" i="3"/>
  <c r="T480" i="3"/>
  <c r="AI480" i="3"/>
  <c r="AH480" i="3"/>
  <c r="AC480" i="3"/>
  <c r="AB480" i="3"/>
  <c r="AA480" i="3"/>
  <c r="Z480" i="3"/>
  <c r="Y480" i="3"/>
  <c r="W480" i="3"/>
  <c r="V480" i="3"/>
  <c r="U480" i="3"/>
  <c r="X480" i="3" s="1"/>
  <c r="T481" i="3"/>
  <c r="V481" i="3"/>
  <c r="U481" i="3"/>
  <c r="T482" i="3"/>
  <c r="AC482" i="3"/>
  <c r="Z482" i="3"/>
  <c r="Y482" i="3"/>
  <c r="T483" i="3"/>
  <c r="AI483" i="3"/>
  <c r="AH483" i="3"/>
  <c r="AB483" i="3"/>
  <c r="Z483" i="3"/>
  <c r="AG483" i="3" s="1"/>
  <c r="Y483" i="3"/>
  <c r="V483" i="3"/>
  <c r="T484" i="3"/>
  <c r="AI484" i="3"/>
  <c r="AH484" i="3"/>
  <c r="AF484" i="3"/>
  <c r="AE484" i="3"/>
  <c r="AD484" i="3"/>
  <c r="AC484" i="3"/>
  <c r="W484" i="3"/>
  <c r="V485" i="3"/>
  <c r="T485" i="3"/>
  <c r="AF485" i="3"/>
  <c r="AE485" i="3"/>
  <c r="AD485" i="3"/>
  <c r="AC485" i="3"/>
  <c r="AB485" i="3"/>
  <c r="AA485" i="3"/>
  <c r="Z485" i="3"/>
  <c r="Y485" i="3"/>
  <c r="W485" i="3"/>
  <c r="T486" i="3"/>
  <c r="AI486" i="3"/>
  <c r="AH486" i="3"/>
  <c r="Y486" i="3"/>
  <c r="W486" i="3"/>
  <c r="U486" i="3"/>
  <c r="T487" i="3"/>
  <c r="AH487" i="3"/>
  <c r="AF487" i="3"/>
  <c r="AD487" i="3"/>
  <c r="AB487" i="3"/>
  <c r="V488" i="3"/>
  <c r="T488" i="3"/>
  <c r="AI488" i="3"/>
  <c r="AF488" i="3"/>
  <c r="AE488" i="3"/>
  <c r="AD488" i="3"/>
  <c r="AC488" i="3"/>
  <c r="AB488" i="3"/>
  <c r="AA488" i="3"/>
  <c r="Z488" i="3"/>
  <c r="AG488" i="3" s="1"/>
  <c r="Y488" i="3"/>
  <c r="W488" i="3"/>
  <c r="U488" i="3"/>
  <c r="X488" i="3" s="1"/>
  <c r="T489" i="3"/>
  <c r="AI489" i="3"/>
  <c r="Z489" i="3"/>
  <c r="V489" i="3"/>
  <c r="T491" i="3"/>
  <c r="AF491" i="3"/>
  <c r="AE491" i="3"/>
  <c r="AD491" i="3"/>
  <c r="AC491" i="3"/>
  <c r="AB491" i="3"/>
  <c r="AA491" i="3"/>
  <c r="Z491" i="3"/>
  <c r="AG491" i="3" s="1"/>
  <c r="AD492" i="3"/>
  <c r="T492" i="3"/>
  <c r="AI492" i="3"/>
  <c r="AF492" i="3"/>
  <c r="AE492" i="3"/>
  <c r="AC492" i="3"/>
  <c r="AB492" i="3"/>
  <c r="AA492" i="3"/>
  <c r="Z492" i="3"/>
  <c r="AG492" i="3" s="1"/>
  <c r="Y492" i="3"/>
  <c r="W492" i="3"/>
  <c r="V492" i="3"/>
  <c r="U492" i="3"/>
  <c r="X492" i="3" s="1"/>
  <c r="T493" i="3"/>
  <c r="AI493" i="3"/>
  <c r="AH493" i="3"/>
  <c r="Z493" i="3"/>
  <c r="AG493" i="3" s="1"/>
  <c r="W493" i="3"/>
  <c r="V493" i="3"/>
  <c r="T494" i="3"/>
  <c r="AI494" i="3"/>
  <c r="AF494" i="3"/>
  <c r="AE494" i="3"/>
  <c r="AC494" i="3"/>
  <c r="U494" i="3"/>
  <c r="AC495" i="3"/>
  <c r="T495" i="3"/>
  <c r="AI495" i="3"/>
  <c r="AF495" i="3"/>
  <c r="AE495" i="3"/>
  <c r="AD495" i="3"/>
  <c r="AB495" i="3"/>
  <c r="AA495" i="3"/>
  <c r="Z495" i="3"/>
  <c r="AG495" i="3" s="1"/>
  <c r="Y495" i="3"/>
  <c r="T496" i="3"/>
  <c r="AI496" i="3"/>
  <c r="AF496" i="3"/>
  <c r="AE496" i="3"/>
  <c r="AD496" i="3"/>
  <c r="AC496" i="3"/>
  <c r="AB496" i="3"/>
  <c r="AA496" i="3"/>
  <c r="Z496" i="3"/>
  <c r="Y496" i="3"/>
  <c r="W496" i="3"/>
  <c r="V496" i="3"/>
  <c r="U496" i="3"/>
  <c r="T497" i="3"/>
  <c r="AI497" i="3"/>
  <c r="AH497" i="3"/>
  <c r="AF497" i="3"/>
  <c r="AE497" i="3"/>
  <c r="AD497" i="3"/>
  <c r="AC497" i="3"/>
  <c r="AB497" i="3"/>
  <c r="AA497" i="3"/>
  <c r="Z497" i="3"/>
  <c r="Y497" i="3"/>
  <c r="W497" i="3"/>
  <c r="V497" i="3"/>
  <c r="U497" i="3"/>
  <c r="X497" i="3" s="1"/>
  <c r="AI498" i="3"/>
  <c r="T498" i="3"/>
  <c r="AH498" i="3"/>
  <c r="AF498" i="3"/>
  <c r="AE498" i="3"/>
  <c r="AD498" i="3"/>
  <c r="AA498" i="3"/>
  <c r="W499" i="3"/>
  <c r="T499" i="3"/>
  <c r="AF499" i="3"/>
  <c r="AE499" i="3"/>
  <c r="AD499" i="3"/>
  <c r="AC499" i="3"/>
  <c r="AB499" i="3"/>
  <c r="AA499" i="3"/>
  <c r="Z499" i="3"/>
  <c r="AG499" i="3" s="1"/>
  <c r="Y499" i="3"/>
  <c r="T501" i="3"/>
  <c r="AF501" i="3"/>
  <c r="U501" i="3"/>
  <c r="V502" i="3"/>
  <c r="T502" i="3"/>
  <c r="AI502" i="3"/>
  <c r="AF502" i="3"/>
  <c r="AE502" i="3"/>
  <c r="AD502" i="3"/>
  <c r="AC502" i="3"/>
  <c r="AB502" i="3"/>
  <c r="AA502" i="3"/>
  <c r="Z502" i="3"/>
  <c r="AG502" i="3" s="1"/>
  <c r="AE503" i="3"/>
  <c r="T503" i="3"/>
  <c r="AI503" i="3"/>
  <c r="AF503" i="3"/>
  <c r="AD503" i="3"/>
  <c r="AC503" i="3"/>
  <c r="AB503" i="3"/>
  <c r="AA503" i="3"/>
  <c r="Z503" i="3"/>
  <c r="AG503" i="3" s="1"/>
  <c r="Y503" i="3"/>
  <c r="W503" i="3"/>
  <c r="V503" i="3"/>
  <c r="U503" i="3"/>
  <c r="X503" i="3" s="1"/>
  <c r="AH504" i="3"/>
  <c r="T504" i="3"/>
  <c r="AI504" i="3"/>
  <c r="Y504" i="3"/>
  <c r="W504" i="3"/>
  <c r="V504" i="3"/>
  <c r="U504" i="3"/>
  <c r="X504" i="3" s="1"/>
  <c r="T505" i="3"/>
  <c r="AH505" i="3"/>
  <c r="AE505" i="3"/>
  <c r="AD505" i="3"/>
  <c r="AC505" i="3"/>
  <c r="T506" i="3"/>
  <c r="AI506" i="3"/>
  <c r="AH506" i="3"/>
  <c r="AF506" i="3"/>
  <c r="AE506" i="3"/>
  <c r="AC506" i="3"/>
  <c r="AB506" i="3"/>
  <c r="Z506" i="3"/>
  <c r="AG506" i="3" s="1"/>
  <c r="T507" i="3"/>
  <c r="AI507" i="3"/>
  <c r="AH507" i="3"/>
  <c r="AE507" i="3"/>
  <c r="AD507" i="3"/>
  <c r="AC507" i="3"/>
  <c r="AB507" i="3"/>
  <c r="AA507" i="3"/>
  <c r="Z507" i="3"/>
  <c r="AG507" i="3" s="1"/>
  <c r="T508" i="3"/>
  <c r="AI508" i="3"/>
  <c r="AF508" i="3"/>
  <c r="AD508" i="3"/>
  <c r="AC508" i="3"/>
  <c r="AB508" i="3"/>
  <c r="Z508" i="3"/>
  <c r="AG508" i="3" s="1"/>
  <c r="Y508" i="3"/>
  <c r="W508" i="3"/>
  <c r="V508" i="3"/>
  <c r="U508" i="3"/>
  <c r="X508" i="3" s="1"/>
  <c r="AI509" i="3"/>
  <c r="T509" i="3"/>
  <c r="AH509" i="3"/>
  <c r="AF509" i="3"/>
  <c r="AE509" i="3"/>
  <c r="AD509" i="3"/>
  <c r="AB509" i="3"/>
  <c r="AA509" i="3"/>
  <c r="Y509" i="3"/>
  <c r="W509" i="3"/>
  <c r="U509" i="3"/>
  <c r="X509" i="3" s="1"/>
  <c r="AH510" i="3"/>
  <c r="T510" i="3"/>
  <c r="AF510" i="3"/>
  <c r="AD510" i="3"/>
  <c r="AC510" i="3"/>
  <c r="AB510" i="3"/>
  <c r="AA510" i="3"/>
  <c r="Z510" i="3"/>
  <c r="AG510" i="3" s="1"/>
  <c r="Y510" i="3"/>
  <c r="W510" i="3"/>
  <c r="V510" i="3"/>
  <c r="T511" i="3"/>
  <c r="AI511" i="3"/>
  <c r="AH511" i="3"/>
  <c r="AF511" i="3"/>
  <c r="AE511" i="3"/>
  <c r="AD511" i="3"/>
  <c r="AC511" i="3"/>
  <c r="AB511" i="3"/>
  <c r="AA511" i="3"/>
  <c r="Z511" i="3"/>
  <c r="Y511" i="3"/>
  <c r="W511" i="3"/>
  <c r="V511" i="3"/>
  <c r="U511" i="3"/>
  <c r="X511" i="3" s="1"/>
  <c r="T512" i="3"/>
  <c r="AH512" i="3"/>
  <c r="T513" i="3"/>
  <c r="AI513" i="3"/>
  <c r="Y513" i="3"/>
  <c r="U513" i="3"/>
  <c r="X513" i="3" s="1"/>
  <c r="T514" i="3"/>
  <c r="AI514" i="3"/>
  <c r="W514" i="3"/>
  <c r="V514" i="3"/>
  <c r="U514" i="3"/>
  <c r="T515" i="3"/>
  <c r="AI515" i="3"/>
  <c r="W515" i="3"/>
  <c r="V515" i="3"/>
  <c r="U515" i="3"/>
  <c r="V516" i="3"/>
  <c r="T516" i="3"/>
  <c r="AI516" i="3"/>
  <c r="AH516" i="3"/>
  <c r="AF516" i="3"/>
  <c r="AE516" i="3"/>
  <c r="AD516" i="3"/>
  <c r="AB516" i="3"/>
  <c r="AA516" i="3"/>
  <c r="Z516" i="3"/>
  <c r="Y516" i="3"/>
  <c r="W516" i="3"/>
  <c r="U516" i="3"/>
  <c r="X516" i="3" s="1"/>
  <c r="Z518" i="3"/>
  <c r="T518" i="3"/>
  <c r="AI518" i="3"/>
  <c r="AH518" i="3"/>
  <c r="AF518" i="3"/>
  <c r="AE518" i="3"/>
  <c r="AD518" i="3"/>
  <c r="AC518" i="3"/>
  <c r="AB518" i="3"/>
  <c r="AA518" i="3"/>
  <c r="Y518" i="3"/>
  <c r="V518" i="3"/>
  <c r="U518" i="3"/>
  <c r="X518" i="3" s="1"/>
  <c r="T520" i="3"/>
  <c r="AI520" i="3"/>
  <c r="V520" i="3"/>
  <c r="U520" i="3"/>
  <c r="T521" i="3"/>
  <c r="W521" i="3"/>
  <c r="AH522" i="3"/>
  <c r="T522" i="3"/>
  <c r="AI522" i="3"/>
  <c r="AF522" i="3"/>
  <c r="AD522" i="3"/>
  <c r="AC522" i="3"/>
  <c r="AB522" i="3"/>
  <c r="Z522" i="3"/>
  <c r="Y522" i="3"/>
  <c r="W522" i="3"/>
  <c r="V522" i="3"/>
  <c r="U522" i="3"/>
  <c r="X522" i="3" s="1"/>
  <c r="T523" i="3"/>
  <c r="AA523" i="3"/>
  <c r="U523" i="3"/>
  <c r="X523" i="3" s="1"/>
  <c r="T524" i="3"/>
  <c r="AB524" i="3"/>
  <c r="Z524" i="3"/>
  <c r="V524" i="3"/>
  <c r="T525" i="3"/>
  <c r="AI525" i="3"/>
  <c r="AH525" i="3"/>
  <c r="AF525" i="3"/>
  <c r="AE525" i="3"/>
  <c r="AD525" i="3"/>
  <c r="AC525" i="3"/>
  <c r="AB525" i="3"/>
  <c r="AA525" i="3"/>
  <c r="Z525" i="3"/>
  <c r="Y525" i="3"/>
  <c r="W525" i="3"/>
  <c r="V525" i="3"/>
  <c r="U525" i="3"/>
  <c r="X525" i="3" s="1"/>
  <c r="W527" i="3"/>
  <c r="T527" i="3"/>
  <c r="AI527" i="3"/>
  <c r="AF527" i="3"/>
  <c r="AE527" i="3"/>
  <c r="AC527" i="3"/>
  <c r="AB527" i="3"/>
  <c r="AA527" i="3"/>
  <c r="Z527" i="3"/>
  <c r="Y527" i="3"/>
  <c r="U527" i="3"/>
  <c r="X527" i="3" s="1"/>
  <c r="T528" i="3"/>
  <c r="AI528" i="3"/>
  <c r="AH528" i="3"/>
  <c r="AD528" i="3"/>
  <c r="Z528" i="3"/>
  <c r="AG528" i="3" s="1"/>
  <c r="W528" i="3"/>
  <c r="V528" i="3"/>
  <c r="U528" i="3"/>
  <c r="X528" i="3" s="1"/>
  <c r="T529" i="3"/>
  <c r="AI529" i="3"/>
  <c r="AF529" i="3"/>
  <c r="AE529" i="3"/>
  <c r="AD529" i="3"/>
  <c r="AC529" i="3"/>
  <c r="AB529" i="3"/>
  <c r="Y529" i="3"/>
  <c r="U529" i="3"/>
  <c r="V530" i="3"/>
  <c r="T530" i="3"/>
  <c r="AI530" i="3"/>
  <c r="AH530" i="3"/>
  <c r="AF530" i="3"/>
  <c r="AE530" i="3"/>
  <c r="AD530" i="3"/>
  <c r="AB530" i="3"/>
  <c r="AA530" i="3"/>
  <c r="Z530" i="3"/>
  <c r="Y530" i="3"/>
  <c r="W530" i="3"/>
  <c r="U530" i="3"/>
  <c r="X530" i="3" s="1"/>
  <c r="T531" i="3"/>
  <c r="AI531" i="3"/>
  <c r="AH531" i="3"/>
  <c r="AF531" i="3"/>
  <c r="AC531" i="3"/>
  <c r="Z532" i="3"/>
  <c r="T532" i="3"/>
  <c r="AI532" i="3"/>
  <c r="AH532" i="3"/>
  <c r="AF532" i="3"/>
  <c r="AE532" i="3"/>
  <c r="AD532" i="3"/>
  <c r="AC532" i="3"/>
  <c r="AB532" i="3"/>
  <c r="AA532" i="3"/>
  <c r="Y532" i="3"/>
  <c r="V532" i="3"/>
  <c r="U532" i="3"/>
  <c r="X532" i="3" s="1"/>
  <c r="T533" i="3"/>
  <c r="AC533" i="3"/>
  <c r="AA533" i="3"/>
  <c r="T534" i="3"/>
  <c r="AH534" i="3"/>
  <c r="AH536" i="3"/>
  <c r="T536" i="3"/>
  <c r="AI536" i="3"/>
  <c r="AF536" i="3"/>
  <c r="AD536" i="3"/>
  <c r="AC536" i="3"/>
  <c r="AB536" i="3"/>
  <c r="Z536" i="3"/>
  <c r="Y536" i="3"/>
  <c r="W536" i="3"/>
  <c r="V536" i="3"/>
  <c r="U536" i="3"/>
  <c r="X536" i="3" s="1"/>
  <c r="T537" i="3"/>
  <c r="AE537" i="3"/>
  <c r="AA537" i="3"/>
  <c r="W537" i="3"/>
  <c r="AI538" i="3"/>
  <c r="T538" i="3"/>
  <c r="AF538" i="3"/>
  <c r="AD538" i="3"/>
  <c r="AC538" i="3"/>
  <c r="AB538" i="3"/>
  <c r="AA538" i="3"/>
  <c r="Z538" i="3"/>
  <c r="Y538" i="3"/>
  <c r="V538" i="3"/>
  <c r="AD539" i="3"/>
  <c r="T539" i="3"/>
  <c r="AE539" i="3"/>
  <c r="AC539" i="3"/>
  <c r="AB539" i="3"/>
  <c r="Z539" i="3"/>
  <c r="AG539" i="3" s="1"/>
  <c r="Y539" i="3"/>
  <c r="W539" i="3"/>
  <c r="V539" i="3"/>
  <c r="U539" i="3"/>
  <c r="X539" i="3" s="1"/>
  <c r="AF540" i="3"/>
  <c r="T540" i="3"/>
  <c r="AH540" i="3"/>
  <c r="AD540" i="3"/>
  <c r="Z540" i="3"/>
  <c r="AG540" i="3" s="1"/>
  <c r="V540" i="3"/>
  <c r="U540" i="3"/>
  <c r="T541" i="3"/>
  <c r="AI541" i="3"/>
  <c r="AD541" i="3"/>
  <c r="Z541" i="3"/>
  <c r="AG541" i="3" s="1"/>
  <c r="V541" i="3"/>
  <c r="T542" i="3"/>
  <c r="W542" i="3"/>
  <c r="AE543" i="3"/>
  <c r="T543" i="3"/>
  <c r="AH543" i="3"/>
  <c r="AF543" i="3"/>
  <c r="AD543" i="3"/>
  <c r="AC543" i="3"/>
  <c r="AB543" i="3"/>
  <c r="AA543" i="3"/>
  <c r="Z543" i="3"/>
  <c r="AG543" i="3" s="1"/>
  <c r="Y543" i="3"/>
  <c r="U543" i="3"/>
  <c r="T544" i="3"/>
  <c r="AI544" i="3"/>
  <c r="AH544" i="3"/>
  <c r="AF544" i="3"/>
  <c r="AD544" i="3"/>
  <c r="AC544" i="3"/>
  <c r="AB544" i="3"/>
  <c r="AA544" i="3"/>
  <c r="Z544" i="3"/>
  <c r="Y544" i="3"/>
  <c r="W544" i="3"/>
  <c r="V544" i="3"/>
  <c r="U544" i="3"/>
  <c r="X544" i="3" s="1"/>
  <c r="T547" i="3"/>
  <c r="AH547" i="3"/>
  <c r="T548" i="3"/>
  <c r="AI548" i="3"/>
  <c r="AH548" i="3"/>
  <c r="AF548" i="3"/>
  <c r="AB548" i="3"/>
  <c r="U548" i="3"/>
  <c r="V549" i="3"/>
  <c r="T549" i="3"/>
  <c r="AI549" i="3"/>
  <c r="AF549" i="3"/>
  <c r="AE549" i="3"/>
  <c r="AD549" i="3"/>
  <c r="AC549" i="3"/>
  <c r="AB549" i="3"/>
  <c r="AA549" i="3"/>
  <c r="Z549" i="3"/>
  <c r="Y549" i="3"/>
  <c r="W549" i="3"/>
  <c r="U549" i="3"/>
  <c r="X549" i="3" s="1"/>
  <c r="T550" i="3"/>
  <c r="AF550" i="3"/>
  <c r="AA550" i="3"/>
  <c r="T551" i="3"/>
  <c r="AI551" i="3"/>
  <c r="AH551" i="3"/>
  <c r="AF551" i="3"/>
  <c r="AE551" i="3"/>
  <c r="AD551" i="3"/>
  <c r="AC551" i="3"/>
  <c r="AB551" i="3"/>
  <c r="AA551" i="3"/>
  <c r="U551" i="3"/>
  <c r="AI552" i="3"/>
  <c r="T552" i="3"/>
  <c r="AH552" i="3"/>
  <c r="AF552" i="3"/>
  <c r="AE552" i="3"/>
  <c r="AD552" i="3"/>
  <c r="AC552" i="3"/>
  <c r="AB552" i="3"/>
  <c r="AA552" i="3"/>
  <c r="Z552" i="3"/>
  <c r="Y552" i="3"/>
  <c r="W552" i="3"/>
  <c r="V552" i="3"/>
  <c r="T553" i="3"/>
  <c r="AI553" i="3"/>
  <c r="AH553" i="3"/>
  <c r="AF553" i="3"/>
  <c r="AE553" i="3"/>
  <c r="AC553" i="3"/>
  <c r="Z553" i="3"/>
  <c r="AG553" i="3" s="1"/>
  <c r="W553" i="3"/>
  <c r="V553" i="3"/>
  <c r="U553" i="3"/>
  <c r="X553" i="3" s="1"/>
  <c r="T554" i="3"/>
  <c r="AI554" i="3"/>
  <c r="AD554" i="3"/>
  <c r="AB554" i="3"/>
  <c r="AA554" i="3"/>
  <c r="Z554" i="3"/>
  <c r="U554" i="3"/>
  <c r="T555" i="3"/>
  <c r="AI555" i="3"/>
  <c r="AD555" i="3"/>
  <c r="AB555" i="3"/>
  <c r="AA555" i="3"/>
  <c r="Z555" i="3"/>
  <c r="AG555" i="3" s="1"/>
  <c r="Y555" i="3"/>
  <c r="W555" i="3"/>
  <c r="V555" i="3"/>
  <c r="U555" i="3"/>
  <c r="X555" i="3" s="1"/>
  <c r="T556" i="3"/>
  <c r="AI556" i="3"/>
  <c r="AH556" i="3"/>
  <c r="AF556" i="3"/>
  <c r="AE556" i="3"/>
  <c r="AD556" i="3"/>
  <c r="AB556" i="3"/>
  <c r="Y556" i="3"/>
  <c r="W556" i="3"/>
  <c r="V556" i="3"/>
  <c r="U556" i="3"/>
  <c r="T557" i="3"/>
  <c r="AH557" i="3"/>
  <c r="AF557" i="3"/>
  <c r="AE557" i="3"/>
  <c r="AD557" i="3"/>
  <c r="AC557" i="3"/>
  <c r="AB557" i="3"/>
  <c r="AA557" i="3"/>
  <c r="Z557" i="3"/>
  <c r="Y557" i="3"/>
  <c r="W557" i="3"/>
  <c r="T558" i="3"/>
  <c r="AI558" i="3"/>
  <c r="AH558" i="3"/>
  <c r="AF558" i="3"/>
  <c r="AD558" i="3"/>
  <c r="AC558" i="3"/>
  <c r="AB558" i="3"/>
  <c r="AA558" i="3"/>
  <c r="Z558" i="3"/>
  <c r="Y558" i="3"/>
  <c r="W558" i="3"/>
  <c r="V558" i="3"/>
  <c r="U558" i="3"/>
  <c r="X558" i="3" s="1"/>
  <c r="AH559" i="3"/>
  <c r="T559" i="3"/>
  <c r="AI559" i="3"/>
  <c r="AF559" i="3"/>
  <c r="AA559" i="3"/>
  <c r="V559" i="3"/>
  <c r="U559" i="3"/>
  <c r="T560" i="3"/>
  <c r="V560" i="3"/>
  <c r="AH561" i="3"/>
  <c r="T561" i="3"/>
  <c r="AI561" i="3"/>
  <c r="AE561" i="3"/>
  <c r="V561" i="3"/>
  <c r="U561" i="3"/>
  <c r="X561" i="3" s="1"/>
  <c r="T563" i="3"/>
  <c r="AF563" i="3"/>
  <c r="AE563" i="3"/>
  <c r="AD563" i="3"/>
  <c r="AC563" i="3"/>
  <c r="AB563" i="3"/>
  <c r="AA563" i="3"/>
  <c r="Z563" i="3"/>
  <c r="AG563" i="3" s="1"/>
  <c r="Y563" i="3"/>
  <c r="V563" i="3"/>
  <c r="T564" i="3"/>
  <c r="AH564" i="3"/>
  <c r="AF564" i="3"/>
  <c r="AE564" i="3"/>
  <c r="AD564" i="3"/>
  <c r="AB564" i="3"/>
  <c r="Z564" i="3"/>
  <c r="AG564" i="3" s="1"/>
  <c r="Y564" i="3"/>
  <c r="W564" i="3"/>
  <c r="V564" i="3"/>
  <c r="U564" i="3"/>
  <c r="X564" i="3" s="1"/>
  <c r="T566" i="3"/>
  <c r="AI566" i="3"/>
  <c r="AH566" i="3"/>
  <c r="AF566" i="3"/>
  <c r="AD566" i="3"/>
  <c r="AC566" i="3"/>
  <c r="AB566" i="3"/>
  <c r="AA566" i="3"/>
  <c r="Z566" i="3"/>
  <c r="Y566" i="3"/>
  <c r="W566" i="3"/>
  <c r="V566" i="3"/>
  <c r="U566" i="3"/>
  <c r="X566" i="3" s="1"/>
  <c r="T567" i="3"/>
  <c r="AF567" i="3"/>
  <c r="AA567" i="3"/>
  <c r="T568" i="3"/>
  <c r="AH568" i="3"/>
  <c r="AF568" i="3"/>
  <c r="AE568" i="3"/>
  <c r="AD568" i="3"/>
  <c r="AC568" i="3"/>
  <c r="AB568" i="3"/>
  <c r="AA568" i="3"/>
  <c r="Z568" i="3"/>
  <c r="AG568" i="3" s="1"/>
  <c r="Y568" i="3"/>
  <c r="V568" i="3"/>
  <c r="AI569" i="3"/>
  <c r="T569" i="3"/>
  <c r="AA569" i="3"/>
  <c r="Y569" i="3"/>
  <c r="W569" i="3"/>
  <c r="AI570" i="3"/>
  <c r="T570" i="3"/>
  <c r="AF570" i="3"/>
  <c r="AC570" i="3"/>
  <c r="T571" i="3"/>
  <c r="AI571" i="3"/>
  <c r="AF571" i="3"/>
  <c r="AE571" i="3"/>
  <c r="W571" i="3"/>
  <c r="T572" i="3"/>
  <c r="AF572" i="3"/>
  <c r="W572" i="3"/>
  <c r="T573" i="3"/>
  <c r="AH573" i="3"/>
  <c r="AF573" i="3"/>
  <c r="AE573" i="3"/>
  <c r="AD573" i="3"/>
  <c r="AC573" i="3"/>
  <c r="AB573" i="3"/>
  <c r="AA573" i="3"/>
  <c r="W573" i="3"/>
  <c r="T574" i="3"/>
  <c r="AI574" i="3"/>
  <c r="AH574" i="3"/>
  <c r="AF574" i="3"/>
  <c r="AE574" i="3"/>
  <c r="AD574" i="3"/>
  <c r="AC574" i="3"/>
  <c r="AB574" i="3"/>
  <c r="AA574" i="3"/>
  <c r="Z574" i="3"/>
  <c r="Y574" i="3"/>
  <c r="W574" i="3"/>
  <c r="V574" i="3"/>
  <c r="U574" i="3"/>
  <c r="X574" i="3" s="1"/>
  <c r="T575" i="3"/>
  <c r="AA575" i="3"/>
  <c r="U575" i="3"/>
  <c r="T576" i="3"/>
  <c r="AC576" i="3"/>
  <c r="T577" i="3"/>
  <c r="AI577" i="3"/>
  <c r="AE577" i="3"/>
  <c r="AD577" i="3"/>
  <c r="AC577" i="3"/>
  <c r="AB577" i="3"/>
  <c r="AA577" i="3"/>
  <c r="Y577" i="3"/>
  <c r="V577" i="3"/>
  <c r="T578" i="3"/>
  <c r="AI578" i="3"/>
  <c r="AF578" i="3"/>
  <c r="AE578" i="3"/>
  <c r="AD578" i="3"/>
  <c r="AB578" i="3"/>
  <c r="Z578" i="3"/>
  <c r="Y578" i="3"/>
  <c r="T579" i="3"/>
  <c r="AI579" i="3"/>
  <c r="AF579" i="3"/>
  <c r="AC579" i="3"/>
  <c r="AB579" i="3"/>
  <c r="AA579" i="3"/>
  <c r="W579" i="3"/>
  <c r="AF580" i="3"/>
  <c r="T580" i="3"/>
  <c r="AE580" i="3"/>
  <c r="AD580" i="3"/>
  <c r="AC580" i="3"/>
  <c r="AB580" i="3"/>
  <c r="AA580" i="3"/>
  <c r="Z580" i="3"/>
  <c r="AG580" i="3" s="1"/>
  <c r="Y580" i="3"/>
  <c r="W580" i="3"/>
  <c r="V580" i="3"/>
  <c r="U580" i="3"/>
  <c r="X580" i="3" s="1"/>
  <c r="T581" i="3"/>
  <c r="U581" i="3"/>
  <c r="X581" i="3" s="1"/>
  <c r="AI582" i="3"/>
  <c r="T582" i="3"/>
  <c r="AD582" i="3"/>
  <c r="V582" i="3"/>
  <c r="U582" i="3"/>
  <c r="AI583" i="3"/>
  <c r="T583" i="3"/>
  <c r="AH583" i="3"/>
  <c r="AF583" i="3"/>
  <c r="AE583" i="3"/>
  <c r="AD583" i="3"/>
  <c r="AC583" i="3"/>
  <c r="AB583" i="3"/>
  <c r="AA583" i="3"/>
  <c r="Z583" i="3"/>
  <c r="Y583" i="3"/>
  <c r="W583" i="3"/>
  <c r="V583" i="3"/>
  <c r="T584" i="3"/>
  <c r="AI584" i="3"/>
  <c r="AH584" i="3"/>
  <c r="AF584" i="3"/>
  <c r="AC584" i="3"/>
  <c r="Y584" i="3"/>
  <c r="U584" i="3"/>
  <c r="T585" i="3"/>
  <c r="AH585" i="3"/>
  <c r="AF585" i="3"/>
  <c r="AE585" i="3"/>
  <c r="AD585" i="3"/>
  <c r="AC585" i="3"/>
  <c r="AB585" i="3"/>
  <c r="AA585" i="3"/>
  <c r="Z585" i="3"/>
  <c r="V585" i="3"/>
  <c r="U585" i="3"/>
  <c r="X585" i="3" s="1"/>
  <c r="T586" i="3"/>
  <c r="AI586" i="3"/>
  <c r="Z586" i="3"/>
  <c r="AG586" i="3" s="1"/>
  <c r="T588" i="3"/>
  <c r="AI588" i="3"/>
  <c r="AH588" i="3"/>
  <c r="AF588" i="3"/>
  <c r="AE588" i="3"/>
  <c r="AD588" i="3"/>
  <c r="AB588" i="3"/>
  <c r="U588" i="3"/>
  <c r="T589" i="3"/>
  <c r="AI589" i="3"/>
  <c r="AH589" i="3"/>
  <c r="AF589" i="3"/>
  <c r="AD589" i="3"/>
  <c r="AC589" i="3"/>
  <c r="AB589" i="3"/>
  <c r="AA589" i="3"/>
  <c r="Z589" i="3"/>
  <c r="Y589" i="3"/>
  <c r="W589" i="3"/>
  <c r="V589" i="3"/>
  <c r="U589" i="3"/>
  <c r="X589" i="3" s="1"/>
  <c r="T590" i="3"/>
  <c r="AI590" i="3"/>
  <c r="AF590" i="3"/>
  <c r="AE590" i="3"/>
  <c r="AD590" i="3"/>
  <c r="AC590" i="3"/>
  <c r="AA590" i="3"/>
  <c r="Y590" i="3"/>
  <c r="V590" i="3"/>
  <c r="T591" i="3"/>
  <c r="AH591" i="3"/>
  <c r="AF591" i="3"/>
  <c r="AD591" i="3"/>
  <c r="AC591" i="3"/>
  <c r="AB591" i="3"/>
  <c r="AA591" i="3"/>
  <c r="Z591" i="3"/>
  <c r="Y591" i="3"/>
  <c r="V591" i="3"/>
  <c r="T592" i="3"/>
  <c r="AI592" i="3"/>
  <c r="AH592" i="3"/>
  <c r="AE592" i="3"/>
  <c r="AB592" i="3"/>
  <c r="Z592" i="3"/>
  <c r="AG592" i="3" s="1"/>
  <c r="Y592" i="3"/>
  <c r="W592" i="3"/>
  <c r="U592" i="3"/>
  <c r="X592" i="3" s="1"/>
  <c r="T593" i="3"/>
  <c r="AI593" i="3"/>
  <c r="AH593" i="3"/>
  <c r="AF593" i="3"/>
  <c r="AE593" i="3"/>
  <c r="AD593" i="3"/>
  <c r="AC593" i="3"/>
  <c r="Z593" i="3"/>
  <c r="AG593" i="3" s="1"/>
  <c r="W593" i="3"/>
  <c r="V593" i="3"/>
  <c r="T595" i="3"/>
  <c r="AI595" i="3"/>
  <c r="AH595" i="3"/>
  <c r="AF595" i="3"/>
  <c r="AD595" i="3"/>
  <c r="AB595" i="3"/>
  <c r="Z595" i="3"/>
  <c r="AG595" i="3" s="1"/>
  <c r="Y595" i="3"/>
  <c r="V595" i="3"/>
  <c r="T596" i="3"/>
  <c r="AI596" i="3"/>
  <c r="AH596" i="3"/>
  <c r="AF596" i="3"/>
  <c r="AE596" i="3"/>
  <c r="AD596" i="3"/>
  <c r="AC596" i="3"/>
  <c r="AB596" i="3"/>
  <c r="AA596" i="3"/>
  <c r="Y596" i="3"/>
  <c r="W596" i="3"/>
  <c r="U596" i="3"/>
  <c r="AI597" i="3"/>
  <c r="T597" i="3"/>
  <c r="AH597" i="3"/>
  <c r="AF597" i="3"/>
  <c r="AD597" i="3"/>
  <c r="AC597" i="3"/>
  <c r="AB597" i="3"/>
  <c r="AA597" i="3"/>
  <c r="Z597" i="3"/>
  <c r="Y597" i="3"/>
  <c r="W597" i="3"/>
  <c r="V597" i="3"/>
  <c r="AH598" i="3"/>
  <c r="T598" i="3"/>
  <c r="AI598" i="3"/>
  <c r="AF598" i="3"/>
  <c r="AE598" i="3"/>
  <c r="AC598" i="3"/>
  <c r="AA598" i="3"/>
  <c r="Y598" i="3"/>
  <c r="W598" i="3"/>
  <c r="V598" i="3"/>
  <c r="U598" i="3"/>
  <c r="X598" i="3" s="1"/>
  <c r="T599" i="3"/>
  <c r="AE599" i="3"/>
  <c r="AD599" i="3"/>
  <c r="AB599" i="3"/>
  <c r="AA599" i="3"/>
  <c r="Z599" i="3"/>
  <c r="AG599" i="3" s="1"/>
  <c r="T601" i="3"/>
  <c r="AI601" i="3"/>
  <c r="AH601" i="3"/>
  <c r="AE601" i="3"/>
  <c r="Z601" i="3"/>
  <c r="AG601" i="3" s="1"/>
  <c r="U601" i="3"/>
  <c r="AG249" i="3"/>
  <c r="R96" i="3"/>
  <c r="R97" i="3" s="1"/>
  <c r="U96" i="3"/>
  <c r="Z99" i="3"/>
  <c r="AG99" i="3" s="1"/>
  <c r="AB105" i="3"/>
  <c r="U95" i="3"/>
  <c r="V96" i="3"/>
  <c r="AA98" i="3"/>
  <c r="AA99" i="3"/>
  <c r="T105" i="3"/>
  <c r="T94" i="3"/>
  <c r="Z98" i="3"/>
  <c r="AG98" i="3" s="1"/>
  <c r="T92" i="3"/>
  <c r="V95" i="3"/>
  <c r="W96" i="3"/>
  <c r="AB98" i="3"/>
  <c r="AB99" i="3"/>
  <c r="Z95" i="3"/>
  <c r="U99" i="3"/>
  <c r="V99" i="3"/>
  <c r="W100" i="3"/>
  <c r="W99" i="3"/>
  <c r="AB95" i="3"/>
  <c r="U102" i="3"/>
  <c r="X102" i="3" s="1"/>
  <c r="Y102" i="3" s="1"/>
  <c r="AH102" i="3" s="1"/>
  <c r="T99" i="3"/>
  <c r="V82" i="3"/>
  <c r="T84" i="3"/>
  <c r="T80" i="3"/>
  <c r="W85" i="3"/>
  <c r="V88" i="3"/>
  <c r="T79" i="3"/>
  <c r="Z85" i="3"/>
  <c r="AA88" i="3"/>
  <c r="T78" i="3"/>
  <c r="V80" i="3"/>
  <c r="V77" i="3"/>
  <c r="V89" i="3"/>
  <c r="W80" i="3"/>
  <c r="U86" i="3"/>
  <c r="T89" i="3"/>
  <c r="U85" i="3"/>
  <c r="AA85" i="3"/>
  <c r="T88" i="3"/>
  <c r="U88" i="3"/>
  <c r="T87" i="3"/>
  <c r="U77" i="3"/>
  <c r="AB80" i="3"/>
  <c r="U87" i="3"/>
  <c r="X87" i="3" s="1"/>
  <c r="Y87" i="3" s="1"/>
  <c r="AH87" i="3" s="1"/>
  <c r="T86" i="3"/>
  <c r="V92" i="3"/>
  <c r="W92" i="3"/>
  <c r="T90" i="3"/>
  <c r="AA76" i="3"/>
  <c r="AB76" i="3"/>
  <c r="T76" i="3"/>
  <c r="T11" i="3"/>
  <c r="T10" i="3"/>
  <c r="U74" i="3"/>
  <c r="X74" i="3" s="1"/>
  <c r="T40" i="3"/>
  <c r="V27" i="3"/>
  <c r="V68" i="3"/>
  <c r="U71" i="3"/>
  <c r="X71" i="3" s="1"/>
  <c r="Y71" i="3" s="1"/>
  <c r="AA31" i="3"/>
  <c r="T53" i="3"/>
  <c r="T51" i="3"/>
  <c r="T9" i="3"/>
  <c r="AB28" i="3"/>
  <c r="U57" i="3"/>
  <c r="V62" i="3"/>
  <c r="AB68" i="3"/>
  <c r="AA71" i="3"/>
  <c r="T50" i="3"/>
  <c r="U34" i="3"/>
  <c r="X34" i="3" s="1"/>
  <c r="V57" i="3"/>
  <c r="AB71" i="3"/>
  <c r="T35" i="3"/>
  <c r="T7" i="3"/>
  <c r="V34" i="3"/>
  <c r="W57" i="3"/>
  <c r="T62" i="3"/>
  <c r="T48" i="3"/>
  <c r="T34" i="3"/>
  <c r="T20" i="3"/>
  <c r="T6" i="3"/>
  <c r="AB31" i="3"/>
  <c r="W34" i="3"/>
  <c r="Z57" i="3"/>
  <c r="T33" i="3"/>
  <c r="T19" i="3"/>
  <c r="T5" i="3"/>
  <c r="V20" i="3"/>
  <c r="V43" i="3"/>
  <c r="T68" i="3"/>
  <c r="T26" i="3"/>
  <c r="W20" i="3"/>
  <c r="V74" i="3"/>
  <c r="Z20" i="3"/>
  <c r="Z68" i="3"/>
  <c r="AG68" i="3" s="1"/>
  <c r="AB20" i="3"/>
  <c r="Z28" i="3"/>
  <c r="W35" i="3"/>
  <c r="U62" i="3"/>
  <c r="AA68" i="3"/>
  <c r="Y34" i="3"/>
  <c r="AA57" i="3"/>
  <c r="T46" i="3"/>
  <c r="Z31" i="3"/>
  <c r="Z58" i="3"/>
  <c r="Z73" i="3"/>
  <c r="AG73" i="3" s="1"/>
  <c r="AA73" i="3"/>
  <c r="T73" i="3"/>
  <c r="T59" i="3"/>
  <c r="T31" i="3"/>
  <c r="T17" i="3"/>
  <c r="AL2" i="3"/>
  <c r="AG554" i="3"/>
  <c r="AG184" i="3"/>
  <c r="AG352" i="3"/>
  <c r="AG477" i="3"/>
  <c r="AG497" i="3"/>
  <c r="AG113" i="3"/>
  <c r="AG295" i="3"/>
  <c r="AG215" i="3"/>
  <c r="AG463" i="3"/>
  <c r="AG511" i="3"/>
  <c r="AG566" i="3"/>
  <c r="AG309" i="3"/>
  <c r="AG341" i="3"/>
  <c r="AG525" i="3"/>
  <c r="AG323" i="3"/>
  <c r="AG408" i="3"/>
  <c r="AG585" i="3"/>
  <c r="AG193" i="3"/>
  <c r="AG496" i="3"/>
  <c r="X57" i="3"/>
  <c r="Y57" i="3" s="1"/>
  <c r="AG143" i="3"/>
  <c r="AG229" i="3"/>
  <c r="AG267" i="3"/>
  <c r="AG337" i="3"/>
  <c r="AG75" i="3"/>
  <c r="AG136" i="3"/>
  <c r="AG141" i="3"/>
  <c r="AG366" i="3"/>
  <c r="AG303" i="3"/>
  <c r="AG207" i="3"/>
  <c r="AG461" i="3"/>
  <c r="AG426" i="3"/>
  <c r="AG168" i="3"/>
  <c r="AG454" i="3"/>
  <c r="AG235" i="3"/>
  <c r="W53" i="3"/>
  <c r="Z7" i="3"/>
  <c r="V29" i="3"/>
  <c r="AA53" i="3"/>
  <c r="V12" i="3"/>
  <c r="V19" i="3"/>
  <c r="AB25" i="3"/>
  <c r="Z29" i="3"/>
  <c r="U32" i="3"/>
  <c r="AB36" i="3"/>
  <c r="W40" i="3"/>
  <c r="AB45" i="3"/>
  <c r="AB64" i="3"/>
  <c r="Z36" i="3"/>
  <c r="AA9" i="3"/>
  <c r="V37" i="3"/>
  <c r="AA40" i="3"/>
  <c r="W65" i="3"/>
  <c r="W2" i="3"/>
  <c r="W7" i="3"/>
  <c r="V9" i="3"/>
  <c r="U40" i="3"/>
  <c r="X40" i="3" s="1"/>
  <c r="Y40" i="3" s="1"/>
  <c r="AB61" i="3"/>
  <c r="AA2" i="3"/>
  <c r="W9" i="3"/>
  <c r="U12" i="3"/>
  <c r="X12" i="3" s="1"/>
  <c r="Y12" i="3" s="1"/>
  <c r="V40" i="3"/>
  <c r="Z45" i="3"/>
  <c r="Y19" i="3"/>
  <c r="AB29" i="3"/>
  <c r="W32" i="3"/>
  <c r="Z40" i="3"/>
  <c r="U9" i="3"/>
  <c r="W55" i="3"/>
  <c r="AB15" i="3"/>
  <c r="AB50" i="3"/>
  <c r="W4" i="3"/>
  <c r="V17" i="3"/>
  <c r="AB12" i="3"/>
  <c r="Z17" i="3"/>
  <c r="U33" i="3"/>
  <c r="Z37" i="3"/>
  <c r="Z50" i="3"/>
  <c r="V54" i="3"/>
  <c r="AB8" i="3"/>
  <c r="AH19" i="3"/>
  <c r="AB37" i="3"/>
  <c r="Z54" i="3"/>
  <c r="Z59" i="3"/>
  <c r="AA62" i="3"/>
  <c r="U6" i="3"/>
  <c r="W13" i="3"/>
  <c r="V23" i="3"/>
  <c r="U31" i="3"/>
  <c r="X31" i="3" s="1"/>
  <c r="Y31" i="3" s="1"/>
  <c r="AA54" i="3"/>
  <c r="AA59" i="3"/>
  <c r="AB59" i="3"/>
  <c r="U7" i="3"/>
  <c r="W12" i="3"/>
  <c r="U8" i="3"/>
  <c r="Z12" i="3"/>
  <c r="AA19" i="3"/>
  <c r="Z8" i="3"/>
  <c r="AC19" i="3"/>
  <c r="U54" i="3"/>
  <c r="Z56" i="3"/>
  <c r="AA8" i="3"/>
  <c r="AD19" i="3"/>
  <c r="AA5" i="3"/>
  <c r="AB17" i="3"/>
  <c r="W54" i="3"/>
  <c r="U59" i="3"/>
  <c r="X59" i="3" s="1"/>
  <c r="Y59" i="3" s="1"/>
  <c r="U13" i="3"/>
  <c r="X13" i="3" s="1"/>
  <c r="Y13" i="3" s="1"/>
  <c r="U23" i="3"/>
  <c r="X23" i="3" s="1"/>
  <c r="Y23" i="3" s="1"/>
  <c r="Z42" i="3"/>
  <c r="V6" i="3"/>
  <c r="W23" i="3"/>
  <c r="V31" i="3"/>
  <c r="AA6" i="3"/>
  <c r="U35" i="3"/>
  <c r="Z2" i="3"/>
  <c r="AB5" i="3"/>
  <c r="W17" i="3"/>
  <c r="X17" i="3" s="1"/>
  <c r="Y17" i="3" s="1"/>
  <c r="Z22" i="3"/>
  <c r="AA36" i="3"/>
  <c r="AB42" i="3"/>
  <c r="AA45" i="3"/>
  <c r="V47" i="3"/>
  <c r="Z48" i="3"/>
  <c r="AA55" i="3"/>
  <c r="AB62" i="3"/>
  <c r="U64" i="3"/>
  <c r="W66" i="3"/>
  <c r="V69" i="3"/>
  <c r="V71" i="3"/>
  <c r="U76" i="3"/>
  <c r="V78" i="3"/>
  <c r="V85" i="3"/>
  <c r="AA48" i="3"/>
  <c r="Z64" i="3"/>
  <c r="U73" i="3"/>
  <c r="X73" i="3" s="1"/>
  <c r="Y73" i="3" s="1"/>
  <c r="W76" i="3"/>
  <c r="AA17" i="3"/>
  <c r="U19" i="3"/>
  <c r="X19" i="3" s="1"/>
  <c r="U20" i="3"/>
  <c r="X20" i="3" s="1"/>
  <c r="Y20" i="3" s="1"/>
  <c r="AB47" i="3"/>
  <c r="AB48" i="3"/>
  <c r="W59" i="3"/>
  <c r="X69" i="3"/>
  <c r="Y69" i="3" s="1"/>
  <c r="AH69" i="3" s="1"/>
  <c r="Z71" i="3"/>
  <c r="AG71" i="3" s="1"/>
  <c r="Z76" i="3"/>
  <c r="AG76" i="3" s="1"/>
  <c r="AB51" i="3"/>
  <c r="U65" i="3"/>
  <c r="AB69" i="3"/>
  <c r="U84" i="3"/>
  <c r="AD26" i="3"/>
  <c r="W6" i="3"/>
  <c r="U26" i="3"/>
  <c r="U67" i="3"/>
  <c r="X67" i="3" s="1"/>
  <c r="Y67" i="3" s="1"/>
  <c r="Z6" i="3"/>
  <c r="AA15" i="3"/>
  <c r="V18" i="3"/>
  <c r="AB19" i="3"/>
  <c r="V26" i="3"/>
  <c r="U27" i="3"/>
  <c r="X27" i="3" s="1"/>
  <c r="Y27" i="3" s="1"/>
  <c r="V56" i="3"/>
  <c r="V65" i="3"/>
  <c r="AB67" i="3"/>
  <c r="U80" i="3"/>
  <c r="V84" i="3"/>
  <c r="W30" i="3"/>
  <c r="U38" i="3"/>
  <c r="U45" i="3"/>
  <c r="U48" i="3"/>
  <c r="X48" i="3" s="1"/>
  <c r="Y48" i="3" s="1"/>
  <c r="Z80" i="3"/>
  <c r="AG80" i="3" s="1"/>
  <c r="Z18" i="3"/>
  <c r="AE19" i="3"/>
  <c r="AA27" i="3"/>
  <c r="U46" i="3"/>
  <c r="AA56" i="3"/>
  <c r="W62" i="3"/>
  <c r="V63" i="3"/>
  <c r="AA65" i="3"/>
  <c r="V70" i="3"/>
  <c r="W72" i="3"/>
  <c r="Z77" i="3"/>
  <c r="AG77" i="3" s="1"/>
  <c r="AA84" i="3"/>
  <c r="U5" i="3"/>
  <c r="X5" i="3" s="1"/>
  <c r="Y5" i="3" s="1"/>
  <c r="AF19" i="3"/>
  <c r="Z26" i="3"/>
  <c r="AA34" i="3"/>
  <c r="V38" i="3"/>
  <c r="V45" i="3"/>
  <c r="Z46" i="3"/>
  <c r="V48" i="3"/>
  <c r="AB56" i="3"/>
  <c r="U61" i="3"/>
  <c r="W63" i="3"/>
  <c r="AB65" i="3"/>
  <c r="Z70" i="3"/>
  <c r="AG70" i="3" s="1"/>
  <c r="X72" i="3"/>
  <c r="Y72" i="3" s="1"/>
  <c r="AH72" i="3" s="1"/>
  <c r="AB84" i="3"/>
  <c r="W88" i="3"/>
  <c r="W26" i="3"/>
  <c r="W84" i="3"/>
  <c r="AB52" i="3"/>
  <c r="V5" i="3"/>
  <c r="AA26" i="3"/>
  <c r="W38" i="3"/>
  <c r="W45" i="3"/>
  <c r="W48" i="3"/>
  <c r="V61" i="3"/>
  <c r="Z63" i="3"/>
  <c r="AG85" i="3"/>
  <c r="V33" i="3"/>
  <c r="V55" i="3"/>
  <c r="AA72" i="3"/>
  <c r="R41" i="3"/>
  <c r="R42" i="3" s="1"/>
  <c r="R43" i="3" s="1"/>
  <c r="R44" i="3" s="1"/>
  <c r="R45" i="3" s="1"/>
  <c r="R46" i="3" s="1"/>
  <c r="R47" i="3" s="1"/>
  <c r="R48" i="3" s="1"/>
  <c r="AB128" i="3"/>
  <c r="Y128" i="3"/>
  <c r="AH128" i="3"/>
  <c r="AF128" i="3"/>
  <c r="AE128" i="3"/>
  <c r="AD128" i="3"/>
  <c r="AC128" i="3"/>
  <c r="AA128" i="3"/>
  <c r="AI128" i="3"/>
  <c r="Z128" i="3"/>
  <c r="AG128" i="3" s="1"/>
  <c r="W128" i="3"/>
  <c r="V128" i="3"/>
  <c r="U128" i="3"/>
  <c r="X128" i="3" s="1"/>
  <c r="V3" i="3"/>
  <c r="AB3" i="3"/>
  <c r="AA3" i="3"/>
  <c r="U3" i="3"/>
  <c r="R60" i="3"/>
  <c r="R61" i="3" s="1"/>
  <c r="R62" i="3" s="1"/>
  <c r="R63" i="3" s="1"/>
  <c r="R64" i="3" s="1"/>
  <c r="R65" i="3" s="1"/>
  <c r="R66" i="3" s="1"/>
  <c r="R67" i="3" s="1"/>
  <c r="R68" i="3" s="1"/>
  <c r="R69" i="3" s="1"/>
  <c r="R70" i="3" s="1"/>
  <c r="R71" i="3" s="1"/>
  <c r="R72" i="3" s="1"/>
  <c r="W83" i="3"/>
  <c r="V83" i="3"/>
  <c r="U83" i="3"/>
  <c r="X83" i="3" s="1"/>
  <c r="Y83" i="3" s="1"/>
  <c r="AB83" i="3"/>
  <c r="AA83" i="3"/>
  <c r="Z83" i="3"/>
  <c r="AG83" i="3" s="1"/>
  <c r="AF144" i="3"/>
  <c r="AC144" i="3"/>
  <c r="AH144" i="3"/>
  <c r="AE144" i="3"/>
  <c r="AD144" i="3"/>
  <c r="AB144" i="3"/>
  <c r="AA144" i="3"/>
  <c r="Z144" i="3"/>
  <c r="AG144" i="3" s="1"/>
  <c r="W144" i="3"/>
  <c r="AI144" i="3"/>
  <c r="Y144" i="3"/>
  <c r="V144" i="3"/>
  <c r="U144" i="3"/>
  <c r="X144" i="3" s="1"/>
  <c r="Z3" i="3"/>
  <c r="AA10" i="3"/>
  <c r="Z10" i="3"/>
  <c r="AB10" i="3"/>
  <c r="W10" i="3"/>
  <c r="U10" i="3"/>
  <c r="X10" i="3" s="1"/>
  <c r="AI3" i="3"/>
  <c r="R4" i="3"/>
  <c r="R31" i="3"/>
  <c r="V39" i="3"/>
  <c r="U39" i="3"/>
  <c r="X39" i="3" s="1"/>
  <c r="Y39" i="3" s="1"/>
  <c r="AA58" i="3"/>
  <c r="AB81" i="3"/>
  <c r="AA82" i="3"/>
  <c r="Z82" i="3"/>
  <c r="AG82" i="3" s="1"/>
  <c r="V11" i="3"/>
  <c r="U11" i="3"/>
  <c r="AB32" i="3"/>
  <c r="AA47" i="3"/>
  <c r="U82" i="3"/>
  <c r="V90" i="3"/>
  <c r="Z90" i="3"/>
  <c r="AG90" i="3" s="1"/>
  <c r="Y90" i="3"/>
  <c r="W90" i="3"/>
  <c r="U90" i="3"/>
  <c r="X90" i="3" s="1"/>
  <c r="AI90" i="3"/>
  <c r="AB90" i="3"/>
  <c r="AG138" i="3"/>
  <c r="AC139" i="3"/>
  <c r="Z139" i="3"/>
  <c r="AG139" i="3" s="1"/>
  <c r="AH139" i="3"/>
  <c r="AF139" i="3"/>
  <c r="AE139" i="3"/>
  <c r="AD139" i="3"/>
  <c r="AB139" i="3"/>
  <c r="AA139" i="3"/>
  <c r="X139" i="3"/>
  <c r="AB21" i="3"/>
  <c r="AA21" i="3"/>
  <c r="AB41" i="3"/>
  <c r="Z41" i="3"/>
  <c r="AB49" i="3"/>
  <c r="AA49" i="3"/>
  <c r="AB60" i="3"/>
  <c r="AA103" i="3"/>
  <c r="AB103" i="3"/>
  <c r="U4" i="3"/>
  <c r="W11" i="3"/>
  <c r="AB13" i="3"/>
  <c r="Z13" i="3"/>
  <c r="Z33" i="3"/>
  <c r="X33" i="3"/>
  <c r="Y33" i="3" s="1"/>
  <c r="W33" i="3"/>
  <c r="AC49" i="3"/>
  <c r="V58" i="3"/>
  <c r="V81" i="3"/>
  <c r="W82" i="3"/>
  <c r="AD94" i="3"/>
  <c r="W94" i="3"/>
  <c r="V94" i="3"/>
  <c r="U94" i="3"/>
  <c r="AA94" i="3"/>
  <c r="U103" i="3"/>
  <c r="Y109" i="3"/>
  <c r="V109" i="3"/>
  <c r="AB109" i="3"/>
  <c r="AA109" i="3"/>
  <c r="Z109" i="3"/>
  <c r="AG109" i="3" s="1"/>
  <c r="W109" i="3"/>
  <c r="U109" i="3"/>
  <c r="X109" i="3" s="1"/>
  <c r="AH109" i="3"/>
  <c r="AD109" i="3"/>
  <c r="AE119" i="3"/>
  <c r="AB119" i="3"/>
  <c r="AC119" i="3"/>
  <c r="AA119" i="3"/>
  <c r="Z119" i="3"/>
  <c r="AG119" i="3" s="1"/>
  <c r="Y119" i="3"/>
  <c r="W119" i="3"/>
  <c r="V119" i="3"/>
  <c r="AF119" i="3"/>
  <c r="AB194" i="3"/>
  <c r="Z194" i="3"/>
  <c r="AG194" i="3" s="1"/>
  <c r="W194" i="3"/>
  <c r="V194" i="3"/>
  <c r="U194" i="3"/>
  <c r="X194" i="3" s="1"/>
  <c r="AH194" i="3"/>
  <c r="AD194" i="3"/>
  <c r="AI194" i="3"/>
  <c r="AF194" i="3"/>
  <c r="AE194" i="3"/>
  <c r="AC194" i="3"/>
  <c r="AA194" i="3"/>
  <c r="Y194" i="3"/>
  <c r="AF256" i="3"/>
  <c r="AE256" i="3"/>
  <c r="AA256" i="3"/>
  <c r="Z256" i="3"/>
  <c r="AG256" i="3" s="1"/>
  <c r="Y256" i="3"/>
  <c r="W256" i="3"/>
  <c r="AH256" i="3"/>
  <c r="AD256" i="3"/>
  <c r="AC256" i="3"/>
  <c r="V256" i="3"/>
  <c r="U256" i="3"/>
  <c r="X256" i="3" s="1"/>
  <c r="AI256" i="3"/>
  <c r="AB2" i="3"/>
  <c r="V4" i="3"/>
  <c r="Z5" i="3"/>
  <c r="Z9" i="3"/>
  <c r="AA18" i="3"/>
  <c r="U21" i="3"/>
  <c r="W22" i="3"/>
  <c r="V22" i="3"/>
  <c r="AA29" i="3"/>
  <c r="V32" i="3"/>
  <c r="AA37" i="3"/>
  <c r="Z39" i="3"/>
  <c r="U41" i="3"/>
  <c r="W42" i="3"/>
  <c r="U42" i="3"/>
  <c r="U49" i="3"/>
  <c r="X49" i="3" s="1"/>
  <c r="Y49" i="3" s="1"/>
  <c r="W50" i="3"/>
  <c r="V50" i="3"/>
  <c r="W58" i="3"/>
  <c r="U60" i="3"/>
  <c r="X60" i="3" s="1"/>
  <c r="Y60" i="3" s="1"/>
  <c r="Z61" i="3"/>
  <c r="W61" i="3"/>
  <c r="AB77" i="3"/>
  <c r="Z78" i="3"/>
  <c r="AG78" i="3" s="1"/>
  <c r="AB78" i="3"/>
  <c r="AA78" i="3"/>
  <c r="U79" i="3"/>
  <c r="W79" i="3"/>
  <c r="V79" i="3"/>
  <c r="W81" i="3"/>
  <c r="AB82" i="3"/>
  <c r="AA89" i="3"/>
  <c r="AB89" i="3"/>
  <c r="Z89" i="3"/>
  <c r="AG89" i="3" s="1"/>
  <c r="AD90" i="3"/>
  <c r="Z94" i="3"/>
  <c r="AG94" i="3" s="1"/>
  <c r="V103" i="3"/>
  <c r="U119" i="3"/>
  <c r="X119" i="3" s="1"/>
  <c r="W139" i="3"/>
  <c r="AF150" i="3"/>
  <c r="AD150" i="3"/>
  <c r="AA150" i="3"/>
  <c r="X150" i="3"/>
  <c r="AI150" i="3"/>
  <c r="AH150" i="3"/>
  <c r="AG150" i="3"/>
  <c r="AE150" i="3"/>
  <c r="AC150" i="3"/>
  <c r="AB150" i="3"/>
  <c r="Y150" i="3"/>
  <c r="W150" i="3"/>
  <c r="Z186" i="3"/>
  <c r="AG186" i="3" s="1"/>
  <c r="AF186" i="3"/>
  <c r="AE186" i="3"/>
  <c r="AD186" i="3"/>
  <c r="AC186" i="3"/>
  <c r="AA186" i="3"/>
  <c r="Y186" i="3"/>
  <c r="U186" i="3"/>
  <c r="X186" i="3" s="1"/>
  <c r="AI186" i="3"/>
  <c r="AH186" i="3"/>
  <c r="AB186" i="3"/>
  <c r="W186" i="3"/>
  <c r="V186" i="3"/>
  <c r="AB256" i="3"/>
  <c r="AE90" i="3"/>
  <c r="AB94" i="3"/>
  <c r="W103" i="3"/>
  <c r="W105" i="3"/>
  <c r="V105" i="3"/>
  <c r="U105" i="3"/>
  <c r="AA105" i="3"/>
  <c r="AC109" i="3"/>
  <c r="AD119" i="3"/>
  <c r="Y139" i="3"/>
  <c r="AA145" i="3"/>
  <c r="AE145" i="3"/>
  <c r="AD145" i="3"/>
  <c r="AC145" i="3"/>
  <c r="AB145" i="3"/>
  <c r="Z145" i="3"/>
  <c r="AG145" i="3" s="1"/>
  <c r="Y145" i="3"/>
  <c r="W145" i="3"/>
  <c r="U145" i="3"/>
  <c r="X145" i="3" s="1"/>
  <c r="AA225" i="3"/>
  <c r="Y225" i="3"/>
  <c r="W225" i="3"/>
  <c r="AI225" i="3"/>
  <c r="AH225" i="3"/>
  <c r="AE225" i="3"/>
  <c r="AD225" i="3"/>
  <c r="AC225" i="3"/>
  <c r="Z225" i="3"/>
  <c r="AG225" i="3" s="1"/>
  <c r="AF225" i="3"/>
  <c r="AB225" i="3"/>
  <c r="V60" i="3"/>
  <c r="AA11" i="3"/>
  <c r="W21" i="3"/>
  <c r="AB39" i="3"/>
  <c r="W41" i="3"/>
  <c r="W49" i="3"/>
  <c r="AA52" i="3"/>
  <c r="Z52" i="3"/>
  <c r="AB58" i="3"/>
  <c r="W60" i="3"/>
  <c r="Z81" i="3"/>
  <c r="AG81" i="3" s="1"/>
  <c r="AF90" i="3"/>
  <c r="W101" i="3"/>
  <c r="AA101" i="3"/>
  <c r="Z101" i="3"/>
  <c r="AG101" i="3" s="1"/>
  <c r="V101" i="3"/>
  <c r="U101" i="3"/>
  <c r="AE109" i="3"/>
  <c r="W129" i="3"/>
  <c r="AH129" i="3"/>
  <c r="AE129" i="3"/>
  <c r="AD129" i="3"/>
  <c r="AC129" i="3"/>
  <c r="AB129" i="3"/>
  <c r="AA129" i="3"/>
  <c r="Z129" i="3"/>
  <c r="AG129" i="3" s="1"/>
  <c r="Y129" i="3"/>
  <c r="V129" i="3"/>
  <c r="Z134" i="3"/>
  <c r="AG134" i="3" s="1"/>
  <c r="W134" i="3"/>
  <c r="AF134" i="3"/>
  <c r="AE134" i="3"/>
  <c r="AD134" i="3"/>
  <c r="AC134" i="3"/>
  <c r="AB134" i="3"/>
  <c r="AA134" i="3"/>
  <c r="Y134" i="3"/>
  <c r="V134" i="3"/>
  <c r="AH134" i="3"/>
  <c r="AI139" i="3"/>
  <c r="Y161" i="3"/>
  <c r="W161" i="3"/>
  <c r="V161" i="3"/>
  <c r="U161" i="3"/>
  <c r="X161" i="3" s="1"/>
  <c r="AH161" i="3"/>
  <c r="AE161" i="3"/>
  <c r="AF161" i="3"/>
  <c r="AD161" i="3"/>
  <c r="AC161" i="3"/>
  <c r="AB161" i="3"/>
  <c r="AA161" i="3"/>
  <c r="Z161" i="3"/>
  <c r="AG161" i="3" s="1"/>
  <c r="AI161" i="3"/>
  <c r="AD216" i="3"/>
  <c r="AB216" i="3"/>
  <c r="AA216" i="3"/>
  <c r="AC216" i="3"/>
  <c r="Z216" i="3"/>
  <c r="AG216" i="3" s="1"/>
  <c r="Y216" i="3"/>
  <c r="V216" i="3"/>
  <c r="U216" i="3"/>
  <c r="X216" i="3" s="1"/>
  <c r="AI216" i="3"/>
  <c r="AH216" i="3"/>
  <c r="AF216" i="3"/>
  <c r="AE216" i="3"/>
  <c r="U225" i="3"/>
  <c r="X225" i="3" s="1"/>
  <c r="W266" i="3"/>
  <c r="AH266" i="3"/>
  <c r="AF266" i="3"/>
  <c r="AE266" i="3"/>
  <c r="AD266" i="3"/>
  <c r="AC266" i="3"/>
  <c r="AI266" i="3"/>
  <c r="AB266" i="3"/>
  <c r="AA266" i="3"/>
  <c r="Y266" i="3"/>
  <c r="Z266" i="3"/>
  <c r="AG266" i="3" s="1"/>
  <c r="V266" i="3"/>
  <c r="U266" i="3"/>
  <c r="X266" i="3" s="1"/>
  <c r="W14" i="3"/>
  <c r="U14" i="3"/>
  <c r="V21" i="3"/>
  <c r="AA24" i="3"/>
  <c r="Z24" i="3"/>
  <c r="U15" i="3"/>
  <c r="U93" i="3"/>
  <c r="AB93" i="3"/>
  <c r="AA93" i="3"/>
  <c r="Z93" i="3"/>
  <c r="AG93" i="3" s="1"/>
  <c r="AA39" i="3"/>
  <c r="V41" i="3"/>
  <c r="AA44" i="3"/>
  <c r="V49" i="3"/>
  <c r="U24" i="3"/>
  <c r="V25" i="3"/>
  <c r="U25" i="3"/>
  <c r="Z103" i="3"/>
  <c r="AG103" i="3" s="1"/>
  <c r="X70" i="3"/>
  <c r="Y70" i="3" s="1"/>
  <c r="AB70" i="3"/>
  <c r="AA70" i="3"/>
  <c r="AB74" i="3"/>
  <c r="AA74" i="3"/>
  <c r="Z74" i="3"/>
  <c r="AG74" i="3" s="1"/>
  <c r="Y74" i="3"/>
  <c r="AA75" i="3"/>
  <c r="W75" i="3"/>
  <c r="V75" i="3"/>
  <c r="U75" i="3"/>
  <c r="X75" i="3" s="1"/>
  <c r="Y75" i="3" s="1"/>
  <c r="AH75" i="3" s="1"/>
  <c r="W77" i="3"/>
  <c r="W78" i="3"/>
  <c r="AB79" i="3"/>
  <c r="W89" i="3"/>
  <c r="AH90" i="3"/>
  <c r="AB101" i="3"/>
  <c r="AD108" i="3"/>
  <c r="AA108" i="3"/>
  <c r="AE108" i="3"/>
  <c r="AC108" i="3"/>
  <c r="AB108" i="3"/>
  <c r="Z108" i="3"/>
  <c r="AG108" i="3" s="1"/>
  <c r="Y108" i="3"/>
  <c r="U108" i="3"/>
  <c r="X108" i="3" s="1"/>
  <c r="AI119" i="3"/>
  <c r="X129" i="3"/>
  <c r="U134" i="3"/>
  <c r="X134" i="3" s="1"/>
  <c r="AI140" i="3"/>
  <c r="U140" i="3"/>
  <c r="X140" i="3" s="1"/>
  <c r="AE140" i="3"/>
  <c r="AD140" i="3"/>
  <c r="AC140" i="3"/>
  <c r="AB140" i="3"/>
  <c r="AA140" i="3"/>
  <c r="Z140" i="3"/>
  <c r="AG140" i="3" s="1"/>
  <c r="Y140" i="3"/>
  <c r="V140" i="3"/>
  <c r="AH145" i="3"/>
  <c r="AA169" i="3"/>
  <c r="Y169" i="3"/>
  <c r="AF169" i="3"/>
  <c r="AE169" i="3"/>
  <c r="AD169" i="3"/>
  <c r="Z169" i="3"/>
  <c r="AG169" i="3" s="1"/>
  <c r="V169" i="3"/>
  <c r="AI169" i="3"/>
  <c r="AH169" i="3"/>
  <c r="AB169" i="3"/>
  <c r="AC205" i="3"/>
  <c r="AA205" i="3"/>
  <c r="Z205" i="3"/>
  <c r="AG205" i="3" s="1"/>
  <c r="AI205" i="3"/>
  <c r="AH205" i="3"/>
  <c r="AF205" i="3"/>
  <c r="AD205" i="3"/>
  <c r="AB205" i="3"/>
  <c r="W205" i="3"/>
  <c r="AE205" i="3"/>
  <c r="Y205" i="3"/>
  <c r="W252" i="3"/>
  <c r="AA252" i="3"/>
  <c r="Z252" i="3"/>
  <c r="AG252" i="3" s="1"/>
  <c r="Y252" i="3"/>
  <c r="V252" i="3"/>
  <c r="U252" i="3"/>
  <c r="X252" i="3" s="1"/>
  <c r="AD252" i="3"/>
  <c r="AC252" i="3"/>
  <c r="AB252" i="3"/>
  <c r="AI252" i="3"/>
  <c r="AH252" i="3"/>
  <c r="AF252" i="3"/>
  <c r="AB11" i="3"/>
  <c r="AA16" i="3"/>
  <c r="W43" i="3"/>
  <c r="X43" i="3" s="1"/>
  <c r="Y43" i="3" s="1"/>
  <c r="V51" i="3"/>
  <c r="AA81" i="3"/>
  <c r="AG88" i="3"/>
  <c r="V15" i="3"/>
  <c r="V24" i="3"/>
  <c r="Z32" i="3"/>
  <c r="AA33" i="3"/>
  <c r="AA41" i="3"/>
  <c r="V44" i="3"/>
  <c r="AB46" i="3"/>
  <c r="W51" i="3"/>
  <c r="X51" i="3" s="1"/>
  <c r="Y51" i="3" s="1"/>
  <c r="U52" i="3"/>
  <c r="V53" i="3"/>
  <c r="U53" i="3"/>
  <c r="X53" i="3" s="1"/>
  <c r="Y53" i="3" s="1"/>
  <c r="AA4" i="3"/>
  <c r="AB7" i="3"/>
  <c r="AA7" i="3"/>
  <c r="AA13" i="3"/>
  <c r="Z14" i="3"/>
  <c r="W15" i="3"/>
  <c r="U16" i="3"/>
  <c r="Z21" i="3"/>
  <c r="AA22" i="3"/>
  <c r="W24" i="3"/>
  <c r="W25" i="3"/>
  <c r="AB27" i="3"/>
  <c r="Z27" i="3"/>
  <c r="AA32" i="3"/>
  <c r="AB33" i="3"/>
  <c r="AB35" i="3"/>
  <c r="AA35" i="3"/>
  <c r="AA42" i="3"/>
  <c r="W44" i="3"/>
  <c r="Z49" i="3"/>
  <c r="AA50" i="3"/>
  <c r="V52" i="3"/>
  <c r="Z60" i="3"/>
  <c r="AA61" i="3"/>
  <c r="AB66" i="3"/>
  <c r="AA66" i="3"/>
  <c r="AA67" i="3"/>
  <c r="Z67" i="3"/>
  <c r="AG67" i="3" s="1"/>
  <c r="W67" i="3"/>
  <c r="W73" i="3"/>
  <c r="AF74" i="3"/>
  <c r="V93" i="3"/>
  <c r="AB97" i="3"/>
  <c r="AA97" i="3"/>
  <c r="Z97" i="3"/>
  <c r="AG97" i="3" s="1"/>
  <c r="W97" i="3"/>
  <c r="AB100" i="3"/>
  <c r="AA100" i="3"/>
  <c r="Z100" i="3"/>
  <c r="AG100" i="3" s="1"/>
  <c r="AD101" i="3"/>
  <c r="AD105" i="3"/>
  <c r="AI109" i="3"/>
  <c r="AF129" i="3"/>
  <c r="AI145" i="3"/>
  <c r="U169" i="3"/>
  <c r="X169" i="3" s="1"/>
  <c r="AH176" i="3"/>
  <c r="AF176" i="3"/>
  <c r="AA176" i="3"/>
  <c r="Z176" i="3"/>
  <c r="AG176" i="3" s="1"/>
  <c r="Y176" i="3"/>
  <c r="V176" i="3"/>
  <c r="AI176" i="3"/>
  <c r="AE176" i="3"/>
  <c r="AD176" i="3"/>
  <c r="AC176" i="3"/>
  <c r="AB176" i="3"/>
  <c r="W176" i="3"/>
  <c r="U176" i="3"/>
  <c r="X176" i="3" s="1"/>
  <c r="U205" i="3"/>
  <c r="X205" i="3" s="1"/>
  <c r="AE252" i="3"/>
  <c r="AB4" i="3"/>
  <c r="W93" i="3"/>
  <c r="AG105" i="3"/>
  <c r="AH124" i="3"/>
  <c r="AE124" i="3"/>
  <c r="AD124" i="3"/>
  <c r="AC124" i="3"/>
  <c r="AB124" i="3"/>
  <c r="AA124" i="3"/>
  <c r="Z124" i="3"/>
  <c r="AG124" i="3" s="1"/>
  <c r="Y124" i="3"/>
  <c r="V124" i="3"/>
  <c r="AI129" i="3"/>
  <c r="V205" i="3"/>
  <c r="U44" i="3"/>
  <c r="X44" i="3" s="1"/>
  <c r="Y44" i="3" s="1"/>
  <c r="AA43" i="3"/>
  <c r="AB44" i="3"/>
  <c r="V46" i="3"/>
  <c r="Z51" i="3"/>
  <c r="W64" i="3"/>
  <c r="V64" i="3"/>
  <c r="Z92" i="3"/>
  <c r="AG92" i="3" s="1"/>
  <c r="AB92" i="3"/>
  <c r="U97" i="3"/>
  <c r="U100" i="3"/>
  <c r="V104" i="3"/>
  <c r="AB104" i="3"/>
  <c r="AA104" i="3"/>
  <c r="Z104" i="3"/>
  <c r="AG104" i="3" s="1"/>
  <c r="W108" i="3"/>
  <c r="U124" i="3"/>
  <c r="X124" i="3" s="1"/>
  <c r="AI134" i="3"/>
  <c r="AF140" i="3"/>
  <c r="AC169" i="3"/>
  <c r="AF284" i="3"/>
  <c r="AE284" i="3"/>
  <c r="Y284" i="3"/>
  <c r="AA284" i="3"/>
  <c r="Z284" i="3"/>
  <c r="AG284" i="3" s="1"/>
  <c r="W284" i="3"/>
  <c r="V284" i="3"/>
  <c r="U284" i="3"/>
  <c r="X284" i="3" s="1"/>
  <c r="AI284" i="3"/>
  <c r="AH284" i="3"/>
  <c r="AC284" i="3"/>
  <c r="AD284" i="3"/>
  <c r="AB284" i="3"/>
  <c r="Z4" i="3"/>
  <c r="AA14" i="3"/>
  <c r="V16" i="3"/>
  <c r="AB18" i="3"/>
  <c r="Z43" i="3"/>
  <c r="Z44" i="3"/>
  <c r="Z47" i="3"/>
  <c r="W47" i="3"/>
  <c r="W52" i="3"/>
  <c r="AB55" i="3"/>
  <c r="Z55" i="3"/>
  <c r="AA60" i="3"/>
  <c r="AB63" i="3"/>
  <c r="AA63" i="3"/>
  <c r="AE30" i="3"/>
  <c r="AI2" i="3"/>
  <c r="W8" i="3"/>
  <c r="V8" i="3"/>
  <c r="AB14" i="3"/>
  <c r="W16" i="3"/>
  <c r="Z25" i="3"/>
  <c r="W28" i="3"/>
  <c r="U28" i="3"/>
  <c r="W36" i="3"/>
  <c r="V36" i="3"/>
  <c r="X36" i="3" s="1"/>
  <c r="Y36" i="3" s="1"/>
  <c r="U2" i="3"/>
  <c r="Z15" i="3"/>
  <c r="Z16" i="3"/>
  <c r="U18" i="3"/>
  <c r="X18" i="3" s="1"/>
  <c r="Y18" i="3" s="1"/>
  <c r="Z19" i="3"/>
  <c r="AG19" i="3" s="1"/>
  <c r="W19" i="3"/>
  <c r="AB23" i="3"/>
  <c r="AB24" i="3"/>
  <c r="AA25" i="3"/>
  <c r="V28" i="3"/>
  <c r="U29" i="3"/>
  <c r="X29" i="3" s="1"/>
  <c r="Y29" i="3" s="1"/>
  <c r="AA30" i="3"/>
  <c r="X30" i="3"/>
  <c r="Y30" i="3" s="1"/>
  <c r="V35" i="3"/>
  <c r="U37" i="3"/>
  <c r="X37" i="3" s="1"/>
  <c r="Y37" i="3" s="1"/>
  <c r="AA38" i="3"/>
  <c r="Z38" i="3"/>
  <c r="AB43" i="3"/>
  <c r="W46" i="3"/>
  <c r="U47" i="3"/>
  <c r="AA51" i="3"/>
  <c r="Z53" i="3"/>
  <c r="U55" i="3"/>
  <c r="W56" i="3"/>
  <c r="U56" i="3"/>
  <c r="U63" i="3"/>
  <c r="V66" i="3"/>
  <c r="X66" i="3" s="1"/>
  <c r="Y66" i="3" s="1"/>
  <c r="V67" i="3"/>
  <c r="W70" i="3"/>
  <c r="V73" i="3"/>
  <c r="W74" i="3"/>
  <c r="AB75" i="3"/>
  <c r="AA77" i="3"/>
  <c r="AB86" i="3"/>
  <c r="W86" i="3"/>
  <c r="V86" i="3"/>
  <c r="U92" i="3"/>
  <c r="V97" i="3"/>
  <c r="V100" i="3"/>
  <c r="U104" i="3"/>
  <c r="AF108" i="3"/>
  <c r="W124" i="3"/>
  <c r="AH140" i="3"/>
  <c r="AI261" i="3"/>
  <c r="U261" i="3"/>
  <c r="X261" i="3" s="1"/>
  <c r="AH261" i="3"/>
  <c r="AD261" i="3"/>
  <c r="AC261" i="3"/>
  <c r="AB261" i="3"/>
  <c r="AA261" i="3"/>
  <c r="Z261" i="3"/>
  <c r="AG261" i="3" s="1"/>
  <c r="Y261" i="3"/>
  <c r="W261" i="3"/>
  <c r="V261" i="3"/>
  <c r="AF261" i="3"/>
  <c r="AI107" i="3"/>
  <c r="U107" i="3"/>
  <c r="X107" i="3" s="1"/>
  <c r="AF107" i="3"/>
  <c r="AC120" i="3"/>
  <c r="Y123" i="3"/>
  <c r="V123" i="3"/>
  <c r="AI123" i="3"/>
  <c r="AB136" i="3"/>
  <c r="V152" i="3"/>
  <c r="AI152" i="3"/>
  <c r="AH152" i="3"/>
  <c r="AE152" i="3"/>
  <c r="AB152" i="3"/>
  <c r="AC163" i="3"/>
  <c r="AA163" i="3"/>
  <c r="AH163" i="3"/>
  <c r="AG163" i="3"/>
  <c r="AF163" i="3"/>
  <c r="AB163" i="3"/>
  <c r="X163" i="3"/>
  <c r="AC279" i="3"/>
  <c r="AB279" i="3"/>
  <c r="Z279" i="3"/>
  <c r="AG279" i="3" s="1"/>
  <c r="Y279" i="3"/>
  <c r="AI279" i="3"/>
  <c r="AH279" i="3"/>
  <c r="AF279" i="3"/>
  <c r="AE279" i="3"/>
  <c r="AD279" i="3"/>
  <c r="AA279" i="3"/>
  <c r="W279" i="3"/>
  <c r="AB180" i="3"/>
  <c r="Z180" i="3"/>
  <c r="AG180" i="3" s="1"/>
  <c r="AF180" i="3"/>
  <c r="AE180" i="3"/>
  <c r="AD180" i="3"/>
  <c r="Y180" i="3"/>
  <c r="V180" i="3"/>
  <c r="AB208" i="3"/>
  <c r="Z208" i="3"/>
  <c r="AG208" i="3" s="1"/>
  <c r="Y208" i="3"/>
  <c r="AD208" i="3"/>
  <c r="AC208" i="3"/>
  <c r="AA208" i="3"/>
  <c r="V208" i="3"/>
  <c r="U208" i="3"/>
  <c r="X208" i="3" s="1"/>
  <c r="AI208" i="3"/>
  <c r="Z246" i="3"/>
  <c r="AG246" i="3" s="1"/>
  <c r="Y246" i="3"/>
  <c r="AB246" i="3"/>
  <c r="AA246" i="3"/>
  <c r="X246" i="3"/>
  <c r="W246" i="3"/>
  <c r="V246" i="3"/>
  <c r="AH246" i="3"/>
  <c r="AF246" i="3"/>
  <c r="AD246" i="3"/>
  <c r="AB114" i="3"/>
  <c r="Y114" i="3"/>
  <c r="AI114" i="3"/>
  <c r="AC125" i="3"/>
  <c r="Z125" i="3"/>
  <c r="AG125" i="3" s="1"/>
  <c r="AI125" i="3"/>
  <c r="AF130" i="3"/>
  <c r="AC130" i="3"/>
  <c r="AI130" i="3"/>
  <c r="AI135" i="3"/>
  <c r="U135" i="3"/>
  <c r="X135" i="3" s="1"/>
  <c r="AF135" i="3"/>
  <c r="Y175" i="3"/>
  <c r="W175" i="3"/>
  <c r="AE175" i="3"/>
  <c r="AD175" i="3"/>
  <c r="AC175" i="3"/>
  <c r="Z175" i="3"/>
  <c r="AG175" i="3" s="1"/>
  <c r="U175" i="3"/>
  <c r="X175" i="3" s="1"/>
  <c r="W241" i="3"/>
  <c r="V241" i="3"/>
  <c r="Z241" i="3"/>
  <c r="AG241" i="3" s="1"/>
  <c r="Y241" i="3"/>
  <c r="U241" i="3"/>
  <c r="X241" i="3" s="1"/>
  <c r="AD241" i="3"/>
  <c r="AC241" i="3"/>
  <c r="AB241" i="3"/>
  <c r="AA241" i="3"/>
  <c r="AI241" i="3"/>
  <c r="AE185" i="3"/>
  <c r="AC185" i="3"/>
  <c r="AH185" i="3"/>
  <c r="AF185" i="3"/>
  <c r="AB185" i="3"/>
  <c r="AA185" i="3"/>
  <c r="AA197" i="3"/>
  <c r="Y197" i="3"/>
  <c r="AF197" i="3"/>
  <c r="AE197" i="3"/>
  <c r="AD197" i="3"/>
  <c r="AB197" i="3"/>
  <c r="Z197" i="3"/>
  <c r="AG197" i="3" s="1"/>
  <c r="U197" i="3"/>
  <c r="X197" i="3" s="1"/>
  <c r="AC219" i="3"/>
  <c r="AA219" i="3"/>
  <c r="Z219" i="3"/>
  <c r="AG219" i="3" s="1"/>
  <c r="W219" i="3"/>
  <c r="V219" i="3"/>
  <c r="U219" i="3"/>
  <c r="X219" i="3" s="1"/>
  <c r="AI219" i="3"/>
  <c r="AH219" i="3"/>
  <c r="AE219" i="3"/>
  <c r="AE227" i="3"/>
  <c r="AC227" i="3"/>
  <c r="AB227" i="3"/>
  <c r="AA227" i="3"/>
  <c r="AI227" i="3"/>
  <c r="AH227" i="3"/>
  <c r="AF227" i="3"/>
  <c r="Z227" i="3"/>
  <c r="AG227" i="3" s="1"/>
  <c r="Y227" i="3"/>
  <c r="V227" i="3"/>
  <c r="AF312" i="3"/>
  <c r="AE312" i="3"/>
  <c r="W312" i="3"/>
  <c r="U312" i="3"/>
  <c r="X312" i="3" s="1"/>
  <c r="AH312" i="3"/>
  <c r="AD312" i="3"/>
  <c r="AI312" i="3"/>
  <c r="AB312" i="3"/>
  <c r="AA312" i="3"/>
  <c r="Z312" i="3"/>
  <c r="AG312" i="3" s="1"/>
  <c r="AA327" i="3"/>
  <c r="Z327" i="3"/>
  <c r="AG327" i="3" s="1"/>
  <c r="W327" i="3"/>
  <c r="AD327" i="3"/>
  <c r="AB327" i="3"/>
  <c r="Y327" i="3"/>
  <c r="V327" i="3"/>
  <c r="U327" i="3"/>
  <c r="X327" i="3" s="1"/>
  <c r="AI327" i="3"/>
  <c r="AH327" i="3"/>
  <c r="AF327" i="3"/>
  <c r="AE327" i="3"/>
  <c r="AC327" i="3"/>
  <c r="W368" i="3"/>
  <c r="V368" i="3"/>
  <c r="U368" i="3"/>
  <c r="X368" i="3" s="1"/>
  <c r="AI368" i="3"/>
  <c r="AF368" i="3"/>
  <c r="AE368" i="3"/>
  <c r="AC368" i="3"/>
  <c r="AB368" i="3"/>
  <c r="AA368" i="3"/>
  <c r="AD368" i="3"/>
  <c r="Z368" i="3"/>
  <c r="AG368" i="3" s="1"/>
  <c r="Y368" i="3"/>
  <c r="Z120" i="3"/>
  <c r="AG120" i="3" s="1"/>
  <c r="W120" i="3"/>
  <c r="AI120" i="3"/>
  <c r="AD136" i="3"/>
  <c r="AA136" i="3"/>
  <c r="AI136" i="3"/>
  <c r="AD174" i="3"/>
  <c r="AB174" i="3"/>
  <c r="AH174" i="3"/>
  <c r="AF174" i="3"/>
  <c r="AA174" i="3"/>
  <c r="W180" i="3"/>
  <c r="AE208" i="3"/>
  <c r="AC246" i="3"/>
  <c r="AA257" i="3"/>
  <c r="Z257" i="3"/>
  <c r="AG257" i="3" s="1"/>
  <c r="W257" i="3"/>
  <c r="V257" i="3"/>
  <c r="U257" i="3"/>
  <c r="X257" i="3" s="1"/>
  <c r="AI257" i="3"/>
  <c r="AH257" i="3"/>
  <c r="AE257" i="3"/>
  <c r="AD257" i="3"/>
  <c r="AC257" i="3"/>
  <c r="Y257" i="3"/>
  <c r="V312" i="3"/>
  <c r="AH368" i="3"/>
  <c r="AB88" i="3"/>
  <c r="AA96" i="3"/>
  <c r="AA107" i="3"/>
  <c r="AH110" i="3"/>
  <c r="AE110" i="3"/>
  <c r="AD112" i="3"/>
  <c r="V114" i="3"/>
  <c r="W115" i="3"/>
  <c r="AH115" i="3"/>
  <c r="AD117" i="3"/>
  <c r="AB123" i="3"/>
  <c r="V125" i="3"/>
  <c r="AI126" i="3"/>
  <c r="U126" i="3"/>
  <c r="X126" i="3" s="1"/>
  <c r="V130" i="3"/>
  <c r="AA131" i="3"/>
  <c r="AI131" i="3"/>
  <c r="AC133" i="3"/>
  <c r="W135" i="3"/>
  <c r="AE147" i="3"/>
  <c r="AB147" i="3"/>
  <c r="AI147" i="3"/>
  <c r="AD149" i="3"/>
  <c r="AC152" i="3"/>
  <c r="AD160" i="3"/>
  <c r="AB160" i="3"/>
  <c r="Z160" i="3"/>
  <c r="AG160" i="3" s="1"/>
  <c r="Y160" i="3"/>
  <c r="U160" i="3"/>
  <c r="X160" i="3" s="1"/>
  <c r="AH160" i="3"/>
  <c r="AD163" i="3"/>
  <c r="Z172" i="3"/>
  <c r="AG172" i="3" s="1"/>
  <c r="W172" i="3"/>
  <c r="V172" i="3"/>
  <c r="U172" i="3"/>
  <c r="X172" i="3" s="1"/>
  <c r="AH172" i="3"/>
  <c r="AE172" i="3"/>
  <c r="X180" i="3"/>
  <c r="U185" i="3"/>
  <c r="X185" i="3" s="1"/>
  <c r="V197" i="3"/>
  <c r="AF208" i="3"/>
  <c r="Y219" i="3"/>
  <c r="U227" i="3"/>
  <c r="X227" i="3" s="1"/>
  <c r="AE246" i="3"/>
  <c r="AB257" i="3"/>
  <c r="AD262" i="3"/>
  <c r="AC262" i="3"/>
  <c r="AA262" i="3"/>
  <c r="Z262" i="3"/>
  <c r="AG262" i="3" s="1"/>
  <c r="Y262" i="3"/>
  <c r="W262" i="3"/>
  <c r="AH262" i="3"/>
  <c r="AF262" i="3"/>
  <c r="AE262" i="3"/>
  <c r="V262" i="3"/>
  <c r="U262" i="3"/>
  <c r="X262" i="3" s="1"/>
  <c r="Y312" i="3"/>
  <c r="AB96" i="3"/>
  <c r="AB107" i="3"/>
  <c r="W114" i="3"/>
  <c r="U120" i="3"/>
  <c r="X120" i="3" s="1"/>
  <c r="AC123" i="3"/>
  <c r="W125" i="3"/>
  <c r="W130" i="3"/>
  <c r="U136" i="3"/>
  <c r="X136" i="3" s="1"/>
  <c r="AB142" i="3"/>
  <c r="Y142" i="3"/>
  <c r="AI142" i="3"/>
  <c r="AD152" i="3"/>
  <c r="Z158" i="3"/>
  <c r="AG158" i="3" s="1"/>
  <c r="AF158" i="3"/>
  <c r="AE158" i="3"/>
  <c r="AB158" i="3"/>
  <c r="W158" i="3"/>
  <c r="AE163" i="3"/>
  <c r="U174" i="3"/>
  <c r="X174" i="3" s="1"/>
  <c r="AA175" i="3"/>
  <c r="AA180" i="3"/>
  <c r="V185" i="3"/>
  <c r="AC191" i="3"/>
  <c r="AA191" i="3"/>
  <c r="AF191" i="3"/>
  <c r="AE191" i="3"/>
  <c r="AD191" i="3"/>
  <c r="Z191" i="3"/>
  <c r="AG191" i="3" s="1"/>
  <c r="Y191" i="3"/>
  <c r="V191" i="3"/>
  <c r="W197" i="3"/>
  <c r="V206" i="3"/>
  <c r="AI206" i="3"/>
  <c r="U206" i="3"/>
  <c r="X206" i="3" s="1"/>
  <c r="AF206" i="3"/>
  <c r="AE206" i="3"/>
  <c r="AD206" i="3"/>
  <c r="AB206" i="3"/>
  <c r="AA206" i="3"/>
  <c r="W206" i="3"/>
  <c r="AB219" i="3"/>
  <c r="W227" i="3"/>
  <c r="AH241" i="3"/>
  <c r="AI246" i="3"/>
  <c r="AF257" i="3"/>
  <c r="AB262" i="3"/>
  <c r="AC312" i="3"/>
  <c r="U68" i="3"/>
  <c r="X68" i="3" s="1"/>
  <c r="Y68" i="3" s="1"/>
  <c r="AH91" i="3"/>
  <c r="AG95" i="3"/>
  <c r="U98" i="3"/>
  <c r="AG106" i="3"/>
  <c r="AC107" i="3"/>
  <c r="V110" i="3"/>
  <c r="AC111" i="3"/>
  <c r="Z111" i="3"/>
  <c r="AG111" i="3" s="1"/>
  <c r="AI111" i="3"/>
  <c r="AF112" i="3"/>
  <c r="X114" i="3"/>
  <c r="V115" i="3"/>
  <c r="AF116" i="3"/>
  <c r="AC116" i="3"/>
  <c r="AI116" i="3"/>
  <c r="AF117" i="3"/>
  <c r="V120" i="3"/>
  <c r="AI121" i="3"/>
  <c r="U121" i="3"/>
  <c r="X121" i="3" s="1"/>
  <c r="AF121" i="3"/>
  <c r="AG122" i="3"/>
  <c r="AD123" i="3"/>
  <c r="X125" i="3"/>
  <c r="V126" i="3"/>
  <c r="AG127" i="3"/>
  <c r="X130" i="3"/>
  <c r="U131" i="3"/>
  <c r="X131" i="3" s="1"/>
  <c r="AF133" i="3"/>
  <c r="Y135" i="3"/>
  <c r="V136" i="3"/>
  <c r="Y137" i="3"/>
  <c r="V137" i="3"/>
  <c r="AI137" i="3"/>
  <c r="U147" i="3"/>
  <c r="X147" i="3" s="1"/>
  <c r="AG149" i="3"/>
  <c r="AF152" i="3"/>
  <c r="V160" i="3"/>
  <c r="AI163" i="3"/>
  <c r="AE171" i="3"/>
  <c r="AC171" i="3"/>
  <c r="Z171" i="3"/>
  <c r="AG171" i="3" s="1"/>
  <c r="Y171" i="3"/>
  <c r="U171" i="3"/>
  <c r="X171" i="3" s="1"/>
  <c r="AH171" i="3"/>
  <c r="Y172" i="3"/>
  <c r="V174" i="3"/>
  <c r="AB175" i="3"/>
  <c r="AC180" i="3"/>
  <c r="AA183" i="3"/>
  <c r="Y183" i="3"/>
  <c r="V183" i="3"/>
  <c r="U183" i="3"/>
  <c r="X183" i="3" s="1"/>
  <c r="AG183" i="3"/>
  <c r="AD183" i="3"/>
  <c r="W185" i="3"/>
  <c r="AC197" i="3"/>
  <c r="AH208" i="3"/>
  <c r="AA211" i="3"/>
  <c r="Y211" i="3"/>
  <c r="W211" i="3"/>
  <c r="V211" i="3"/>
  <c r="U211" i="3"/>
  <c r="X211" i="3" s="1"/>
  <c r="AI211" i="3"/>
  <c r="AH211" i="3"/>
  <c r="AE211" i="3"/>
  <c r="AD219" i="3"/>
  <c r="AD227" i="3"/>
  <c r="AI262" i="3"/>
  <c r="V98" i="3"/>
  <c r="AH106" i="3"/>
  <c r="AD107" i="3"/>
  <c r="W110" i="3"/>
  <c r="AG112" i="3"/>
  <c r="Z114" i="3"/>
  <c r="AG114" i="3" s="1"/>
  <c r="X115" i="3"/>
  <c r="AG117" i="3"/>
  <c r="AE123" i="3"/>
  <c r="Y125" i="3"/>
  <c r="W126" i="3"/>
  <c r="Y130" i="3"/>
  <c r="V131" i="3"/>
  <c r="AG133" i="3"/>
  <c r="Z135" i="3"/>
  <c r="AG135" i="3" s="1"/>
  <c r="W136" i="3"/>
  <c r="U142" i="3"/>
  <c r="X142" i="3" s="1"/>
  <c r="V147" i="3"/>
  <c r="Z148" i="3"/>
  <c r="AG148" i="3" s="1"/>
  <c r="W148" i="3"/>
  <c r="AH148" i="3"/>
  <c r="AG152" i="3"/>
  <c r="U158" i="3"/>
  <c r="X158" i="3" s="1"/>
  <c r="W160" i="3"/>
  <c r="AA172" i="3"/>
  <c r="W174" i="3"/>
  <c r="AF175" i="3"/>
  <c r="Y185" i="3"/>
  <c r="U191" i="3"/>
  <c r="X191" i="3" s="1"/>
  <c r="AF196" i="3"/>
  <c r="AD196" i="3"/>
  <c r="AC196" i="3"/>
  <c r="AI196" i="3"/>
  <c r="AH196" i="3"/>
  <c r="AE196" i="3"/>
  <c r="AA196" i="3"/>
  <c r="Z196" i="3"/>
  <c r="AG196" i="3" s="1"/>
  <c r="W196" i="3"/>
  <c r="AH197" i="3"/>
  <c r="Z200" i="3"/>
  <c r="AG200" i="3" s="1"/>
  <c r="W200" i="3"/>
  <c r="AC200" i="3"/>
  <c r="AB200" i="3"/>
  <c r="AA200" i="3"/>
  <c r="Y200" i="3"/>
  <c r="U200" i="3"/>
  <c r="X200" i="3" s="1"/>
  <c r="AH200" i="3"/>
  <c r="Y206" i="3"/>
  <c r="Z211" i="3"/>
  <c r="AG211" i="3" s="1"/>
  <c r="AF219" i="3"/>
  <c r="X294" i="3"/>
  <c r="W294" i="3"/>
  <c r="AD294" i="3"/>
  <c r="AC294" i="3"/>
  <c r="Z294" i="3"/>
  <c r="AG294" i="3" s="1"/>
  <c r="Y294" i="3"/>
  <c r="AI294" i="3"/>
  <c r="AH294" i="3"/>
  <c r="AF294" i="3"/>
  <c r="AE294" i="3"/>
  <c r="AB294" i="3"/>
  <c r="V294" i="3"/>
  <c r="Y319" i="3"/>
  <c r="X319" i="3"/>
  <c r="AH319" i="3"/>
  <c r="AG319" i="3"/>
  <c r="AE319" i="3"/>
  <c r="AD319" i="3"/>
  <c r="AC319" i="3"/>
  <c r="AI319" i="3"/>
  <c r="AF319" i="3"/>
  <c r="AB319" i="3"/>
  <c r="AA319" i="3"/>
  <c r="W319" i="3"/>
  <c r="W68" i="3"/>
  <c r="W98" i="3"/>
  <c r="AE107" i="3"/>
  <c r="X110" i="3"/>
  <c r="AA114" i="3"/>
  <c r="Y115" i="3"/>
  <c r="Y120" i="3"/>
  <c r="AD122" i="3"/>
  <c r="AA122" i="3"/>
  <c r="AI122" i="3"/>
  <c r="AF123" i="3"/>
  <c r="AA125" i="3"/>
  <c r="Y126" i="3"/>
  <c r="Z130" i="3"/>
  <c r="AG130" i="3" s="1"/>
  <c r="W131" i="3"/>
  <c r="AA135" i="3"/>
  <c r="AH138" i="3"/>
  <c r="AE138" i="3"/>
  <c r="V142" i="3"/>
  <c r="W143" i="3"/>
  <c r="AH143" i="3"/>
  <c r="W147" i="3"/>
  <c r="V158" i="3"/>
  <c r="AA160" i="3"/>
  <c r="AB172" i="3"/>
  <c r="Y174" i="3"/>
  <c r="AH180" i="3"/>
  <c r="Z185" i="3"/>
  <c r="AG185" i="3" s="1"/>
  <c r="W191" i="3"/>
  <c r="AG195" i="3"/>
  <c r="AI197" i="3"/>
  <c r="Z206" i="3"/>
  <c r="AG206" i="3" s="1"/>
  <c r="AD290" i="3"/>
  <c r="AC290" i="3"/>
  <c r="Y290" i="3"/>
  <c r="U290" i="3"/>
  <c r="X290" i="3" s="1"/>
  <c r="AF290" i="3"/>
  <c r="AE290" i="3"/>
  <c r="AB290" i="3"/>
  <c r="AA290" i="3"/>
  <c r="AI290" i="3"/>
  <c r="Z290" i="3"/>
  <c r="AG290" i="3" s="1"/>
  <c r="W290" i="3"/>
  <c r="V290" i="3"/>
  <c r="AG107" i="3"/>
  <c r="AI112" i="3"/>
  <c r="U112" i="3"/>
  <c r="X112" i="3" s="1"/>
  <c r="AC114" i="3"/>
  <c r="AA117" i="3"/>
  <c r="X117" i="3"/>
  <c r="AI117" i="3"/>
  <c r="AA120" i="3"/>
  <c r="AG123" i="3"/>
  <c r="AB125" i="3"/>
  <c r="AA130" i="3"/>
  <c r="AE133" i="3"/>
  <c r="AB133" i="3"/>
  <c r="AI133" i="3"/>
  <c r="AB135" i="3"/>
  <c r="Y136" i="3"/>
  <c r="W142" i="3"/>
  <c r="AI149" i="3"/>
  <c r="U149" i="3"/>
  <c r="X149" i="3" s="1"/>
  <c r="AF149" i="3"/>
  <c r="AC149" i="3"/>
  <c r="AI153" i="3"/>
  <c r="AE153" i="3"/>
  <c r="AD153" i="3"/>
  <c r="AC153" i="3"/>
  <c r="Z153" i="3"/>
  <c r="AG153" i="3" s="1"/>
  <c r="W153" i="3"/>
  <c r="Y158" i="3"/>
  <c r="AC160" i="3"/>
  <c r="V164" i="3"/>
  <c r="AE164" i="3"/>
  <c r="AD164" i="3"/>
  <c r="AC164" i="3"/>
  <c r="Z164" i="3"/>
  <c r="AG164" i="3" s="1"/>
  <c r="U164" i="3"/>
  <c r="X164" i="3" s="1"/>
  <c r="AC172" i="3"/>
  <c r="Z174" i="3"/>
  <c r="AG174" i="3" s="1"/>
  <c r="AH175" i="3"/>
  <c r="AI180" i="3"/>
  <c r="AF182" i="3"/>
  <c r="AD182" i="3"/>
  <c r="Y182" i="3"/>
  <c r="X182" i="3"/>
  <c r="W182" i="3"/>
  <c r="AG182" i="3"/>
  <c r="AD185" i="3"/>
  <c r="AC206" i="3"/>
  <c r="Z228" i="3"/>
  <c r="AG228" i="3" s="1"/>
  <c r="W228" i="3"/>
  <c r="V228" i="3"/>
  <c r="AH228" i="3"/>
  <c r="AF228" i="3"/>
  <c r="AE228" i="3"/>
  <c r="AC228" i="3"/>
  <c r="AB228" i="3"/>
  <c r="AA228" i="3"/>
  <c r="U228" i="3"/>
  <c r="X228" i="3" s="1"/>
  <c r="AE245" i="3"/>
  <c r="AD245" i="3"/>
  <c r="AC245" i="3"/>
  <c r="AB245" i="3"/>
  <c r="AA245" i="3"/>
  <c r="Z245" i="3"/>
  <c r="AG245" i="3" s="1"/>
  <c r="Y245" i="3"/>
  <c r="AI245" i="3"/>
  <c r="AH245" i="3"/>
  <c r="AF245" i="3"/>
  <c r="W245" i="3"/>
  <c r="U245" i="3"/>
  <c r="X245" i="3" s="1"/>
  <c r="Y263" i="3"/>
  <c r="Z263" i="3"/>
  <c r="AG263" i="3" s="1"/>
  <c r="W263" i="3"/>
  <c r="V263" i="3"/>
  <c r="U263" i="3"/>
  <c r="X263" i="3" s="1"/>
  <c r="AI263" i="3"/>
  <c r="AH263" i="3"/>
  <c r="AE263" i="3"/>
  <c r="AD263" i="3"/>
  <c r="AC263" i="3"/>
  <c r="AA263" i="3"/>
  <c r="AB268" i="3"/>
  <c r="AA268" i="3"/>
  <c r="Y268" i="3"/>
  <c r="Z268" i="3"/>
  <c r="AG268" i="3" s="1"/>
  <c r="W268" i="3"/>
  <c r="V268" i="3"/>
  <c r="U268" i="3"/>
  <c r="X268" i="3" s="1"/>
  <c r="AH268" i="3"/>
  <c r="AF268" i="3"/>
  <c r="AD268" i="3"/>
  <c r="AI360" i="3"/>
  <c r="U360" i="3"/>
  <c r="X360" i="3" s="1"/>
  <c r="Z360" i="3"/>
  <c r="AG360" i="3" s="1"/>
  <c r="Y360" i="3"/>
  <c r="W360" i="3"/>
  <c r="AF360" i="3"/>
  <c r="AH360" i="3"/>
  <c r="AE360" i="3"/>
  <c r="AD360" i="3"/>
  <c r="AB360" i="3"/>
  <c r="AA360" i="3"/>
  <c r="V360" i="3"/>
  <c r="AC360" i="3"/>
  <c r="AG151" i="3"/>
  <c r="AF154" i="3"/>
  <c r="AD154" i="3"/>
  <c r="AI154" i="3"/>
  <c r="Z157" i="3"/>
  <c r="AG157" i="3" s="1"/>
  <c r="AA162" i="3"/>
  <c r="AG165" i="3"/>
  <c r="V170" i="3"/>
  <c r="AH170" i="3"/>
  <c r="W181" i="3"/>
  <c r="AI181" i="3"/>
  <c r="U181" i="3"/>
  <c r="X181" i="3" s="1"/>
  <c r="Y190" i="3"/>
  <c r="X192" i="3"/>
  <c r="V192" i="3"/>
  <c r="AI192" i="3"/>
  <c r="AE199" i="3"/>
  <c r="AC199" i="3"/>
  <c r="AB199" i="3"/>
  <c r="Y204" i="3"/>
  <c r="AA214" i="3"/>
  <c r="AA222" i="3"/>
  <c r="X224" i="3"/>
  <c r="W297" i="3"/>
  <c r="V297" i="3"/>
  <c r="AH297" i="3"/>
  <c r="AG297" i="3"/>
  <c r="AD297" i="3"/>
  <c r="AC297" i="3"/>
  <c r="AI297" i="3"/>
  <c r="AF297" i="3"/>
  <c r="AE297" i="3"/>
  <c r="Y333" i="3"/>
  <c r="AI333" i="3"/>
  <c r="U333" i="3"/>
  <c r="X333" i="3" s="1"/>
  <c r="AH333" i="3"/>
  <c r="AF333" i="3"/>
  <c r="AE333" i="3"/>
  <c r="AD333" i="3"/>
  <c r="AE418" i="3"/>
  <c r="AC418" i="3"/>
  <c r="AA418" i="3"/>
  <c r="Y418" i="3"/>
  <c r="W418" i="3"/>
  <c r="AI418" i="3"/>
  <c r="U418" i="3"/>
  <c r="X418" i="3" s="1"/>
  <c r="AF418" i="3"/>
  <c r="AD418" i="3"/>
  <c r="AB418" i="3"/>
  <c r="V418" i="3"/>
  <c r="AH418" i="3"/>
  <c r="Z418" i="3"/>
  <c r="AG418" i="3" s="1"/>
  <c r="AD230" i="3"/>
  <c r="AB230" i="3"/>
  <c r="AA230" i="3"/>
  <c r="Z230" i="3"/>
  <c r="AG230" i="3" s="1"/>
  <c r="AH232" i="3"/>
  <c r="AF232" i="3"/>
  <c r="AE232" i="3"/>
  <c r="AD232" i="3"/>
  <c r="AC233" i="3"/>
  <c r="AA233" i="3"/>
  <c r="Z233" i="3"/>
  <c r="AG233" i="3" s="1"/>
  <c r="Y233" i="3"/>
  <c r="V244" i="3"/>
  <c r="AI244" i="3"/>
  <c r="U244" i="3"/>
  <c r="X244" i="3" s="1"/>
  <c r="AF244" i="3"/>
  <c r="AE244" i="3"/>
  <c r="AD244" i="3"/>
  <c r="AC244" i="3"/>
  <c r="AB244" i="3"/>
  <c r="W283" i="3"/>
  <c r="V283" i="3"/>
  <c r="AC283" i="3"/>
  <c r="AB283" i="3"/>
  <c r="AA283" i="3"/>
  <c r="Z283" i="3"/>
  <c r="AG283" i="3" s="1"/>
  <c r="Y283" i="3"/>
  <c r="U283" i="3"/>
  <c r="X283" i="3" s="1"/>
  <c r="Y305" i="3"/>
  <c r="AE305" i="3"/>
  <c r="AC305" i="3"/>
  <c r="AB305" i="3"/>
  <c r="W305" i="3"/>
  <c r="V305" i="3"/>
  <c r="AI305" i="3"/>
  <c r="AH305" i="3"/>
  <c r="AG305" i="3"/>
  <c r="AF305" i="3"/>
  <c r="V314" i="3"/>
  <c r="AI314" i="3"/>
  <c r="U314" i="3"/>
  <c r="X314" i="3" s="1"/>
  <c r="AE314" i="3"/>
  <c r="AD314" i="3"/>
  <c r="AB314" i="3"/>
  <c r="AA314" i="3"/>
  <c r="Z314" i="3"/>
  <c r="AG314" i="3" s="1"/>
  <c r="AF314" i="3"/>
  <c r="AC314" i="3"/>
  <c r="Y314" i="3"/>
  <c r="W314" i="3"/>
  <c r="AF355" i="3"/>
  <c r="AD355" i="3"/>
  <c r="AC355" i="3"/>
  <c r="Y355" i="3"/>
  <c r="AH355" i="3"/>
  <c r="AB355" i="3"/>
  <c r="AA355" i="3"/>
  <c r="AI355" i="3"/>
  <c r="AE355" i="3"/>
  <c r="Z355" i="3"/>
  <c r="AG355" i="3" s="1"/>
  <c r="W355" i="3"/>
  <c r="V355" i="3"/>
  <c r="U355" i="3"/>
  <c r="X355" i="3" s="1"/>
  <c r="AC364" i="3"/>
  <c r="Y364" i="3"/>
  <c r="W364" i="3"/>
  <c r="V364" i="3"/>
  <c r="AI364" i="3"/>
  <c r="AE364" i="3"/>
  <c r="AD364" i="3"/>
  <c r="AA364" i="3"/>
  <c r="Z364" i="3"/>
  <c r="AG364" i="3" s="1"/>
  <c r="U364" i="3"/>
  <c r="X364" i="3" s="1"/>
  <c r="AH364" i="3"/>
  <c r="AF364" i="3"/>
  <c r="AB364" i="3"/>
  <c r="AG118" i="3"/>
  <c r="AG132" i="3"/>
  <c r="AG146" i="3"/>
  <c r="V151" i="3"/>
  <c r="V154" i="3"/>
  <c r="AA155" i="3"/>
  <c r="Y155" i="3"/>
  <c r="AI155" i="3"/>
  <c r="AD157" i="3"/>
  <c r="AD162" i="3"/>
  <c r="AB166" i="3"/>
  <c r="Z166" i="3"/>
  <c r="AG166" i="3" s="1"/>
  <c r="AI166" i="3"/>
  <c r="AB168" i="3"/>
  <c r="X170" i="3"/>
  <c r="AC177" i="3"/>
  <c r="AA177" i="3"/>
  <c r="AI177" i="3"/>
  <c r="AD184" i="3"/>
  <c r="AD188" i="3"/>
  <c r="AB188" i="3"/>
  <c r="AI188" i="3"/>
  <c r="AB190" i="3"/>
  <c r="W192" i="3"/>
  <c r="AD195" i="3"/>
  <c r="V199" i="3"/>
  <c r="AE203" i="3"/>
  <c r="AB204" i="3"/>
  <c r="W209" i="3"/>
  <c r="AI209" i="3"/>
  <c r="U209" i="3"/>
  <c r="X209" i="3" s="1"/>
  <c r="AH209" i="3"/>
  <c r="AF210" i="3"/>
  <c r="AD210" i="3"/>
  <c r="AC210" i="3"/>
  <c r="AF213" i="3"/>
  <c r="AD214" i="3"/>
  <c r="Y217" i="3"/>
  <c r="W217" i="3"/>
  <c r="V217" i="3"/>
  <c r="AE222" i="3"/>
  <c r="AA224" i="3"/>
  <c r="Y231" i="3"/>
  <c r="W231" i="3"/>
  <c r="V231" i="3"/>
  <c r="AI231" i="3"/>
  <c r="U231" i="3"/>
  <c r="X231" i="3" s="1"/>
  <c r="U232" i="3"/>
  <c r="X232" i="3" s="1"/>
  <c r="V234" i="3"/>
  <c r="AI234" i="3"/>
  <c r="U234" i="3"/>
  <c r="X234" i="3" s="1"/>
  <c r="AH234" i="3"/>
  <c r="AC237" i="3"/>
  <c r="Y237" i="3"/>
  <c r="W237" i="3"/>
  <c r="V237" i="3"/>
  <c r="U237" i="3"/>
  <c r="X237" i="3" s="1"/>
  <c r="AG239" i="3"/>
  <c r="AC293" i="3"/>
  <c r="AB293" i="3"/>
  <c r="AF293" i="3"/>
  <c r="AA293" i="3"/>
  <c r="Z293" i="3"/>
  <c r="AG293" i="3" s="1"/>
  <c r="AI293" i="3"/>
  <c r="AH293" i="3"/>
  <c r="AE293" i="3"/>
  <c r="AD293" i="3"/>
  <c r="Y293" i="3"/>
  <c r="X297" i="3"/>
  <c r="Z333" i="3"/>
  <c r="AG333" i="3" s="1"/>
  <c r="X336" i="3"/>
  <c r="W336" i="3"/>
  <c r="AH336" i="3"/>
  <c r="AI336" i="3"/>
  <c r="AF336" i="3"/>
  <c r="AD336" i="3"/>
  <c r="AC336" i="3"/>
  <c r="AA336" i="3"/>
  <c r="Z336" i="3"/>
  <c r="AG336" i="3" s="1"/>
  <c r="Y336" i="3"/>
  <c r="AE336" i="3"/>
  <c r="AB336" i="3"/>
  <c r="V336" i="3"/>
  <c r="V397" i="3"/>
  <c r="AF397" i="3"/>
  <c r="AD397" i="3"/>
  <c r="AC397" i="3"/>
  <c r="AB397" i="3"/>
  <c r="AA397" i="3"/>
  <c r="Z397" i="3"/>
  <c r="AG397" i="3" s="1"/>
  <c r="AH397" i="3"/>
  <c r="AE397" i="3"/>
  <c r="Y397" i="3"/>
  <c r="W397" i="3"/>
  <c r="U397" i="3"/>
  <c r="X397" i="3" s="1"/>
  <c r="AI397" i="3"/>
  <c r="AC190" i="3"/>
  <c r="AC204" i="3"/>
  <c r="AE214" i="3"/>
  <c r="AH218" i="3"/>
  <c r="AF218" i="3"/>
  <c r="AE218" i="3"/>
  <c r="AF222" i="3"/>
  <c r="AE224" i="3"/>
  <c r="U230" i="3"/>
  <c r="X230" i="3" s="1"/>
  <c r="V232" i="3"/>
  <c r="U233" i="3"/>
  <c r="X233" i="3" s="1"/>
  <c r="AH236" i="3"/>
  <c r="AC236" i="3"/>
  <c r="AA236" i="3"/>
  <c r="Z236" i="3"/>
  <c r="AG236" i="3" s="1"/>
  <c r="Y236" i="3"/>
  <c r="W244" i="3"/>
  <c r="W255" i="3"/>
  <c r="V255" i="3"/>
  <c r="AE255" i="3"/>
  <c r="AD255" i="3"/>
  <c r="AC255" i="3"/>
  <c r="AB255" i="3"/>
  <c r="AA255" i="3"/>
  <c r="AD283" i="3"/>
  <c r="U305" i="3"/>
  <c r="X305" i="3" s="1"/>
  <c r="AH314" i="3"/>
  <c r="V385" i="3"/>
  <c r="AC385" i="3"/>
  <c r="AB385" i="3"/>
  <c r="AA385" i="3"/>
  <c r="Z385" i="3"/>
  <c r="AG385" i="3" s="1"/>
  <c r="AI385" i="3"/>
  <c r="AH385" i="3"/>
  <c r="AF385" i="3"/>
  <c r="AE385" i="3"/>
  <c r="Y385" i="3"/>
  <c r="W385" i="3"/>
  <c r="U385" i="3"/>
  <c r="X385" i="3" s="1"/>
  <c r="Y151" i="3"/>
  <c r="Y154" i="3"/>
  <c r="V155" i="3"/>
  <c r="V156" i="3"/>
  <c r="AH156" i="3"/>
  <c r="V166" i="3"/>
  <c r="W167" i="3"/>
  <c r="AI167" i="3"/>
  <c r="U167" i="3"/>
  <c r="X167" i="3" s="1"/>
  <c r="AA170" i="3"/>
  <c r="V177" i="3"/>
  <c r="X178" i="3"/>
  <c r="V178" i="3"/>
  <c r="AI178" i="3"/>
  <c r="AA181" i="3"/>
  <c r="V188" i="3"/>
  <c r="Y189" i="3"/>
  <c r="W189" i="3"/>
  <c r="AI189" i="3"/>
  <c r="AE190" i="3"/>
  <c r="AA192" i="3"/>
  <c r="Y199" i="3"/>
  <c r="AD202" i="3"/>
  <c r="AB202" i="3"/>
  <c r="AA202" i="3"/>
  <c r="AG204" i="3"/>
  <c r="Y209" i="3"/>
  <c r="V210" i="3"/>
  <c r="X217" i="3"/>
  <c r="V218" i="3"/>
  <c r="AG221" i="3"/>
  <c r="AH222" i="3"/>
  <c r="AH224" i="3"/>
  <c r="W230" i="3"/>
  <c r="Z231" i="3"/>
  <c r="AG231" i="3" s="1"/>
  <c r="W233" i="3"/>
  <c r="Z234" i="3"/>
  <c r="AG234" i="3" s="1"/>
  <c r="V236" i="3"/>
  <c r="Z237" i="3"/>
  <c r="AG237" i="3" s="1"/>
  <c r="Y244" i="3"/>
  <c r="AB254" i="3"/>
  <c r="AA254" i="3"/>
  <c r="AH254" i="3"/>
  <c r="AG254" i="3"/>
  <c r="AF254" i="3"/>
  <c r="AE254" i="3"/>
  <c r="AD254" i="3"/>
  <c r="U255" i="3"/>
  <c r="X255" i="3" s="1"/>
  <c r="X280" i="3"/>
  <c r="W280" i="3"/>
  <c r="Y280" i="3"/>
  <c r="V280" i="3"/>
  <c r="AI280" i="3"/>
  <c r="AH280" i="3"/>
  <c r="AG280" i="3"/>
  <c r="AF280" i="3"/>
  <c r="AE280" i="3"/>
  <c r="AB282" i="3"/>
  <c r="AA282" i="3"/>
  <c r="AF282" i="3"/>
  <c r="AE282" i="3"/>
  <c r="Z282" i="3"/>
  <c r="AG282" i="3" s="1"/>
  <c r="Y282" i="3"/>
  <c r="X282" i="3"/>
  <c r="W282" i="3"/>
  <c r="V282" i="3"/>
  <c r="AF283" i="3"/>
  <c r="V293" i="3"/>
  <c r="AA297" i="3"/>
  <c r="AA305" i="3"/>
  <c r="AE315" i="3"/>
  <c r="AD315" i="3"/>
  <c r="AF315" i="3"/>
  <c r="AB315" i="3"/>
  <c r="AA315" i="3"/>
  <c r="Y315" i="3"/>
  <c r="X315" i="3"/>
  <c r="W315" i="3"/>
  <c r="AI315" i="3"/>
  <c r="AH315" i="3"/>
  <c r="AD318" i="3"/>
  <c r="AC318" i="3"/>
  <c r="W318" i="3"/>
  <c r="U318" i="3"/>
  <c r="X318" i="3" s="1"/>
  <c r="AH318" i="3"/>
  <c r="AF318" i="3"/>
  <c r="AI318" i="3"/>
  <c r="AE318" i="3"/>
  <c r="AB318" i="3"/>
  <c r="AA318" i="3"/>
  <c r="Z318" i="3"/>
  <c r="AG318" i="3" s="1"/>
  <c r="AC333" i="3"/>
  <c r="AB342" i="3"/>
  <c r="Y342" i="3"/>
  <c r="U342" i="3"/>
  <c r="X342" i="3" s="1"/>
  <c r="AI342" i="3"/>
  <c r="AE342" i="3"/>
  <c r="AD342" i="3"/>
  <c r="AA342" i="3"/>
  <c r="Z342" i="3"/>
  <c r="AG342" i="3" s="1"/>
  <c r="W342" i="3"/>
  <c r="AI400" i="3"/>
  <c r="U400" i="3"/>
  <c r="X400" i="3" s="1"/>
  <c r="AE400" i="3"/>
  <c r="AC400" i="3"/>
  <c r="Z400" i="3"/>
  <c r="AG400" i="3" s="1"/>
  <c r="Y400" i="3"/>
  <c r="W400" i="3"/>
  <c r="AH400" i="3"/>
  <c r="AF400" i="3"/>
  <c r="AD400" i="3"/>
  <c r="AB400" i="3"/>
  <c r="AA400" i="3"/>
  <c r="V400" i="3"/>
  <c r="AE157" i="3"/>
  <c r="AC157" i="3"/>
  <c r="AI157" i="3"/>
  <c r="AH162" i="3"/>
  <c r="AF162" i="3"/>
  <c r="AB181" i="3"/>
  <c r="AG190" i="3"/>
  <c r="AB192" i="3"/>
  <c r="Z199" i="3"/>
  <c r="AG199" i="3" s="1"/>
  <c r="AE213" i="3"/>
  <c r="AC213" i="3"/>
  <c r="AB213" i="3"/>
  <c r="AH214" i="3"/>
  <c r="W218" i="3"/>
  <c r="V220" i="3"/>
  <c r="AI220" i="3"/>
  <c r="U220" i="3"/>
  <c r="X220" i="3" s="1"/>
  <c r="AH220" i="3"/>
  <c r="Y232" i="3"/>
  <c r="W236" i="3"/>
  <c r="AB240" i="3"/>
  <c r="AA240" i="3"/>
  <c r="AC240" i="3"/>
  <c r="Z240" i="3"/>
  <c r="AG240" i="3" s="1"/>
  <c r="Y240" i="3"/>
  <c r="X240" i="3"/>
  <c r="W240" i="3"/>
  <c r="Z244" i="3"/>
  <c r="AG244" i="3" s="1"/>
  <c r="AC251" i="3"/>
  <c r="AB251" i="3"/>
  <c r="AD251" i="3"/>
  <c r="AA251" i="3"/>
  <c r="Z251" i="3"/>
  <c r="AG251" i="3" s="1"/>
  <c r="Y251" i="3"/>
  <c r="Z260" i="3"/>
  <c r="AG260" i="3" s="1"/>
  <c r="Y260" i="3"/>
  <c r="AF260" i="3"/>
  <c r="AE260" i="3"/>
  <c r="AD260" i="3"/>
  <c r="AC260" i="3"/>
  <c r="AA285" i="3"/>
  <c r="Z285" i="3"/>
  <c r="AG285" i="3" s="1"/>
  <c r="V285" i="3"/>
  <c r="U285" i="3"/>
  <c r="X285" i="3" s="1"/>
  <c r="AB285" i="3"/>
  <c r="Y285" i="3"/>
  <c r="W285" i="3"/>
  <c r="W293" i="3"/>
  <c r="AB296" i="3"/>
  <c r="AA296" i="3"/>
  <c r="U296" i="3"/>
  <c r="X296" i="3" s="1"/>
  <c r="AG296" i="3"/>
  <c r="AF296" i="3"/>
  <c r="AI296" i="3"/>
  <c r="AH296" i="3"/>
  <c r="AE296" i="3"/>
  <c r="AD296" i="3"/>
  <c r="AC296" i="3"/>
  <c r="AB297" i="3"/>
  <c r="AD305" i="3"/>
  <c r="AA154" i="3"/>
  <c r="U162" i="3"/>
  <c r="X162" i="3" s="1"/>
  <c r="AF168" i="3"/>
  <c r="AD168" i="3"/>
  <c r="AI168" i="3"/>
  <c r="AC170" i="3"/>
  <c r="AG179" i="3"/>
  <c r="AC181" i="3"/>
  <c r="V184" i="3"/>
  <c r="AH184" i="3"/>
  <c r="AC192" i="3"/>
  <c r="W195" i="3"/>
  <c r="AI195" i="3"/>
  <c r="U195" i="3"/>
  <c r="X195" i="3" s="1"/>
  <c r="AA199" i="3"/>
  <c r="Y203" i="3"/>
  <c r="W203" i="3"/>
  <c r="V203" i="3"/>
  <c r="X218" i="3"/>
  <c r="Y230" i="3"/>
  <c r="Z232" i="3"/>
  <c r="AG232" i="3" s="1"/>
  <c r="AB233" i="3"/>
  <c r="X236" i="3"/>
  <c r="AA244" i="3"/>
  <c r="Y255" i="3"/>
  <c r="AH283" i="3"/>
  <c r="AC285" i="3"/>
  <c r="Y291" i="3"/>
  <c r="V291" i="3"/>
  <c r="U291" i="3"/>
  <c r="X291" i="3" s="1"/>
  <c r="AH291" i="3"/>
  <c r="AG291" i="3"/>
  <c r="AI291" i="3"/>
  <c r="AF291" i="3"/>
  <c r="AE291" i="3"/>
  <c r="AD291" i="3"/>
  <c r="AC291" i="3"/>
  <c r="X293" i="3"/>
  <c r="V296" i="3"/>
  <c r="AB310" i="3"/>
  <c r="AA310" i="3"/>
  <c r="AD310" i="3"/>
  <c r="Z310" i="3"/>
  <c r="AG310" i="3" s="1"/>
  <c r="Y310" i="3"/>
  <c r="V310" i="3"/>
  <c r="U310" i="3"/>
  <c r="X310" i="3" s="1"/>
  <c r="AH310" i="3"/>
  <c r="AF310" i="3"/>
  <c r="AE310" i="3"/>
  <c r="AC310" i="3"/>
  <c r="Y348" i="3"/>
  <c r="AD348" i="3"/>
  <c r="AC348" i="3"/>
  <c r="AA348" i="3"/>
  <c r="Z348" i="3"/>
  <c r="AG348" i="3" s="1"/>
  <c r="U348" i="3"/>
  <c r="X348" i="3" s="1"/>
  <c r="V348" i="3"/>
  <c r="AH348" i="3"/>
  <c r="AF348" i="3"/>
  <c r="AI348" i="3"/>
  <c r="AE348" i="3"/>
  <c r="AB348" i="3"/>
  <c r="W348" i="3"/>
  <c r="AH190" i="3"/>
  <c r="AF190" i="3"/>
  <c r="AH204" i="3"/>
  <c r="AF204" i="3"/>
  <c r="AE204" i="3"/>
  <c r="Z214" i="3"/>
  <c r="AG214" i="3" s="1"/>
  <c r="X214" i="3"/>
  <c r="W214" i="3"/>
  <c r="AB222" i="3"/>
  <c r="Z222" i="3"/>
  <c r="AG222" i="3" s="1"/>
  <c r="Y222" i="3"/>
  <c r="X222" i="3"/>
  <c r="AF224" i="3"/>
  <c r="AD224" i="3"/>
  <c r="AC224" i="3"/>
  <c r="AB224" i="3"/>
  <c r="AC230" i="3"/>
  <c r="AA232" i="3"/>
  <c r="AD233" i="3"/>
  <c r="U251" i="3"/>
  <c r="X251" i="3" s="1"/>
  <c r="Z255" i="3"/>
  <c r="AG255" i="3" s="1"/>
  <c r="U260" i="3"/>
  <c r="X260" i="3" s="1"/>
  <c r="AI283" i="3"/>
  <c r="AD285" i="3"/>
  <c r="AI289" i="3"/>
  <c r="U289" i="3"/>
  <c r="X289" i="3" s="1"/>
  <c r="AH289" i="3"/>
  <c r="AB289" i="3"/>
  <c r="AA289" i="3"/>
  <c r="W289" i="3"/>
  <c r="AD289" i="3"/>
  <c r="AC289" i="3"/>
  <c r="Z289" i="3"/>
  <c r="AG289" i="3" s="1"/>
  <c r="Y289" i="3"/>
  <c r="V289" i="3"/>
  <c r="W296" i="3"/>
  <c r="AD304" i="3"/>
  <c r="AC304" i="3"/>
  <c r="AH304" i="3"/>
  <c r="AF304" i="3"/>
  <c r="AE304" i="3"/>
  <c r="Z304" i="3"/>
  <c r="AG304" i="3" s="1"/>
  <c r="Y304" i="3"/>
  <c r="AB304" i="3"/>
  <c r="AA304" i="3"/>
  <c r="X304" i="3"/>
  <c r="W304" i="3"/>
  <c r="AC307" i="3"/>
  <c r="AB307" i="3"/>
  <c r="V307" i="3"/>
  <c r="U307" i="3"/>
  <c r="X307" i="3" s="1"/>
  <c r="AH307" i="3"/>
  <c r="AG307" i="3"/>
  <c r="AI307" i="3"/>
  <c r="AF307" i="3"/>
  <c r="AG223" i="3"/>
  <c r="AI247" i="3"/>
  <c r="U247" i="3"/>
  <c r="X247" i="3" s="1"/>
  <c r="AH247" i="3"/>
  <c r="AF259" i="3"/>
  <c r="W269" i="3"/>
  <c r="V269" i="3"/>
  <c r="Z288" i="3"/>
  <c r="AG288" i="3" s="1"/>
  <c r="Y288" i="3"/>
  <c r="AE288" i="3"/>
  <c r="AD288" i="3"/>
  <c r="AA288" i="3"/>
  <c r="W343" i="3"/>
  <c r="U343" i="3"/>
  <c r="X343" i="3" s="1"/>
  <c r="AF343" i="3"/>
  <c r="AH343" i="3"/>
  <c r="AE343" i="3"/>
  <c r="AD343" i="3"/>
  <c r="AC343" i="3"/>
  <c r="AA343" i="3"/>
  <c r="Z343" i="3"/>
  <c r="AG343" i="3" s="1"/>
  <c r="Y343" i="3"/>
  <c r="AB545" i="3"/>
  <c r="Z545" i="3"/>
  <c r="AG545" i="3" s="1"/>
  <c r="Y545" i="3"/>
  <c r="AI545" i="3"/>
  <c r="AH545" i="3"/>
  <c r="AE545" i="3"/>
  <c r="AD545" i="3"/>
  <c r="AC545" i="3"/>
  <c r="AF545" i="3"/>
  <c r="AA545" i="3"/>
  <c r="W545" i="3"/>
  <c r="V545" i="3"/>
  <c r="U545" i="3"/>
  <c r="X545" i="3" s="1"/>
  <c r="AG198" i="3"/>
  <c r="AG212" i="3"/>
  <c r="AH223" i="3"/>
  <c r="AG226" i="3"/>
  <c r="AF242" i="3"/>
  <c r="AE242" i="3"/>
  <c r="AI242" i="3"/>
  <c r="V247" i="3"/>
  <c r="AD248" i="3"/>
  <c r="AC248" i="3"/>
  <c r="AI248" i="3"/>
  <c r="AG253" i="3"/>
  <c r="AG259" i="3"/>
  <c r="AF270" i="3"/>
  <c r="AE270" i="3"/>
  <c r="AI270" i="3"/>
  <c r="AA271" i="3"/>
  <c r="Z271" i="3"/>
  <c r="AG271" i="3" s="1"/>
  <c r="AF271" i="3"/>
  <c r="AE273" i="3"/>
  <c r="AD273" i="3"/>
  <c r="AA273" i="3"/>
  <c r="Z273" i="3"/>
  <c r="AG273" i="3" s="1"/>
  <c r="AE287" i="3"/>
  <c r="AD287" i="3"/>
  <c r="AH287" i="3"/>
  <c r="AG287" i="3"/>
  <c r="AB287" i="3"/>
  <c r="AA287" i="3"/>
  <c r="AF326" i="3"/>
  <c r="AE326" i="3"/>
  <c r="AB326" i="3"/>
  <c r="AD326" i="3"/>
  <c r="AA326" i="3"/>
  <c r="Z326" i="3"/>
  <c r="AG326" i="3" s="1"/>
  <c r="X326" i="3"/>
  <c r="W326" i="3"/>
  <c r="V326" i="3"/>
  <c r="V343" i="3"/>
  <c r="AG159" i="3"/>
  <c r="AE165" i="3"/>
  <c r="AG173" i="3"/>
  <c r="AE179" i="3"/>
  <c r="AG187" i="3"/>
  <c r="AE193" i="3"/>
  <c r="AH198" i="3"/>
  <c r="AG201" i="3"/>
  <c r="AE207" i="3"/>
  <c r="AH212" i="3"/>
  <c r="AE221" i="3"/>
  <c r="U223" i="3"/>
  <c r="X223" i="3" s="1"/>
  <c r="AI223" i="3"/>
  <c r="AH226" i="3"/>
  <c r="AE235" i="3"/>
  <c r="X238" i="3"/>
  <c r="AH238" i="3"/>
  <c r="W247" i="3"/>
  <c r="V258" i="3"/>
  <c r="AI258" i="3"/>
  <c r="U258" i="3"/>
  <c r="X258" i="3" s="1"/>
  <c r="U269" i="3"/>
  <c r="X269" i="3" s="1"/>
  <c r="U270" i="3"/>
  <c r="X270" i="3" s="1"/>
  <c r="V272" i="3"/>
  <c r="AI272" i="3"/>
  <c r="U272" i="3"/>
  <c r="X272" i="3" s="1"/>
  <c r="AD272" i="3"/>
  <c r="AC272" i="3"/>
  <c r="Z274" i="3"/>
  <c r="AG274" i="3" s="1"/>
  <c r="Y274" i="3"/>
  <c r="X274" i="3"/>
  <c r="W274" i="3"/>
  <c r="Y277" i="3"/>
  <c r="X277" i="3"/>
  <c r="AG277" i="3"/>
  <c r="AF277" i="3"/>
  <c r="U288" i="3"/>
  <c r="X288" i="3" s="1"/>
  <c r="AA313" i="3"/>
  <c r="Z313" i="3"/>
  <c r="AG313" i="3" s="1"/>
  <c r="AH313" i="3"/>
  <c r="AE313" i="3"/>
  <c r="AD313" i="3"/>
  <c r="AC313" i="3"/>
  <c r="AE259" i="3"/>
  <c r="AD259" i="3"/>
  <c r="AI259" i="3"/>
  <c r="Y269" i="3"/>
  <c r="AI275" i="3"/>
  <c r="U275" i="3"/>
  <c r="X275" i="3" s="1"/>
  <c r="AH275" i="3"/>
  <c r="W275" i="3"/>
  <c r="V275" i="3"/>
  <c r="V288" i="3"/>
  <c r="AA299" i="3"/>
  <c r="Z299" i="3"/>
  <c r="AG299" i="3" s="1"/>
  <c r="AC299" i="3"/>
  <c r="AB299" i="3"/>
  <c r="W299" i="3"/>
  <c r="V299" i="3"/>
  <c r="Z330" i="3"/>
  <c r="AG330" i="3" s="1"/>
  <c r="Y330" i="3"/>
  <c r="V330" i="3"/>
  <c r="U330" i="3"/>
  <c r="X330" i="3" s="1"/>
  <c r="AI330" i="3"/>
  <c r="AH330" i="3"/>
  <c r="AC335" i="3"/>
  <c r="AB335" i="3"/>
  <c r="Y335" i="3"/>
  <c r="AH335" i="3"/>
  <c r="AF335" i="3"/>
  <c r="AE335" i="3"/>
  <c r="AA335" i="3"/>
  <c r="Z335" i="3"/>
  <c r="AG335" i="3" s="1"/>
  <c r="X335" i="3"/>
  <c r="AB343" i="3"/>
  <c r="U159" i="3"/>
  <c r="X159" i="3" s="1"/>
  <c r="U173" i="3"/>
  <c r="X173" i="3" s="1"/>
  <c r="U187" i="3"/>
  <c r="X187" i="3" s="1"/>
  <c r="U201" i="3"/>
  <c r="X201" i="3" s="1"/>
  <c r="V242" i="3"/>
  <c r="AA243" i="3"/>
  <c r="Z243" i="3"/>
  <c r="AG243" i="3" s="1"/>
  <c r="AI243" i="3"/>
  <c r="Y247" i="3"/>
  <c r="V248" i="3"/>
  <c r="Y249" i="3"/>
  <c r="X249" i="3"/>
  <c r="AI249" i="3"/>
  <c r="AC265" i="3"/>
  <c r="AB265" i="3"/>
  <c r="U265" i="3"/>
  <c r="X265" i="3" s="1"/>
  <c r="Z269" i="3"/>
  <c r="AG269" i="3" s="1"/>
  <c r="W270" i="3"/>
  <c r="V271" i="3"/>
  <c r="V273" i="3"/>
  <c r="V287" i="3"/>
  <c r="W288" i="3"/>
  <c r="AF298" i="3"/>
  <c r="AE298" i="3"/>
  <c r="AD298" i="3"/>
  <c r="AC298" i="3"/>
  <c r="Z298" i="3"/>
  <c r="AG298" i="3" s="1"/>
  <c r="Y298" i="3"/>
  <c r="V313" i="3"/>
  <c r="Z316" i="3"/>
  <c r="AG316" i="3" s="1"/>
  <c r="Y316" i="3"/>
  <c r="AC316" i="3"/>
  <c r="AA316" i="3"/>
  <c r="V316" i="3"/>
  <c r="U316" i="3"/>
  <c r="X316" i="3" s="1"/>
  <c r="AC321" i="3"/>
  <c r="AB321" i="3"/>
  <c r="AE321" i="3"/>
  <c r="AA321" i="3"/>
  <c r="Z321" i="3"/>
  <c r="AG321" i="3" s="1"/>
  <c r="X321" i="3"/>
  <c r="W321" i="3"/>
  <c r="V321" i="3"/>
  <c r="Y326" i="3"/>
  <c r="W330" i="3"/>
  <c r="AI343" i="3"/>
  <c r="AF351" i="3"/>
  <c r="AB351" i="3"/>
  <c r="Z351" i="3"/>
  <c r="AG351" i="3" s="1"/>
  <c r="Y351" i="3"/>
  <c r="V351" i="3"/>
  <c r="U351" i="3"/>
  <c r="X351" i="3" s="1"/>
  <c r="AI351" i="3"/>
  <c r="AH351" i="3"/>
  <c r="AD351" i="3"/>
  <c r="AC351" i="3"/>
  <c r="AA351" i="3"/>
  <c r="AD475" i="3"/>
  <c r="AC475" i="3"/>
  <c r="AB475" i="3"/>
  <c r="AA475" i="3"/>
  <c r="Y475" i="3"/>
  <c r="AI475" i="3"/>
  <c r="AH475" i="3"/>
  <c r="AF475" i="3"/>
  <c r="AE475" i="3"/>
  <c r="W475" i="3"/>
  <c r="Z475" i="3"/>
  <c r="AG475" i="3" s="1"/>
  <c r="V475" i="3"/>
  <c r="U475" i="3"/>
  <c r="X475" i="3" s="1"/>
  <c r="V300" i="3"/>
  <c r="AI300" i="3"/>
  <c r="U300" i="3"/>
  <c r="X300" i="3" s="1"/>
  <c r="AB303" i="3"/>
  <c r="X322" i="3"/>
  <c r="W322" i="3"/>
  <c r="AI322" i="3"/>
  <c r="Z324" i="3"/>
  <c r="AG324" i="3" s="1"/>
  <c r="AH338" i="3"/>
  <c r="W344" i="3"/>
  <c r="X345" i="3"/>
  <c r="AA346" i="3"/>
  <c r="AB356" i="3"/>
  <c r="V371" i="3"/>
  <c r="Z371" i="3"/>
  <c r="AG371" i="3" s="1"/>
  <c r="Y371" i="3"/>
  <c r="W371" i="3"/>
  <c r="AI371" i="3"/>
  <c r="AF371" i="3"/>
  <c r="AE371" i="3"/>
  <c r="AI388" i="3"/>
  <c r="U388" i="3"/>
  <c r="X388" i="3" s="1"/>
  <c r="AF388" i="3"/>
  <c r="AE388" i="3"/>
  <c r="AD388" i="3"/>
  <c r="AC388" i="3"/>
  <c r="AA388" i="3"/>
  <c r="AH388" i="3"/>
  <c r="Z388" i="3"/>
  <c r="AG388" i="3" s="1"/>
  <c r="Y388" i="3"/>
  <c r="W388" i="3"/>
  <c r="AE301" i="3"/>
  <c r="AD301" i="3"/>
  <c r="AI301" i="3"/>
  <c r="AC303" i="3"/>
  <c r="W311" i="3"/>
  <c r="V311" i="3"/>
  <c r="AI311" i="3"/>
  <c r="AC324" i="3"/>
  <c r="V328" i="3"/>
  <c r="AI328" i="3"/>
  <c r="U328" i="3"/>
  <c r="X328" i="3" s="1"/>
  <c r="AF328" i="3"/>
  <c r="AE329" i="3"/>
  <c r="AD329" i="3"/>
  <c r="AA329" i="3"/>
  <c r="X344" i="3"/>
  <c r="Y345" i="3"/>
  <c r="AD346" i="3"/>
  <c r="AC350" i="3"/>
  <c r="V350" i="3"/>
  <c r="U350" i="3"/>
  <c r="X350" i="3" s="1"/>
  <c r="AF350" i="3"/>
  <c r="AA350" i="3"/>
  <c r="Z350" i="3"/>
  <c r="AG350" i="3" s="1"/>
  <c r="W350" i="3"/>
  <c r="AE356" i="3"/>
  <c r="U371" i="3"/>
  <c r="X371" i="3" s="1"/>
  <c r="AI317" i="3"/>
  <c r="U317" i="3"/>
  <c r="X317" i="3" s="1"/>
  <c r="AH317" i="3"/>
  <c r="AB338" i="3"/>
  <c r="AA338" i="3"/>
  <c r="Y344" i="3"/>
  <c r="AC345" i="3"/>
  <c r="AE346" i="3"/>
  <c r="AD276" i="3"/>
  <c r="AC276" i="3"/>
  <c r="AI276" i="3"/>
  <c r="AG281" i="3"/>
  <c r="Y300" i="3"/>
  <c r="V301" i="3"/>
  <c r="Z302" i="3"/>
  <c r="AG302" i="3" s="1"/>
  <c r="Y302" i="3"/>
  <c r="AI302" i="3"/>
  <c r="AF303" i="3"/>
  <c r="X311" i="3"/>
  <c r="W317" i="3"/>
  <c r="Y322" i="3"/>
  <c r="AF324" i="3"/>
  <c r="V329" i="3"/>
  <c r="AI331" i="3"/>
  <c r="U331" i="3"/>
  <c r="X331" i="3" s="1"/>
  <c r="AH331" i="3"/>
  <c r="AE331" i="3"/>
  <c r="AD332" i="3"/>
  <c r="AC332" i="3"/>
  <c r="Z332" i="3"/>
  <c r="AG332" i="3" s="1"/>
  <c r="U338" i="3"/>
  <c r="X338" i="3" s="1"/>
  <c r="AA344" i="3"/>
  <c r="AB350" i="3"/>
  <c r="Z359" i="3"/>
  <c r="AG359" i="3" s="1"/>
  <c r="AD359" i="3"/>
  <c r="AC359" i="3"/>
  <c r="AB359" i="3"/>
  <c r="AA359" i="3"/>
  <c r="X359" i="3"/>
  <c r="AI359" i="3"/>
  <c r="AH359" i="3"/>
  <c r="AF359" i="3"/>
  <c r="AE359" i="3"/>
  <c r="AC371" i="3"/>
  <c r="V286" i="3"/>
  <c r="AI286" i="3"/>
  <c r="U286" i="3"/>
  <c r="X286" i="3" s="1"/>
  <c r="Z300" i="3"/>
  <c r="AG300" i="3" s="1"/>
  <c r="W301" i="3"/>
  <c r="X308" i="3"/>
  <c r="W308" i="3"/>
  <c r="AI308" i="3"/>
  <c r="Y311" i="3"/>
  <c r="Z322" i="3"/>
  <c r="AG322" i="3" s="1"/>
  <c r="Y328" i="3"/>
  <c r="W329" i="3"/>
  <c r="V331" i="3"/>
  <c r="V338" i="3"/>
  <c r="AD344" i="3"/>
  <c r="AD350" i="3"/>
  <c r="AB367" i="3"/>
  <c r="AA367" i="3"/>
  <c r="Z367" i="3"/>
  <c r="AG367" i="3" s="1"/>
  <c r="Y367" i="3"/>
  <c r="V367" i="3"/>
  <c r="AF367" i="3"/>
  <c r="AE367" i="3"/>
  <c r="AC367" i="3"/>
  <c r="W367" i="3"/>
  <c r="U367" i="3"/>
  <c r="X367" i="3" s="1"/>
  <c r="AD371" i="3"/>
  <c r="AB381" i="3"/>
  <c r="AE381" i="3"/>
  <c r="AD381" i="3"/>
  <c r="AC381" i="3"/>
  <c r="AA381" i="3"/>
  <c r="Y381" i="3"/>
  <c r="V381" i="3"/>
  <c r="U381" i="3"/>
  <c r="X381" i="3" s="1"/>
  <c r="AA384" i="3"/>
  <c r="AF384" i="3"/>
  <c r="AE384" i="3"/>
  <c r="AD384" i="3"/>
  <c r="AB384" i="3"/>
  <c r="X384" i="3"/>
  <c r="AH384" i="3"/>
  <c r="AC384" i="3"/>
  <c r="Z384" i="3"/>
  <c r="AG384" i="3" s="1"/>
  <c r="X411" i="3"/>
  <c r="V411" i="3"/>
  <c r="AH411" i="3"/>
  <c r="AF411" i="3"/>
  <c r="AD411" i="3"/>
  <c r="AB411" i="3"/>
  <c r="AG411" i="3"/>
  <c r="AE411" i="3"/>
  <c r="AC411" i="3"/>
  <c r="AA411" i="3"/>
  <c r="Y411" i="3"/>
  <c r="AB427" i="3"/>
  <c r="Z427" i="3"/>
  <c r="AG427" i="3" s="1"/>
  <c r="V427" i="3"/>
  <c r="AI427" i="3"/>
  <c r="U427" i="3"/>
  <c r="X427" i="3" s="1"/>
  <c r="AH427" i="3"/>
  <c r="AF427" i="3"/>
  <c r="AE427" i="3"/>
  <c r="AC427" i="3"/>
  <c r="W427" i="3"/>
  <c r="AD427" i="3"/>
  <c r="AB526" i="3"/>
  <c r="AA526" i="3"/>
  <c r="Y526" i="3"/>
  <c r="W526" i="3"/>
  <c r="AI526" i="3"/>
  <c r="U526" i="3"/>
  <c r="X526" i="3" s="1"/>
  <c r="AH526" i="3"/>
  <c r="AF526" i="3"/>
  <c r="AE526" i="3"/>
  <c r="AD526" i="3"/>
  <c r="Z526" i="3"/>
  <c r="AG526" i="3" s="1"/>
  <c r="V526" i="3"/>
  <c r="AC526" i="3"/>
  <c r="AH349" i="3"/>
  <c r="Z349" i="3"/>
  <c r="AG349" i="3" s="1"/>
  <c r="Y349" i="3"/>
  <c r="U349" i="3"/>
  <c r="X349" i="3" s="1"/>
  <c r="AB349" i="3"/>
  <c r="AA349" i="3"/>
  <c r="W349" i="3"/>
  <c r="V349" i="3"/>
  <c r="AA370" i="3"/>
  <c r="AD370" i="3"/>
  <c r="AC370" i="3"/>
  <c r="AB370" i="3"/>
  <c r="Z370" i="3"/>
  <c r="AG370" i="3" s="1"/>
  <c r="X370" i="3"/>
  <c r="AI370" i="3"/>
  <c r="AH370" i="3"/>
  <c r="AF370" i="3"/>
  <c r="AE370" i="3"/>
  <c r="Y370" i="3"/>
  <c r="AD389" i="3"/>
  <c r="AB389" i="3"/>
  <c r="AA389" i="3"/>
  <c r="Z389" i="3"/>
  <c r="AG389" i="3" s="1"/>
  <c r="Y389" i="3"/>
  <c r="W389" i="3"/>
  <c r="AI389" i="3"/>
  <c r="AH389" i="3"/>
  <c r="AF389" i="3"/>
  <c r="AI303" i="3"/>
  <c r="U303" i="3"/>
  <c r="X303" i="3" s="1"/>
  <c r="AH303" i="3"/>
  <c r="Z317" i="3"/>
  <c r="AG317" i="3" s="1"/>
  <c r="AB324" i="3"/>
  <c r="AA324" i="3"/>
  <c r="AI324" i="3"/>
  <c r="Y338" i="3"/>
  <c r="U389" i="3"/>
  <c r="X389" i="3" s="1"/>
  <c r="AC464" i="3"/>
  <c r="AB464" i="3"/>
  <c r="AA464" i="3"/>
  <c r="Z464" i="3"/>
  <c r="AG464" i="3" s="1"/>
  <c r="AH464" i="3"/>
  <c r="AF464" i="3"/>
  <c r="AE464" i="3"/>
  <c r="AD464" i="3"/>
  <c r="Y464" i="3"/>
  <c r="V464" i="3"/>
  <c r="U464" i="3"/>
  <c r="X464" i="3" s="1"/>
  <c r="AI464" i="3"/>
  <c r="W464" i="3"/>
  <c r="Y476" i="3"/>
  <c r="W476" i="3"/>
  <c r="V476" i="3"/>
  <c r="AH476" i="3"/>
  <c r="U476" i="3"/>
  <c r="X476" i="3" s="1"/>
  <c r="AI476" i="3"/>
  <c r="AF476" i="3"/>
  <c r="AE476" i="3"/>
  <c r="AC476" i="3"/>
  <c r="AB476" i="3"/>
  <c r="AA476" i="3"/>
  <c r="Z476" i="3"/>
  <c r="AG476" i="3" s="1"/>
  <c r="AI346" i="3"/>
  <c r="W346" i="3"/>
  <c r="V346" i="3"/>
  <c r="AF346" i="3"/>
  <c r="AC346" i="3"/>
  <c r="AB346" i="3"/>
  <c r="Y346" i="3"/>
  <c r="AD349" i="3"/>
  <c r="AA356" i="3"/>
  <c r="Z356" i="3"/>
  <c r="AG356" i="3" s="1"/>
  <c r="Y356" i="3"/>
  <c r="U356" i="3"/>
  <c r="X356" i="3" s="1"/>
  <c r="AF356" i="3"/>
  <c r="AD356" i="3"/>
  <c r="AC356" i="3"/>
  <c r="V370" i="3"/>
  <c r="AD375" i="3"/>
  <c r="Y375" i="3"/>
  <c r="X375" i="3"/>
  <c r="W375" i="3"/>
  <c r="V375" i="3"/>
  <c r="AI375" i="3"/>
  <c r="AF375" i="3"/>
  <c r="AH375" i="3"/>
  <c r="AG375" i="3"/>
  <c r="AC375" i="3"/>
  <c r="AB375" i="3"/>
  <c r="AA375" i="3"/>
  <c r="AD476" i="3"/>
  <c r="AF344" i="3"/>
  <c r="AB344" i="3"/>
  <c r="AH344" i="3"/>
  <c r="AG344" i="3"/>
  <c r="AC344" i="3"/>
  <c r="AB345" i="3"/>
  <c r="AA345" i="3"/>
  <c r="W345" i="3"/>
  <c r="AF345" i="3"/>
  <c r="AE345" i="3"/>
  <c r="Z345" i="3"/>
  <c r="AG345" i="3" s="1"/>
  <c r="AE349" i="3"/>
  <c r="W370" i="3"/>
  <c r="AC389" i="3"/>
  <c r="AH423" i="3"/>
  <c r="AF423" i="3"/>
  <c r="AD423" i="3"/>
  <c r="AB423" i="3"/>
  <c r="AA423" i="3"/>
  <c r="Z423" i="3"/>
  <c r="AG423" i="3" s="1"/>
  <c r="X423" i="3"/>
  <c r="W423" i="3"/>
  <c r="AI423" i="3"/>
  <c r="AC423" i="3"/>
  <c r="W465" i="3"/>
  <c r="V465" i="3"/>
  <c r="AI465" i="3"/>
  <c r="U465" i="3"/>
  <c r="X465" i="3" s="1"/>
  <c r="AG465" i="3"/>
  <c r="AH465" i="3"/>
  <c r="AF465" i="3"/>
  <c r="AE465" i="3"/>
  <c r="AD465" i="3"/>
  <c r="AC465" i="3"/>
  <c r="AB465" i="3"/>
  <c r="AA465" i="3"/>
  <c r="Y465" i="3"/>
  <c r="AE423" i="3"/>
  <c r="AB447" i="3"/>
  <c r="AI447" i="3"/>
  <c r="AF447" i="3"/>
  <c r="AE447" i="3"/>
  <c r="AD447" i="3"/>
  <c r="AC447" i="3"/>
  <c r="AA447" i="3"/>
  <c r="Z447" i="3"/>
  <c r="AG447" i="3" s="1"/>
  <c r="W447" i="3"/>
  <c r="AH447" i="3"/>
  <c r="U447" i="3"/>
  <c r="X447" i="3" s="1"/>
  <c r="AB467" i="3"/>
  <c r="AA467" i="3"/>
  <c r="Z467" i="3"/>
  <c r="AG467" i="3" s="1"/>
  <c r="Y467" i="3"/>
  <c r="W467" i="3"/>
  <c r="AI467" i="3"/>
  <c r="AH467" i="3"/>
  <c r="AF467" i="3"/>
  <c r="AE467" i="3"/>
  <c r="AD467" i="3"/>
  <c r="AC467" i="3"/>
  <c r="V467" i="3"/>
  <c r="U467" i="3"/>
  <c r="X467" i="3" s="1"/>
  <c r="AE517" i="3"/>
  <c r="AD517" i="3"/>
  <c r="AB517" i="3"/>
  <c r="AA517" i="3"/>
  <c r="AF517" i="3"/>
  <c r="AC517" i="3"/>
  <c r="Z517" i="3"/>
  <c r="AG517" i="3" s="1"/>
  <c r="Y517" i="3"/>
  <c r="W517" i="3"/>
  <c r="V517" i="3"/>
  <c r="AI517" i="3"/>
  <c r="U517" i="3"/>
  <c r="X517" i="3" s="1"/>
  <c r="AG325" i="3"/>
  <c r="AH339" i="3"/>
  <c r="AH363" i="3"/>
  <c r="AC363" i="3"/>
  <c r="AB363" i="3"/>
  <c r="AA363" i="3"/>
  <c r="Z363" i="3"/>
  <c r="AG363" i="3" s="1"/>
  <c r="X363" i="3"/>
  <c r="AI374" i="3"/>
  <c r="U374" i="3"/>
  <c r="X374" i="3" s="1"/>
  <c r="AC374" i="3"/>
  <c r="AB374" i="3"/>
  <c r="AA374" i="3"/>
  <c r="Z374" i="3"/>
  <c r="AG374" i="3" s="1"/>
  <c r="W382" i="3"/>
  <c r="AA382" i="3"/>
  <c r="Z382" i="3"/>
  <c r="AG382" i="3" s="1"/>
  <c r="Y382" i="3"/>
  <c r="U382" i="3"/>
  <c r="X382" i="3" s="1"/>
  <c r="AG412" i="3"/>
  <c r="AB413" i="3"/>
  <c r="Z413" i="3"/>
  <c r="AG413" i="3" s="1"/>
  <c r="X413" i="3"/>
  <c r="V413" i="3"/>
  <c r="AH413" i="3"/>
  <c r="AF413" i="3"/>
  <c r="AI413" i="3"/>
  <c r="AD413" i="3"/>
  <c r="Y413" i="3"/>
  <c r="V447" i="3"/>
  <c r="AH517" i="3"/>
  <c r="Y362" i="3"/>
  <c r="AG362" i="3"/>
  <c r="AF362" i="3"/>
  <c r="AE362" i="3"/>
  <c r="AD362" i="3"/>
  <c r="AB362" i="3"/>
  <c r="Z373" i="3"/>
  <c r="AG373" i="3" s="1"/>
  <c r="AF373" i="3"/>
  <c r="AE373" i="3"/>
  <c r="AD373" i="3"/>
  <c r="AB373" i="3"/>
  <c r="AC378" i="3"/>
  <c r="AB378" i="3"/>
  <c r="AA378" i="3"/>
  <c r="Z378" i="3"/>
  <c r="AG378" i="3" s="1"/>
  <c r="Y378" i="3"/>
  <c r="W378" i="3"/>
  <c r="AI378" i="3"/>
  <c r="AE386" i="3"/>
  <c r="Y386" i="3"/>
  <c r="X386" i="3"/>
  <c r="W386" i="3"/>
  <c r="V386" i="3"/>
  <c r="AI386" i="3"/>
  <c r="AF386" i="3"/>
  <c r="AA396" i="3"/>
  <c r="W396" i="3"/>
  <c r="AG396" i="3"/>
  <c r="AF396" i="3"/>
  <c r="AE396" i="3"/>
  <c r="AD396" i="3"/>
  <c r="AB396" i="3"/>
  <c r="V425" i="3"/>
  <c r="AH425" i="3"/>
  <c r="AF425" i="3"/>
  <c r="AE425" i="3"/>
  <c r="AD425" i="3"/>
  <c r="AB425" i="3"/>
  <c r="AA425" i="3"/>
  <c r="Z425" i="3"/>
  <c r="AG425" i="3" s="1"/>
  <c r="Y425" i="3"/>
  <c r="W425" i="3"/>
  <c r="U425" i="3"/>
  <c r="X425" i="3" s="1"/>
  <c r="AB433" i="3"/>
  <c r="AF433" i="3"/>
  <c r="AD433" i="3"/>
  <c r="AC433" i="3"/>
  <c r="AA433" i="3"/>
  <c r="Y433" i="3"/>
  <c r="W433" i="3"/>
  <c r="U433" i="3"/>
  <c r="X433" i="3" s="1"/>
  <c r="AI433" i="3"/>
  <c r="AH433" i="3"/>
  <c r="AG433" i="3"/>
  <c r="AE433" i="3"/>
  <c r="V433" i="3"/>
  <c r="Y447" i="3"/>
  <c r="Z490" i="3"/>
  <c r="AG490" i="3" s="1"/>
  <c r="AC490" i="3"/>
  <c r="AB490" i="3"/>
  <c r="AA490" i="3"/>
  <c r="Y490" i="3"/>
  <c r="W490" i="3"/>
  <c r="AI490" i="3"/>
  <c r="AH490" i="3"/>
  <c r="AF490" i="3"/>
  <c r="AE490" i="3"/>
  <c r="AD490" i="3"/>
  <c r="U490" i="3"/>
  <c r="X490" i="3" s="1"/>
  <c r="AB407" i="3"/>
  <c r="V407" i="3"/>
  <c r="AH407" i="3"/>
  <c r="AI407" i="3"/>
  <c r="AG407" i="3"/>
  <c r="AF407" i="3"/>
  <c r="AE407" i="3"/>
  <c r="AC407" i="3"/>
  <c r="Y407" i="3"/>
  <c r="V451" i="3"/>
  <c r="AE451" i="3"/>
  <c r="AD451" i="3"/>
  <c r="AC451" i="3"/>
  <c r="AB451" i="3"/>
  <c r="AA451" i="3"/>
  <c r="Z451" i="3"/>
  <c r="AG451" i="3" s="1"/>
  <c r="Y451" i="3"/>
  <c r="W451" i="3"/>
  <c r="U451" i="3"/>
  <c r="X451" i="3" s="1"/>
  <c r="AH451" i="3"/>
  <c r="AF451" i="3"/>
  <c r="Y462" i="3"/>
  <c r="W462" i="3"/>
  <c r="V462" i="3"/>
  <c r="AI462" i="3"/>
  <c r="AH462" i="3"/>
  <c r="AF462" i="3"/>
  <c r="AE462" i="3"/>
  <c r="AD462" i="3"/>
  <c r="AB462" i="3"/>
  <c r="AA462" i="3"/>
  <c r="Z462" i="3"/>
  <c r="AG462" i="3" s="1"/>
  <c r="V490" i="3"/>
  <c r="AG250" i="3"/>
  <c r="AG264" i="3"/>
  <c r="AG278" i="3"/>
  <c r="AG292" i="3"/>
  <c r="AG306" i="3"/>
  <c r="AG320" i="3"/>
  <c r="V325" i="3"/>
  <c r="AG334" i="3"/>
  <c r="V339" i="3"/>
  <c r="U362" i="3"/>
  <c r="X362" i="3" s="1"/>
  <c r="W363" i="3"/>
  <c r="U373" i="3"/>
  <c r="X373" i="3" s="1"/>
  <c r="Y374" i="3"/>
  <c r="V378" i="3"/>
  <c r="AB382" i="3"/>
  <c r="Z386" i="3"/>
  <c r="AG386" i="3" s="1"/>
  <c r="AC392" i="3"/>
  <c r="AF392" i="3"/>
  <c r="AE392" i="3"/>
  <c r="AD392" i="3"/>
  <c r="AB392" i="3"/>
  <c r="Z392" i="3"/>
  <c r="AG392" i="3" s="1"/>
  <c r="W392" i="3"/>
  <c r="U396" i="3"/>
  <c r="X396" i="3" s="1"/>
  <c r="Z399" i="3"/>
  <c r="AG399" i="3" s="1"/>
  <c r="V399" i="3"/>
  <c r="AH399" i="3"/>
  <c r="AB399" i="3"/>
  <c r="AA399" i="3"/>
  <c r="Y399" i="3"/>
  <c r="U399" i="3"/>
  <c r="X399" i="3" s="1"/>
  <c r="AI399" i="3"/>
  <c r="U407" i="3"/>
  <c r="X407" i="3" s="1"/>
  <c r="AA413" i="3"/>
  <c r="AC444" i="3"/>
  <c r="AE444" i="3"/>
  <c r="AD444" i="3"/>
  <c r="AB444" i="3"/>
  <c r="AA444" i="3"/>
  <c r="Z444" i="3"/>
  <c r="AG444" i="3" s="1"/>
  <c r="Y444" i="3"/>
  <c r="V444" i="3"/>
  <c r="U444" i="3"/>
  <c r="X444" i="3" s="1"/>
  <c r="AI444" i="3"/>
  <c r="W444" i="3"/>
  <c r="AI451" i="3"/>
  <c r="U462" i="3"/>
  <c r="X462" i="3" s="1"/>
  <c r="W468" i="3"/>
  <c r="V468" i="3"/>
  <c r="AI468" i="3"/>
  <c r="U468" i="3"/>
  <c r="X468" i="3" s="1"/>
  <c r="AH468" i="3"/>
  <c r="AF468" i="3"/>
  <c r="AE468" i="3"/>
  <c r="AD468" i="3"/>
  <c r="AC468" i="3"/>
  <c r="AB468" i="3"/>
  <c r="Z468" i="3"/>
  <c r="AG468" i="3" s="1"/>
  <c r="Y468" i="3"/>
  <c r="AA468" i="3"/>
  <c r="W339" i="3"/>
  <c r="X340" i="3"/>
  <c r="AH340" i="3"/>
  <c r="V362" i="3"/>
  <c r="Y363" i="3"/>
  <c r="V373" i="3"/>
  <c r="AD374" i="3"/>
  <c r="AH377" i="3"/>
  <c r="AF377" i="3"/>
  <c r="AE377" i="3"/>
  <c r="AD377" i="3"/>
  <c r="AC377" i="3"/>
  <c r="AA377" i="3"/>
  <c r="X377" i="3"/>
  <c r="X378" i="3"/>
  <c r="AC382" i="3"/>
  <c r="AA386" i="3"/>
  <c r="V396" i="3"/>
  <c r="W399" i="3"/>
  <c r="W407" i="3"/>
  <c r="AC413" i="3"/>
  <c r="AI425" i="3"/>
  <c r="AC462" i="3"/>
  <c r="AB383" i="3"/>
  <c r="AB393" i="3"/>
  <c r="X393" i="3"/>
  <c r="AI393" i="3"/>
  <c r="AE398" i="3"/>
  <c r="AA398" i="3"/>
  <c r="Y398" i="3"/>
  <c r="AH409" i="3"/>
  <c r="AF409" i="3"/>
  <c r="AB409" i="3"/>
  <c r="Z409" i="3"/>
  <c r="AG409" i="3" s="1"/>
  <c r="X409" i="3"/>
  <c r="AF547" i="3"/>
  <c r="AD547" i="3"/>
  <c r="AC547" i="3"/>
  <c r="AI547" i="3"/>
  <c r="AE547" i="3"/>
  <c r="AB547" i="3"/>
  <c r="Z547" i="3"/>
  <c r="AG547" i="3" s="1"/>
  <c r="Y547" i="3"/>
  <c r="V547" i="3"/>
  <c r="U547" i="3"/>
  <c r="X547" i="3" s="1"/>
  <c r="AA547" i="3"/>
  <c r="W547" i="3"/>
  <c r="AB347" i="3"/>
  <c r="AH353" i="3"/>
  <c r="AF357" i="3"/>
  <c r="AB358" i="3"/>
  <c r="AF361" i="3"/>
  <c r="AB369" i="3"/>
  <c r="AF372" i="3"/>
  <c r="AE376" i="3"/>
  <c r="X379" i="3"/>
  <c r="AH379" i="3"/>
  <c r="AE383" i="3"/>
  <c r="AE387" i="3"/>
  <c r="AH390" i="3"/>
  <c r="V393" i="3"/>
  <c r="AG394" i="3"/>
  <c r="V398" i="3"/>
  <c r="AD401" i="3"/>
  <c r="Z401" i="3"/>
  <c r="AG401" i="3" s="1"/>
  <c r="X401" i="3"/>
  <c r="W409" i="3"/>
  <c r="AB481" i="3"/>
  <c r="AA481" i="3"/>
  <c r="Z481" i="3"/>
  <c r="AG481" i="3" s="1"/>
  <c r="Y481" i="3"/>
  <c r="W481" i="3"/>
  <c r="AI481" i="3"/>
  <c r="AH481" i="3"/>
  <c r="AF481" i="3"/>
  <c r="AE481" i="3"/>
  <c r="AC481" i="3"/>
  <c r="X481" i="3"/>
  <c r="AB512" i="3"/>
  <c r="AA512" i="3"/>
  <c r="Y512" i="3"/>
  <c r="AI512" i="3"/>
  <c r="U512" i="3"/>
  <c r="X512" i="3" s="1"/>
  <c r="AF512" i="3"/>
  <c r="AE512" i="3"/>
  <c r="AD512" i="3"/>
  <c r="AC512" i="3"/>
  <c r="Z512" i="3"/>
  <c r="AG512" i="3" s="1"/>
  <c r="W512" i="3"/>
  <c r="V512" i="3"/>
  <c r="AH357" i="3"/>
  <c r="AH361" i="3"/>
  <c r="AH372" i="3"/>
  <c r="AH383" i="3"/>
  <c r="V417" i="3"/>
  <c r="AH417" i="3"/>
  <c r="AF417" i="3"/>
  <c r="AD417" i="3"/>
  <c r="AC417" i="3"/>
  <c r="AB417" i="3"/>
  <c r="Z417" i="3"/>
  <c r="AG417" i="3" s="1"/>
  <c r="AH429" i="3"/>
  <c r="AE429" i="3"/>
  <c r="AC429" i="3"/>
  <c r="AA429" i="3"/>
  <c r="Z429" i="3"/>
  <c r="AG429" i="3" s="1"/>
  <c r="Y429" i="3"/>
  <c r="W429" i="3"/>
  <c r="V429" i="3"/>
  <c r="AC445" i="3"/>
  <c r="AA445" i="3"/>
  <c r="Z445" i="3"/>
  <c r="AG445" i="3" s="1"/>
  <c r="Y445" i="3"/>
  <c r="W445" i="3"/>
  <c r="V445" i="3"/>
  <c r="U445" i="3"/>
  <c r="X445" i="3" s="1"/>
  <c r="AI445" i="3"/>
  <c r="AF445" i="3"/>
  <c r="AI361" i="3"/>
  <c r="AH365" i="3"/>
  <c r="AI372" i="3"/>
  <c r="AH376" i="3"/>
  <c r="AI383" i="3"/>
  <c r="AH387" i="3"/>
  <c r="Z393" i="3"/>
  <c r="AG393" i="3" s="1"/>
  <c r="Z398" i="3"/>
  <c r="AG398" i="3" s="1"/>
  <c r="V401" i="3"/>
  <c r="AH403" i="3"/>
  <c r="AD403" i="3"/>
  <c r="AB403" i="3"/>
  <c r="AC409" i="3"/>
  <c r="AF415" i="3"/>
  <c r="AD415" i="3"/>
  <c r="AB415" i="3"/>
  <c r="Z415" i="3"/>
  <c r="AG415" i="3" s="1"/>
  <c r="V415" i="3"/>
  <c r="U417" i="3"/>
  <c r="X417" i="3" s="1"/>
  <c r="AG422" i="3"/>
  <c r="U429" i="3"/>
  <c r="X429" i="3" s="1"/>
  <c r="AI440" i="3"/>
  <c r="U440" i="3"/>
  <c r="X440" i="3" s="1"/>
  <c r="AE440" i="3"/>
  <c r="AD440" i="3"/>
  <c r="AC440" i="3"/>
  <c r="AB440" i="3"/>
  <c r="AA440" i="3"/>
  <c r="Z440" i="3"/>
  <c r="AG440" i="3" s="1"/>
  <c r="Y440" i="3"/>
  <c r="W440" i="3"/>
  <c r="V440" i="3"/>
  <c r="AB445" i="3"/>
  <c r="AD481" i="3"/>
  <c r="AF500" i="3"/>
  <c r="AE500" i="3"/>
  <c r="AD500" i="3"/>
  <c r="AC500" i="3"/>
  <c r="AB500" i="3"/>
  <c r="AA500" i="3"/>
  <c r="AI500" i="3"/>
  <c r="AH500" i="3"/>
  <c r="Z500" i="3"/>
  <c r="AG500" i="3" s="1"/>
  <c r="Y500" i="3"/>
  <c r="W500" i="3"/>
  <c r="V500" i="3"/>
  <c r="U500" i="3"/>
  <c r="X500" i="3" s="1"/>
  <c r="AG347" i="3"/>
  <c r="W353" i="3"/>
  <c r="AH354" i="3"/>
  <c r="U357" i="3"/>
  <c r="X357" i="3" s="1"/>
  <c r="AG358" i="3"/>
  <c r="U361" i="3"/>
  <c r="X361" i="3" s="1"/>
  <c r="AI365" i="3"/>
  <c r="AG369" i="3"/>
  <c r="U372" i="3"/>
  <c r="X372" i="3" s="1"/>
  <c r="AI376" i="3"/>
  <c r="W379" i="3"/>
  <c r="AG380" i="3"/>
  <c r="U383" i="3"/>
  <c r="X383" i="3" s="1"/>
  <c r="AI387" i="3"/>
  <c r="W390" i="3"/>
  <c r="AH391" i="3"/>
  <c r="AI391" i="3"/>
  <c r="AA393" i="3"/>
  <c r="AF395" i="3"/>
  <c r="AB395" i="3"/>
  <c r="AI395" i="3"/>
  <c r="AB398" i="3"/>
  <c r="W401" i="3"/>
  <c r="U403" i="3"/>
  <c r="X403" i="3" s="1"/>
  <c r="AC404" i="3"/>
  <c r="Y404" i="3"/>
  <c r="W404" i="3"/>
  <c r="AI404" i="3"/>
  <c r="AD409" i="3"/>
  <c r="W417" i="3"/>
  <c r="AD445" i="3"/>
  <c r="AH347" i="3"/>
  <c r="W357" i="3"/>
  <c r="AH358" i="3"/>
  <c r="V361" i="3"/>
  <c r="U365" i="3"/>
  <c r="X365" i="3" s="1"/>
  <c r="AH369" i="3"/>
  <c r="V372" i="3"/>
  <c r="U376" i="3"/>
  <c r="X376" i="3" s="1"/>
  <c r="Y379" i="3"/>
  <c r="V383" i="3"/>
  <c r="U387" i="3"/>
  <c r="X387" i="3" s="1"/>
  <c r="X390" i="3"/>
  <c r="U391" i="3"/>
  <c r="X391" i="3" s="1"/>
  <c r="AC393" i="3"/>
  <c r="AC398" i="3"/>
  <c r="Y401" i="3"/>
  <c r="V403" i="3"/>
  <c r="X405" i="3"/>
  <c r="AH405" i="3"/>
  <c r="AF405" i="3"/>
  <c r="AD405" i="3"/>
  <c r="AG406" i="3"/>
  <c r="AE409" i="3"/>
  <c r="U415" i="3"/>
  <c r="X415" i="3" s="1"/>
  <c r="AG420" i="3"/>
  <c r="AB429" i="3"/>
  <c r="AE445" i="3"/>
  <c r="W482" i="3"/>
  <c r="V482" i="3"/>
  <c r="AI482" i="3"/>
  <c r="U482" i="3"/>
  <c r="X482" i="3" s="1"/>
  <c r="AH482" i="3"/>
  <c r="AF482" i="3"/>
  <c r="AG482" i="3"/>
  <c r="AE482" i="3"/>
  <c r="AD482" i="3"/>
  <c r="AB482" i="3"/>
  <c r="AA482" i="3"/>
  <c r="Y439" i="3"/>
  <c r="AH448" i="3"/>
  <c r="Y450" i="3"/>
  <c r="Y455" i="3"/>
  <c r="AA501" i="3"/>
  <c r="AC501" i="3"/>
  <c r="AB501" i="3"/>
  <c r="Z501" i="3"/>
  <c r="AG501" i="3" s="1"/>
  <c r="Y501" i="3"/>
  <c r="X501" i="3"/>
  <c r="W501" i="3"/>
  <c r="AD534" i="3"/>
  <c r="AC534" i="3"/>
  <c r="AA534" i="3"/>
  <c r="Z534" i="3"/>
  <c r="AG534" i="3" s="1"/>
  <c r="Y534" i="3"/>
  <c r="W534" i="3"/>
  <c r="AF534" i="3"/>
  <c r="AE534" i="3"/>
  <c r="AB534" i="3"/>
  <c r="V534" i="3"/>
  <c r="U534" i="3"/>
  <c r="X534" i="3" s="1"/>
  <c r="AG410" i="3"/>
  <c r="W412" i="3"/>
  <c r="AA414" i="3"/>
  <c r="AD419" i="3"/>
  <c r="AH421" i="3"/>
  <c r="AG424" i="3"/>
  <c r="AA428" i="3"/>
  <c r="AH430" i="3"/>
  <c r="AA435" i="3"/>
  <c r="AH437" i="3"/>
  <c r="AD438" i="3"/>
  <c r="AA439" i="3"/>
  <c r="AH441" i="3"/>
  <c r="AI448" i="3"/>
  <c r="AD449" i="3"/>
  <c r="Z450" i="3"/>
  <c r="AG450" i="3" s="1"/>
  <c r="AE452" i="3"/>
  <c r="AD452" i="3"/>
  <c r="AI452" i="3"/>
  <c r="AF453" i="3"/>
  <c r="Z455" i="3"/>
  <c r="AG455" i="3" s="1"/>
  <c r="AD458" i="3"/>
  <c r="AC458" i="3"/>
  <c r="AB458" i="3"/>
  <c r="AE489" i="3"/>
  <c r="AG489" i="3"/>
  <c r="AF489" i="3"/>
  <c r="AD489" i="3"/>
  <c r="AC489" i="3"/>
  <c r="AB489" i="3"/>
  <c r="AA489" i="3"/>
  <c r="W524" i="3"/>
  <c r="AI524" i="3"/>
  <c r="U524" i="3"/>
  <c r="X524" i="3" s="1"/>
  <c r="AH524" i="3"/>
  <c r="AG524" i="3"/>
  <c r="AE524" i="3"/>
  <c r="AF524" i="3"/>
  <c r="AD524" i="3"/>
  <c r="AG402" i="3"/>
  <c r="U410" i="3"/>
  <c r="X410" i="3" s="1"/>
  <c r="AI410" i="3"/>
  <c r="Y412" i="3"/>
  <c r="AC414" i="3"/>
  <c r="AG416" i="3"/>
  <c r="AF419" i="3"/>
  <c r="V421" i="3"/>
  <c r="U424" i="3"/>
  <c r="X424" i="3" s="1"/>
  <c r="AI424" i="3"/>
  <c r="Y426" i="3"/>
  <c r="AC428" i="3"/>
  <c r="U430" i="3"/>
  <c r="X430" i="3" s="1"/>
  <c r="AH434" i="3"/>
  <c r="AC435" i="3"/>
  <c r="Y436" i="3"/>
  <c r="U437" i="3"/>
  <c r="X437" i="3" s="1"/>
  <c r="AC439" i="3"/>
  <c r="U441" i="3"/>
  <c r="X441" i="3" s="1"/>
  <c r="V448" i="3"/>
  <c r="AC450" i="3"/>
  <c r="U452" i="3"/>
  <c r="X452" i="3" s="1"/>
  <c r="AB455" i="3"/>
  <c r="U458" i="3"/>
  <c r="X458" i="3" s="1"/>
  <c r="Y459" i="3"/>
  <c r="W459" i="3"/>
  <c r="Z487" i="3"/>
  <c r="AG487" i="3" s="1"/>
  <c r="Y487" i="3"/>
  <c r="W487" i="3"/>
  <c r="V487" i="3"/>
  <c r="AI487" i="3"/>
  <c r="U487" i="3"/>
  <c r="X487" i="3" s="1"/>
  <c r="U489" i="3"/>
  <c r="X489" i="3" s="1"/>
  <c r="V501" i="3"/>
  <c r="Y524" i="3"/>
  <c r="AI534" i="3"/>
  <c r="AG419" i="3"/>
  <c r="W421" i="3"/>
  <c r="AH438" i="3"/>
  <c r="AD439" i="3"/>
  <c r="X448" i="3"/>
  <c r="AH449" i="3"/>
  <c r="AD450" i="3"/>
  <c r="Z453" i="3"/>
  <c r="AG453" i="3" s="1"/>
  <c r="Y453" i="3"/>
  <c r="AI453" i="3"/>
  <c r="AE455" i="3"/>
  <c r="AE486" i="3"/>
  <c r="AD486" i="3"/>
  <c r="AC486" i="3"/>
  <c r="AB486" i="3"/>
  <c r="AA486" i="3"/>
  <c r="Z486" i="3"/>
  <c r="AG486" i="3" s="1"/>
  <c r="AD501" i="3"/>
  <c r="Y521" i="3"/>
  <c r="V521" i="3"/>
  <c r="AI521" i="3"/>
  <c r="U521" i="3"/>
  <c r="X521" i="3" s="1"/>
  <c r="AF521" i="3"/>
  <c r="AH521" i="3"/>
  <c r="AE521" i="3"/>
  <c r="AD521" i="3"/>
  <c r="AC521" i="3"/>
  <c r="AB521" i="3"/>
  <c r="AA521" i="3"/>
  <c r="U402" i="3"/>
  <c r="X402" i="3" s="1"/>
  <c r="AI402" i="3"/>
  <c r="AC406" i="3"/>
  <c r="W410" i="3"/>
  <c r="AA412" i="3"/>
  <c r="AE414" i="3"/>
  <c r="U416" i="3"/>
  <c r="X416" i="3" s="1"/>
  <c r="AI416" i="3"/>
  <c r="AH419" i="3"/>
  <c r="AC420" i="3"/>
  <c r="X421" i="3"/>
  <c r="W424" i="3"/>
  <c r="AA426" i="3"/>
  <c r="AE428" i="3"/>
  <c r="W430" i="3"/>
  <c r="X431" i="3"/>
  <c r="AH431" i="3"/>
  <c r="U434" i="3"/>
  <c r="X434" i="3" s="1"/>
  <c r="AE435" i="3"/>
  <c r="AB436" i="3"/>
  <c r="AI438" i="3"/>
  <c r="AE439" i="3"/>
  <c r="W441" i="3"/>
  <c r="AH442" i="3"/>
  <c r="Y448" i="3"/>
  <c r="AI449" i="3"/>
  <c r="AE450" i="3"/>
  <c r="W452" i="3"/>
  <c r="AF455" i="3"/>
  <c r="AD456" i="3"/>
  <c r="W458" i="3"/>
  <c r="U459" i="3"/>
  <c r="X459" i="3" s="1"/>
  <c r="AG460" i="3"/>
  <c r="AA487" i="3"/>
  <c r="W489" i="3"/>
  <c r="AE501" i="3"/>
  <c r="AD506" i="3"/>
  <c r="AA506" i="3"/>
  <c r="Y506" i="3"/>
  <c r="W506" i="3"/>
  <c r="V506" i="3"/>
  <c r="U506" i="3"/>
  <c r="X506" i="3" s="1"/>
  <c r="W513" i="3"/>
  <c r="V513" i="3"/>
  <c r="AH513" i="3"/>
  <c r="AD513" i="3"/>
  <c r="AF513" i="3"/>
  <c r="AE513" i="3"/>
  <c r="AC513" i="3"/>
  <c r="AB513" i="3"/>
  <c r="AA513" i="3"/>
  <c r="Z513" i="3"/>
  <c r="AG513" i="3" s="1"/>
  <c r="AA515" i="3"/>
  <c r="Z515" i="3"/>
  <c r="AG515" i="3" s="1"/>
  <c r="X515" i="3"/>
  <c r="AH515" i="3"/>
  <c r="AF515" i="3"/>
  <c r="AE515" i="3"/>
  <c r="AD515" i="3"/>
  <c r="AC515" i="3"/>
  <c r="AB515" i="3"/>
  <c r="Y515" i="3"/>
  <c r="AA524" i="3"/>
  <c r="AG446" i="3"/>
  <c r="AG474" i="3"/>
  <c r="AI519" i="3"/>
  <c r="U519" i="3"/>
  <c r="X519" i="3" s="1"/>
  <c r="AH519" i="3"/>
  <c r="AF519" i="3"/>
  <c r="AE519" i="3"/>
  <c r="AB519" i="3"/>
  <c r="AD519" i="3"/>
  <c r="AC519" i="3"/>
  <c r="AA519" i="3"/>
  <c r="Z519" i="3"/>
  <c r="AG519" i="3" s="1"/>
  <c r="Y519" i="3"/>
  <c r="W519" i="3"/>
  <c r="Y535" i="3"/>
  <c r="V535" i="3"/>
  <c r="AI535" i="3"/>
  <c r="U535" i="3"/>
  <c r="X535" i="3" s="1"/>
  <c r="AH535" i="3"/>
  <c r="AF535" i="3"/>
  <c r="AE535" i="3"/>
  <c r="AD535" i="3"/>
  <c r="AC535" i="3"/>
  <c r="AB535" i="3"/>
  <c r="AA535" i="3"/>
  <c r="AG414" i="3"/>
  <c r="V419" i="3"/>
  <c r="Z421" i="3"/>
  <c r="AG421" i="3" s="1"/>
  <c r="AG428" i="3"/>
  <c r="AH435" i="3"/>
  <c r="V438" i="3"/>
  <c r="AG439" i="3"/>
  <c r="AA448" i="3"/>
  <c r="V449" i="3"/>
  <c r="Y452" i="3"/>
  <c r="V453" i="3"/>
  <c r="AI454" i="3"/>
  <c r="U454" i="3"/>
  <c r="X454" i="3" s="1"/>
  <c r="AH454" i="3"/>
  <c r="AF456" i="3"/>
  <c r="Y458" i="3"/>
  <c r="Z459" i="3"/>
  <c r="AG459" i="3" s="1"/>
  <c r="AE472" i="3"/>
  <c r="AD472" i="3"/>
  <c r="AC472" i="3"/>
  <c r="AB472" i="3"/>
  <c r="Z472" i="3"/>
  <c r="AG472" i="3" s="1"/>
  <c r="Z473" i="3"/>
  <c r="AG473" i="3" s="1"/>
  <c r="Y473" i="3"/>
  <c r="W473" i="3"/>
  <c r="AI473" i="3"/>
  <c r="U473" i="3"/>
  <c r="X473" i="3" s="1"/>
  <c r="AF483" i="3"/>
  <c r="AE483" i="3"/>
  <c r="AD483" i="3"/>
  <c r="AC483" i="3"/>
  <c r="AA483" i="3"/>
  <c r="AA484" i="3"/>
  <c r="Z484" i="3"/>
  <c r="AG484" i="3" s="1"/>
  <c r="Y484" i="3"/>
  <c r="V484" i="3"/>
  <c r="V486" i="3"/>
  <c r="AC487" i="3"/>
  <c r="Y489" i="3"/>
  <c r="AH494" i="3"/>
  <c r="AB494" i="3"/>
  <c r="AA494" i="3"/>
  <c r="Z494" i="3"/>
  <c r="AG494" i="3" s="1"/>
  <c r="Y494" i="3"/>
  <c r="X494" i="3"/>
  <c r="W494" i="3"/>
  <c r="V519" i="3"/>
  <c r="Z521" i="3"/>
  <c r="AG521" i="3" s="1"/>
  <c r="AC524" i="3"/>
  <c r="W535" i="3"/>
  <c r="AH439" i="3"/>
  <c r="AH450" i="3"/>
  <c r="AD455" i="3"/>
  <c r="AC455" i="3"/>
  <c r="AI455" i="3"/>
  <c r="AB498" i="3"/>
  <c r="Z498" i="3"/>
  <c r="AG498" i="3" s="1"/>
  <c r="Y498" i="3"/>
  <c r="W498" i="3"/>
  <c r="V498" i="3"/>
  <c r="U498" i="3"/>
  <c r="X498" i="3" s="1"/>
  <c r="AH501" i="3"/>
  <c r="AC523" i="3"/>
  <c r="AB523" i="3"/>
  <c r="Z523" i="3"/>
  <c r="AG523" i="3" s="1"/>
  <c r="Y523" i="3"/>
  <c r="V523" i="3"/>
  <c r="AI523" i="3"/>
  <c r="AH523" i="3"/>
  <c r="AF523" i="3"/>
  <c r="AE523" i="3"/>
  <c r="AD523" i="3"/>
  <c r="Z535" i="3"/>
  <c r="AG535" i="3" s="1"/>
  <c r="AE412" i="3"/>
  <c r="U414" i="3"/>
  <c r="X414" i="3" s="1"/>
  <c r="AI414" i="3"/>
  <c r="X419" i="3"/>
  <c r="AB421" i="3"/>
  <c r="AA424" i="3"/>
  <c r="AE426" i="3"/>
  <c r="U428" i="3"/>
  <c r="X428" i="3" s="1"/>
  <c r="AI428" i="3"/>
  <c r="AA430" i="3"/>
  <c r="AG432" i="3"/>
  <c r="Z434" i="3"/>
  <c r="AG434" i="3" s="1"/>
  <c r="U435" i="3"/>
  <c r="X435" i="3" s="1"/>
  <c r="AF436" i="3"/>
  <c r="AB437" i="3"/>
  <c r="X438" i="3"/>
  <c r="AI439" i="3"/>
  <c r="AA441" i="3"/>
  <c r="AH443" i="3"/>
  <c r="AI443" i="3"/>
  <c r="AC448" i="3"/>
  <c r="X449" i="3"/>
  <c r="AI450" i="3"/>
  <c r="AA452" i="3"/>
  <c r="X453" i="3"/>
  <c r="W454" i="3"/>
  <c r="AA458" i="3"/>
  <c r="AB459" i="3"/>
  <c r="AD461" i="3"/>
  <c r="AC461" i="3"/>
  <c r="AB461" i="3"/>
  <c r="AA461" i="3"/>
  <c r="AF469" i="3"/>
  <c r="AE469" i="3"/>
  <c r="AD469" i="3"/>
  <c r="AC469" i="3"/>
  <c r="AA469" i="3"/>
  <c r="AA470" i="3"/>
  <c r="Z470" i="3"/>
  <c r="AG470" i="3" s="1"/>
  <c r="Y470" i="3"/>
  <c r="X470" i="3"/>
  <c r="V470" i="3"/>
  <c r="U472" i="3"/>
  <c r="X472" i="3" s="1"/>
  <c r="V473" i="3"/>
  <c r="AG480" i="3"/>
  <c r="U483" i="3"/>
  <c r="X483" i="3" s="1"/>
  <c r="U484" i="3"/>
  <c r="X484" i="3" s="1"/>
  <c r="X486" i="3"/>
  <c r="AE487" i="3"/>
  <c r="AH489" i="3"/>
  <c r="Y493" i="3"/>
  <c r="AF493" i="3"/>
  <c r="AE493" i="3"/>
  <c r="AD493" i="3"/>
  <c r="AC493" i="3"/>
  <c r="AB493" i="3"/>
  <c r="AA493" i="3"/>
  <c r="V494" i="3"/>
  <c r="AI501" i="3"/>
  <c r="AI505" i="3"/>
  <c r="U505" i="3"/>
  <c r="X505" i="3" s="1"/>
  <c r="AF505" i="3"/>
  <c r="AB505" i="3"/>
  <c r="AA505" i="3"/>
  <c r="Z505" i="3"/>
  <c r="AG505" i="3" s="1"/>
  <c r="Y505" i="3"/>
  <c r="W505" i="3"/>
  <c r="AF537" i="3"/>
  <c r="AD537" i="3"/>
  <c r="AC537" i="3"/>
  <c r="AB537" i="3"/>
  <c r="Z537" i="3"/>
  <c r="AG537" i="3" s="1"/>
  <c r="Y537" i="3"/>
  <c r="V537" i="3"/>
  <c r="AI537" i="3"/>
  <c r="AH537" i="3"/>
  <c r="V594" i="3"/>
  <c r="AH594" i="3"/>
  <c r="AF594" i="3"/>
  <c r="Y594" i="3"/>
  <c r="W594" i="3"/>
  <c r="U594" i="3"/>
  <c r="X594" i="3" s="1"/>
  <c r="AI594" i="3"/>
  <c r="AE594" i="3"/>
  <c r="AD594" i="3"/>
  <c r="AC594" i="3"/>
  <c r="AA594" i="3"/>
  <c r="Z594" i="3"/>
  <c r="AG594" i="3" s="1"/>
  <c r="AE550" i="3"/>
  <c r="AC550" i="3"/>
  <c r="AB550" i="3"/>
  <c r="AD550" i="3"/>
  <c r="Z550" i="3"/>
  <c r="AG550" i="3" s="1"/>
  <c r="Y550" i="3"/>
  <c r="V550" i="3"/>
  <c r="U550" i="3"/>
  <c r="X550" i="3" s="1"/>
  <c r="AI550" i="3"/>
  <c r="AH550" i="3"/>
  <c r="AA562" i="3"/>
  <c r="Y562" i="3"/>
  <c r="V562" i="3"/>
  <c r="AI562" i="3"/>
  <c r="AH562" i="3"/>
  <c r="AF562" i="3"/>
  <c r="AD562" i="3"/>
  <c r="AC562" i="3"/>
  <c r="AB562" i="3"/>
  <c r="W562" i="3"/>
  <c r="U562" i="3"/>
  <c r="X562" i="3" s="1"/>
  <c r="AE562" i="3"/>
  <c r="Z562" i="3"/>
  <c r="AG562" i="3" s="1"/>
  <c r="AD430" i="3"/>
  <c r="W435" i="3"/>
  <c r="AH436" i="3"/>
  <c r="AD437" i="3"/>
  <c r="Z438" i="3"/>
  <c r="AG438" i="3" s="1"/>
  <c r="V439" i="3"/>
  <c r="AC441" i="3"/>
  <c r="AE448" i="3"/>
  <c r="Z449" i="3"/>
  <c r="AG449" i="3" s="1"/>
  <c r="V450" i="3"/>
  <c r="AC452" i="3"/>
  <c r="AB453" i="3"/>
  <c r="V455" i="3"/>
  <c r="Z456" i="3"/>
  <c r="AG456" i="3" s="1"/>
  <c r="Y456" i="3"/>
  <c r="X456" i="3"/>
  <c r="AF458" i="3"/>
  <c r="AD459" i="3"/>
  <c r="AG466" i="3"/>
  <c r="W472" i="3"/>
  <c r="AB473" i="3"/>
  <c r="AC478" i="3"/>
  <c r="AB478" i="3"/>
  <c r="AA478" i="3"/>
  <c r="Z478" i="3"/>
  <c r="AG478" i="3" s="1"/>
  <c r="X478" i="3"/>
  <c r="W483" i="3"/>
  <c r="AB484" i="3"/>
  <c r="AF486" i="3"/>
  <c r="U493" i="3"/>
  <c r="X493" i="3" s="1"/>
  <c r="AD494" i="3"/>
  <c r="AC498" i="3"/>
  <c r="Z504" i="3"/>
  <c r="AG504" i="3" s="1"/>
  <c r="AF504" i="3"/>
  <c r="AE504" i="3"/>
  <c r="AD504" i="3"/>
  <c r="AC504" i="3"/>
  <c r="AB504" i="3"/>
  <c r="AA504" i="3"/>
  <c r="V505" i="3"/>
  <c r="AF514" i="3"/>
  <c r="AE514" i="3"/>
  <c r="AC514" i="3"/>
  <c r="Y514" i="3"/>
  <c r="AH514" i="3"/>
  <c r="AD514" i="3"/>
  <c r="AB514" i="3"/>
  <c r="AA514" i="3"/>
  <c r="Z514" i="3"/>
  <c r="AG514" i="3" s="1"/>
  <c r="X514" i="3"/>
  <c r="AD520" i="3"/>
  <c r="AC520" i="3"/>
  <c r="AA520" i="3"/>
  <c r="Z520" i="3"/>
  <c r="AG520" i="3" s="1"/>
  <c r="W520" i="3"/>
  <c r="AH520" i="3"/>
  <c r="AF520" i="3"/>
  <c r="AE520" i="3"/>
  <c r="AB520" i="3"/>
  <c r="Y520" i="3"/>
  <c r="X520" i="3"/>
  <c r="W523" i="3"/>
  <c r="U537" i="3"/>
  <c r="X537" i="3" s="1"/>
  <c r="W550" i="3"/>
  <c r="AB567" i="3"/>
  <c r="Z567" i="3"/>
  <c r="AG567" i="3" s="1"/>
  <c r="Y567" i="3"/>
  <c r="W567" i="3"/>
  <c r="V567" i="3"/>
  <c r="AI567" i="3"/>
  <c r="AH567" i="3"/>
  <c r="AE567" i="3"/>
  <c r="AD567" i="3"/>
  <c r="AC567" i="3"/>
  <c r="U567" i="3"/>
  <c r="X567" i="3" s="1"/>
  <c r="AB594" i="3"/>
  <c r="AG479" i="3"/>
  <c r="AI491" i="3"/>
  <c r="U491" i="3"/>
  <c r="X491" i="3" s="1"/>
  <c r="AH491" i="3"/>
  <c r="AH495" i="3"/>
  <c r="AH502" i="3"/>
  <c r="AC542" i="3"/>
  <c r="AA542" i="3"/>
  <c r="AD542" i="3"/>
  <c r="Z542" i="3"/>
  <c r="Y542" i="3"/>
  <c r="V542" i="3"/>
  <c r="U542" i="3"/>
  <c r="X542" i="3" s="1"/>
  <c r="AH542" i="3"/>
  <c r="W560" i="3"/>
  <c r="AI560" i="3"/>
  <c r="U560" i="3"/>
  <c r="X560" i="3" s="1"/>
  <c r="AH560" i="3"/>
  <c r="AF560" i="3"/>
  <c r="AE560" i="3"/>
  <c r="AC560" i="3"/>
  <c r="AB560" i="3"/>
  <c r="AA560" i="3"/>
  <c r="Y560" i="3"/>
  <c r="AE531" i="3"/>
  <c r="AD531" i="3"/>
  <c r="AB531" i="3"/>
  <c r="AA531" i="3"/>
  <c r="Z531" i="3"/>
  <c r="AG531" i="3" s="1"/>
  <c r="AI533" i="3"/>
  <c r="U533" i="3"/>
  <c r="X533" i="3" s="1"/>
  <c r="AH533" i="3"/>
  <c r="AF533" i="3"/>
  <c r="AE533" i="3"/>
  <c r="AD533" i="3"/>
  <c r="AB533" i="3"/>
  <c r="V565" i="3"/>
  <c r="AF565" i="3"/>
  <c r="AD565" i="3"/>
  <c r="AC565" i="3"/>
  <c r="AA565" i="3"/>
  <c r="AI565" i="3"/>
  <c r="AH565" i="3"/>
  <c r="AE565" i="3"/>
  <c r="AB565" i="3"/>
  <c r="Z565" i="3"/>
  <c r="AG565" i="3" s="1"/>
  <c r="W565" i="3"/>
  <c r="U565" i="3"/>
  <c r="X565" i="3" s="1"/>
  <c r="AH600" i="3"/>
  <c r="AF600" i="3"/>
  <c r="AD600" i="3"/>
  <c r="AC600" i="3"/>
  <c r="Z600" i="3"/>
  <c r="AG600" i="3" s="1"/>
  <c r="W600" i="3"/>
  <c r="V600" i="3"/>
  <c r="U600" i="3"/>
  <c r="X600" i="3" s="1"/>
  <c r="AI600" i="3"/>
  <c r="AE600" i="3"/>
  <c r="AA600" i="3"/>
  <c r="Y600" i="3"/>
  <c r="AG457" i="3"/>
  <c r="AE463" i="3"/>
  <c r="AD466" i="3"/>
  <c r="AG471" i="3"/>
  <c r="U479" i="3"/>
  <c r="X479" i="3" s="1"/>
  <c r="AI479" i="3"/>
  <c r="AD480" i="3"/>
  <c r="AG485" i="3"/>
  <c r="V491" i="3"/>
  <c r="U495" i="3"/>
  <c r="X495" i="3" s="1"/>
  <c r="AH499" i="3"/>
  <c r="U502" i="3"/>
  <c r="X502" i="3" s="1"/>
  <c r="Y507" i="3"/>
  <c r="V507" i="3"/>
  <c r="AF507" i="3"/>
  <c r="V533" i="3"/>
  <c r="AB542" i="3"/>
  <c r="W546" i="3"/>
  <c r="AI546" i="3"/>
  <c r="U546" i="3"/>
  <c r="X546" i="3" s="1"/>
  <c r="AH546" i="3"/>
  <c r="AF546" i="3"/>
  <c r="AE546" i="3"/>
  <c r="AC546" i="3"/>
  <c r="AB546" i="3"/>
  <c r="AA546" i="3"/>
  <c r="Y546" i="3"/>
  <c r="Z560" i="3"/>
  <c r="AG560" i="3" s="1"/>
  <c r="AB600" i="3"/>
  <c r="AF463" i="3"/>
  <c r="AE466" i="3"/>
  <c r="AH471" i="3"/>
  <c r="AF477" i="3"/>
  <c r="V479" i="3"/>
  <c r="AE480" i="3"/>
  <c r="AH485" i="3"/>
  <c r="AH488" i="3"/>
  <c r="W491" i="3"/>
  <c r="AH492" i="3"/>
  <c r="V495" i="3"/>
  <c r="AI499" i="3"/>
  <c r="W502" i="3"/>
  <c r="AH503" i="3"/>
  <c r="AH508" i="3"/>
  <c r="AE508" i="3"/>
  <c r="AA508" i="3"/>
  <c r="AA529" i="3"/>
  <c r="Z529" i="3"/>
  <c r="AG529" i="3" s="1"/>
  <c r="X529" i="3"/>
  <c r="W529" i="3"/>
  <c r="V529" i="3"/>
  <c r="AH529" i="3"/>
  <c r="U531" i="3"/>
  <c r="X531" i="3" s="1"/>
  <c r="W533" i="3"/>
  <c r="AE542" i="3"/>
  <c r="V546" i="3"/>
  <c r="AD560" i="3"/>
  <c r="Y565" i="3"/>
  <c r="AF466" i="3"/>
  <c r="U471" i="3"/>
  <c r="X471" i="3" s="1"/>
  <c r="W479" i="3"/>
  <c r="AF480" i="3"/>
  <c r="U485" i="3"/>
  <c r="X485" i="3" s="1"/>
  <c r="AI485" i="3"/>
  <c r="W495" i="3"/>
  <c r="X496" i="3"/>
  <c r="AH496" i="3"/>
  <c r="U499" i="3"/>
  <c r="X499" i="3" s="1"/>
  <c r="U507" i="3"/>
  <c r="X507" i="3" s="1"/>
  <c r="AC509" i="3"/>
  <c r="Z509" i="3"/>
  <c r="AG509" i="3" s="1"/>
  <c r="V509" i="3"/>
  <c r="AF528" i="3"/>
  <c r="AE528" i="3"/>
  <c r="AC528" i="3"/>
  <c r="AB528" i="3"/>
  <c r="AA528" i="3"/>
  <c r="Y528" i="3"/>
  <c r="V531" i="3"/>
  <c r="AF542" i="3"/>
  <c r="Y491" i="3"/>
  <c r="V499" i="3"/>
  <c r="Y502" i="3"/>
  <c r="W507" i="3"/>
  <c r="AI510" i="3"/>
  <c r="U510" i="3"/>
  <c r="X510" i="3" s="1"/>
  <c r="AE510" i="3"/>
  <c r="W531" i="3"/>
  <c r="Y533" i="3"/>
  <c r="AG542" i="3"/>
  <c r="Z546" i="3"/>
  <c r="AG546" i="3" s="1"/>
  <c r="AC587" i="3"/>
  <c r="AA587" i="3"/>
  <c r="AD587" i="3"/>
  <c r="Z587" i="3"/>
  <c r="AG587" i="3" s="1"/>
  <c r="AB587" i="3"/>
  <c r="W587" i="3"/>
  <c r="U587" i="3"/>
  <c r="X587" i="3" s="1"/>
  <c r="AI587" i="3"/>
  <c r="AH587" i="3"/>
  <c r="AF587" i="3"/>
  <c r="Y587" i="3"/>
  <c r="V587" i="3"/>
  <c r="Y531" i="3"/>
  <c r="Z533" i="3"/>
  <c r="AG533" i="3" s="1"/>
  <c r="AH541" i="3"/>
  <c r="AF541" i="3"/>
  <c r="AE541" i="3"/>
  <c r="AC541" i="3"/>
  <c r="AB541" i="3"/>
  <c r="AA541" i="3"/>
  <c r="Y541" i="3"/>
  <c r="W541" i="3"/>
  <c r="U541" i="3"/>
  <c r="X541" i="3" s="1"/>
  <c r="AI542" i="3"/>
  <c r="AD546" i="3"/>
  <c r="Y576" i="3"/>
  <c r="W576" i="3"/>
  <c r="AD576" i="3"/>
  <c r="AB576" i="3"/>
  <c r="AA576" i="3"/>
  <c r="V576" i="3"/>
  <c r="AI576" i="3"/>
  <c r="AH576" i="3"/>
  <c r="AF576" i="3"/>
  <c r="AE576" i="3"/>
  <c r="Z576" i="3"/>
  <c r="AG576" i="3" s="1"/>
  <c r="U576" i="3"/>
  <c r="X576" i="3" s="1"/>
  <c r="AE587" i="3"/>
  <c r="AA548" i="3"/>
  <c r="Y548" i="3"/>
  <c r="X548" i="3"/>
  <c r="AH570" i="3"/>
  <c r="AE572" i="3"/>
  <c r="AC572" i="3"/>
  <c r="AA572" i="3"/>
  <c r="Y572" i="3"/>
  <c r="V572" i="3"/>
  <c r="U572" i="3"/>
  <c r="X572" i="3" s="1"/>
  <c r="AD575" i="3"/>
  <c r="AB575" i="3"/>
  <c r="AE575" i="3"/>
  <c r="AC575" i="3"/>
  <c r="Z575" i="3"/>
  <c r="AG575" i="3" s="1"/>
  <c r="Y575" i="3"/>
  <c r="AC516" i="3"/>
  <c r="AG518" i="3"/>
  <c r="AA522" i="3"/>
  <c r="AD527" i="3"/>
  <c r="AC530" i="3"/>
  <c r="AG532" i="3"/>
  <c r="AA536" i="3"/>
  <c r="AE538" i="3"/>
  <c r="AA539" i="3"/>
  <c r="X540" i="3"/>
  <c r="AC554" i="3"/>
  <c r="X559" i="3"/>
  <c r="W561" i="3"/>
  <c r="Z569" i="3"/>
  <c r="AG569" i="3" s="1"/>
  <c r="AE581" i="3"/>
  <c r="AC581" i="3"/>
  <c r="AF581" i="3"/>
  <c r="AB581" i="3"/>
  <c r="AI581" i="3"/>
  <c r="AD581" i="3"/>
  <c r="Z581" i="3"/>
  <c r="AG581" i="3" s="1"/>
  <c r="Y581" i="3"/>
  <c r="W582" i="3"/>
  <c r="A3" i="4"/>
  <c r="AG538" i="3"/>
  <c r="AA540" i="3"/>
  <c r="V548" i="3"/>
  <c r="AE554" i="3"/>
  <c r="AC559" i="3"/>
  <c r="Y561" i="3"/>
  <c r="AE569" i="3"/>
  <c r="Z572" i="3"/>
  <c r="AG572" i="3" s="1"/>
  <c r="V575" i="3"/>
  <c r="AG527" i="3"/>
  <c r="AH538" i="3"/>
  <c r="AB540" i="3"/>
  <c r="W548" i="3"/>
  <c r="Z551" i="3"/>
  <c r="AG551" i="3" s="1"/>
  <c r="X551" i="3"/>
  <c r="W551" i="3"/>
  <c r="AF554" i="3"/>
  <c r="AD559" i="3"/>
  <c r="Z561" i="3"/>
  <c r="AG561" i="3" s="1"/>
  <c r="V571" i="3"/>
  <c r="AH571" i="3"/>
  <c r="AD571" i="3"/>
  <c r="AB571" i="3"/>
  <c r="AA571" i="3"/>
  <c r="Y571" i="3"/>
  <c r="AB572" i="3"/>
  <c r="W575" i="3"/>
  <c r="V579" i="3"/>
  <c r="AH579" i="3"/>
  <c r="AE579" i="3"/>
  <c r="AD579" i="3"/>
  <c r="V581" i="3"/>
  <c r="AH586" i="3"/>
  <c r="AF586" i="3"/>
  <c r="AE586" i="3"/>
  <c r="AC586" i="3"/>
  <c r="AA586" i="3"/>
  <c r="Y586" i="3"/>
  <c r="V586" i="3"/>
  <c r="U586" i="3"/>
  <c r="X586" i="3" s="1"/>
  <c r="AG516" i="3"/>
  <c r="W518" i="3"/>
  <c r="AE522" i="3"/>
  <c r="AH527" i="3"/>
  <c r="AG530" i="3"/>
  <c r="W532" i="3"/>
  <c r="AE536" i="3"/>
  <c r="U538" i="3"/>
  <c r="X538" i="3" s="1"/>
  <c r="AF539" i="3"/>
  <c r="AC540" i="3"/>
  <c r="X543" i="3"/>
  <c r="V543" i="3"/>
  <c r="AI543" i="3"/>
  <c r="Z548" i="3"/>
  <c r="AG548" i="3" s="1"/>
  <c r="AE559" i="3"/>
  <c r="AB561" i="3"/>
  <c r="U571" i="3"/>
  <c r="X571" i="3" s="1"/>
  <c r="AD572" i="3"/>
  <c r="X575" i="3"/>
  <c r="U579" i="3"/>
  <c r="X579" i="3" s="1"/>
  <c r="W581" i="3"/>
  <c r="W586" i="3"/>
  <c r="AA570" i="3"/>
  <c r="Y570" i="3"/>
  <c r="AE570" i="3"/>
  <c r="AD570" i="3"/>
  <c r="AB570" i="3"/>
  <c r="Z570" i="3"/>
  <c r="AG570" i="3" s="1"/>
  <c r="AG522" i="3"/>
  <c r="V527" i="3"/>
  <c r="AG536" i="3"/>
  <c r="W538" i="3"/>
  <c r="AH539" i="3"/>
  <c r="AE540" i="3"/>
  <c r="AG544" i="3"/>
  <c r="AC548" i="3"/>
  <c r="V551" i="3"/>
  <c r="Z571" i="3"/>
  <c r="AG571" i="3" s="1"/>
  <c r="AF575" i="3"/>
  <c r="AC578" i="3"/>
  <c r="AA578" i="3"/>
  <c r="W578" i="3"/>
  <c r="U578" i="3"/>
  <c r="X578" i="3" s="1"/>
  <c r="AH578" i="3"/>
  <c r="AG578" i="3"/>
  <c r="Y579" i="3"/>
  <c r="AA581" i="3"/>
  <c r="AB586" i="3"/>
  <c r="AI539" i="3"/>
  <c r="W543" i="3"/>
  <c r="AD548" i="3"/>
  <c r="Y551" i="3"/>
  <c r="AD553" i="3"/>
  <c r="AB553" i="3"/>
  <c r="AA553" i="3"/>
  <c r="Y553" i="3"/>
  <c r="AH555" i="3"/>
  <c r="AF555" i="3"/>
  <c r="AE555" i="3"/>
  <c r="AC555" i="3"/>
  <c r="AC556" i="3"/>
  <c r="AA556" i="3"/>
  <c r="Z556" i="3"/>
  <c r="AG556" i="3" s="1"/>
  <c r="X556" i="3"/>
  <c r="AG558" i="3"/>
  <c r="U570" i="3"/>
  <c r="X570" i="3" s="1"/>
  <c r="AC571" i="3"/>
  <c r="AH572" i="3"/>
  <c r="AH575" i="3"/>
  <c r="V578" i="3"/>
  <c r="Z579" i="3"/>
  <c r="AG579" i="3" s="1"/>
  <c r="AH581" i="3"/>
  <c r="AD584" i="3"/>
  <c r="AB584" i="3"/>
  <c r="V584" i="3"/>
  <c r="AE584" i="3"/>
  <c r="AA584" i="3"/>
  <c r="Z584" i="3"/>
  <c r="AG584" i="3" s="1"/>
  <c r="X584" i="3"/>
  <c r="W584" i="3"/>
  <c r="AD586" i="3"/>
  <c r="AE548" i="3"/>
  <c r="Y554" i="3"/>
  <c r="W554" i="3"/>
  <c r="V554" i="3"/>
  <c r="AH554" i="3"/>
  <c r="AF569" i="3"/>
  <c r="AD569" i="3"/>
  <c r="AH569" i="3"/>
  <c r="AC569" i="3"/>
  <c r="AB569" i="3"/>
  <c r="V570" i="3"/>
  <c r="AI572" i="3"/>
  <c r="AI575" i="3"/>
  <c r="U569" i="3"/>
  <c r="X569" i="3" s="1"/>
  <c r="W570" i="3"/>
  <c r="Y540" i="3"/>
  <c r="W540" i="3"/>
  <c r="AI540" i="3"/>
  <c r="X554" i="3"/>
  <c r="AB559" i="3"/>
  <c r="Z559" i="3"/>
  <c r="AG559" i="3" s="1"/>
  <c r="Y559" i="3"/>
  <c r="W559" i="3"/>
  <c r="AF561" i="3"/>
  <c r="AD561" i="3"/>
  <c r="AC561" i="3"/>
  <c r="AA561" i="3"/>
  <c r="V569" i="3"/>
  <c r="Z582" i="3"/>
  <c r="AG582" i="3" s="1"/>
  <c r="X582" i="3"/>
  <c r="AC582" i="3"/>
  <c r="AA582" i="3"/>
  <c r="AH582" i="3"/>
  <c r="AF582" i="3"/>
  <c r="AE582" i="3"/>
  <c r="AB582" i="3"/>
  <c r="Y582" i="3"/>
  <c r="AH577" i="3"/>
  <c r="AF577" i="3"/>
  <c r="X588" i="3"/>
  <c r="V588" i="3"/>
  <c r="AA588" i="3"/>
  <c r="Y588" i="3"/>
  <c r="AG589" i="3"/>
  <c r="AC601" i="3"/>
  <c r="AA601" i="3"/>
  <c r="Y601" i="3"/>
  <c r="AF601" i="3"/>
  <c r="AD601" i="3"/>
  <c r="X601" i="3"/>
  <c r="AG557" i="3"/>
  <c r="Z573" i="3"/>
  <c r="AG573" i="3" s="1"/>
  <c r="AI573" i="3"/>
  <c r="U577" i="3"/>
  <c r="X577" i="3" s="1"/>
  <c r="AG549" i="3"/>
  <c r="U557" i="3"/>
  <c r="X557" i="3" s="1"/>
  <c r="AI557" i="3"/>
  <c r="AH563" i="3"/>
  <c r="AI563" i="3"/>
  <c r="W568" i="3"/>
  <c r="AI568" i="3"/>
  <c r="U568" i="3"/>
  <c r="X568" i="3" s="1"/>
  <c r="U573" i="3"/>
  <c r="X573" i="3" s="1"/>
  <c r="W577" i="3"/>
  <c r="W588" i="3"/>
  <c r="AB590" i="3"/>
  <c r="Z590" i="3"/>
  <c r="AG590" i="3" s="1"/>
  <c r="AH590" i="3"/>
  <c r="W591" i="3"/>
  <c r="AI591" i="3"/>
  <c r="U591" i="3"/>
  <c r="X591" i="3" s="1"/>
  <c r="AG591" i="3"/>
  <c r="AE591" i="3"/>
  <c r="AF592" i="3"/>
  <c r="AD592" i="3"/>
  <c r="AC592" i="3"/>
  <c r="AA592" i="3"/>
  <c r="AE595" i="3"/>
  <c r="AC595" i="3"/>
  <c r="AA595" i="3"/>
  <c r="W595" i="3"/>
  <c r="U595" i="3"/>
  <c r="X595" i="3" s="1"/>
  <c r="V601" i="3"/>
  <c r="AE544" i="3"/>
  <c r="AH549" i="3"/>
  <c r="AG552" i="3"/>
  <c r="V557" i="3"/>
  <c r="AE558" i="3"/>
  <c r="U563" i="3"/>
  <c r="X563" i="3" s="1"/>
  <c r="V573" i="3"/>
  <c r="AG574" i="3"/>
  <c r="Z588" i="3"/>
  <c r="AG588" i="3" s="1"/>
  <c r="U590" i="3"/>
  <c r="X590" i="3" s="1"/>
  <c r="AA593" i="3"/>
  <c r="Y593" i="3"/>
  <c r="AB593" i="3"/>
  <c r="Y599" i="3"/>
  <c r="W599" i="3"/>
  <c r="AI599" i="3"/>
  <c r="U599" i="3"/>
  <c r="X599" i="3" s="1"/>
  <c r="AH599" i="3"/>
  <c r="AF599" i="3"/>
  <c r="AC599" i="3"/>
  <c r="W601" i="3"/>
  <c r="U552" i="3"/>
  <c r="X552" i="3" s="1"/>
  <c r="W563" i="3"/>
  <c r="AC564" i="3"/>
  <c r="AA564" i="3"/>
  <c r="AI564" i="3"/>
  <c r="Y573" i="3"/>
  <c r="Z577" i="3"/>
  <c r="AG577" i="3" s="1"/>
  <c r="AC588" i="3"/>
  <c r="W590" i="3"/>
  <c r="V592" i="3"/>
  <c r="U593" i="3"/>
  <c r="X593" i="3" s="1"/>
  <c r="V599" i="3"/>
  <c r="AB601" i="3"/>
  <c r="AE566" i="3"/>
  <c r="Z596" i="3"/>
  <c r="AG596" i="3" s="1"/>
  <c r="X596" i="3"/>
  <c r="V596" i="3"/>
  <c r="AH580" i="3"/>
  <c r="AI580" i="3"/>
  <c r="Y585" i="3"/>
  <c r="W585" i="3"/>
  <c r="AI585" i="3"/>
  <c r="AD598" i="3"/>
  <c r="AB598" i="3"/>
  <c r="Z598" i="3"/>
  <c r="AG598" i="3" s="1"/>
  <c r="AE597" i="3"/>
  <c r="AG583" i="3"/>
  <c r="AE589" i="3"/>
  <c r="AG597" i="3"/>
  <c r="U583" i="3"/>
  <c r="X583" i="3" s="1"/>
  <c r="U597" i="3"/>
  <c r="X597" i="3" s="1"/>
  <c r="X86" i="3" l="1"/>
  <c r="Y86" i="3" s="1"/>
  <c r="AH86" i="3" s="1"/>
  <c r="X97" i="3"/>
  <c r="Y97" i="3" s="1"/>
  <c r="X93" i="3"/>
  <c r="Y93" i="3" s="1"/>
  <c r="R5" i="3"/>
  <c r="AE96" i="3"/>
  <c r="AD85" i="3"/>
  <c r="X85" i="3"/>
  <c r="Y85" i="3" s="1"/>
  <c r="AE99" i="3"/>
  <c r="X101" i="3"/>
  <c r="Y101" i="3" s="1"/>
  <c r="AH101" i="3" s="1"/>
  <c r="X78" i="3"/>
  <c r="Y78" i="3" s="1"/>
  <c r="AH78" i="3" s="1"/>
  <c r="X76" i="3"/>
  <c r="Y76" i="3" s="1"/>
  <c r="X89" i="3"/>
  <c r="Y89" i="3" s="1"/>
  <c r="AH89" i="3" s="1"/>
  <c r="X77" i="3"/>
  <c r="Y77" i="3" s="1"/>
  <c r="AH77" i="3" s="1"/>
  <c r="X92" i="3"/>
  <c r="Y92" i="3" s="1"/>
  <c r="AH92" i="3" s="1"/>
  <c r="X81" i="3"/>
  <c r="Y81" i="3" s="1"/>
  <c r="AH81" i="3" s="1"/>
  <c r="AF100" i="3"/>
  <c r="AE94" i="3"/>
  <c r="AE98" i="3"/>
  <c r="AF78" i="3"/>
  <c r="AE2" i="3"/>
  <c r="AH68" i="3"/>
  <c r="AH97" i="3"/>
  <c r="AH93" i="3"/>
  <c r="AF105" i="3"/>
  <c r="AD104" i="3"/>
  <c r="X104" i="3"/>
  <c r="AD100" i="3"/>
  <c r="X105" i="3"/>
  <c r="Y105" i="3" s="1"/>
  <c r="AH105" i="3" s="1"/>
  <c r="AF103" i="3"/>
  <c r="AF99" i="3"/>
  <c r="AD98" i="3"/>
  <c r="AF101" i="3"/>
  <c r="AD103" i="3"/>
  <c r="X98" i="3"/>
  <c r="Y98" i="3" s="1"/>
  <c r="AH98" i="3" s="1"/>
  <c r="AD93" i="3"/>
  <c r="AE101" i="3"/>
  <c r="AE103" i="3"/>
  <c r="AD99" i="3"/>
  <c r="AD96" i="3"/>
  <c r="AE100" i="3"/>
  <c r="AD82" i="3"/>
  <c r="AF98" i="3"/>
  <c r="AD95" i="3"/>
  <c r="AE102" i="3"/>
  <c r="AD92" i="3"/>
  <c r="AE97" i="3"/>
  <c r="AE93" i="3"/>
  <c r="AF104" i="3"/>
  <c r="AE104" i="3"/>
  <c r="AD102" i="3"/>
  <c r="AF93" i="3"/>
  <c r="AE92" i="3"/>
  <c r="AE105" i="3"/>
  <c r="X103" i="3"/>
  <c r="AF102" i="3"/>
  <c r="AF97" i="3"/>
  <c r="AF92" i="3"/>
  <c r="AH83" i="3"/>
  <c r="X95" i="3"/>
  <c r="Y95" i="3" s="1"/>
  <c r="AH95" i="3" s="1"/>
  <c r="X96" i="3"/>
  <c r="Y96" i="3" s="1"/>
  <c r="AH96" i="3" s="1"/>
  <c r="X100" i="3"/>
  <c r="Y100" i="3" s="1"/>
  <c r="AH100" i="3" s="1"/>
  <c r="AD97" i="3"/>
  <c r="AF95" i="3"/>
  <c r="AE95" i="3"/>
  <c r="AE68" i="3"/>
  <c r="X99" i="3"/>
  <c r="Y99" i="3" s="1"/>
  <c r="AH99" i="3" s="1"/>
  <c r="AF94" i="3"/>
  <c r="AF96" i="3"/>
  <c r="X94" i="3"/>
  <c r="Y94" i="3" s="1"/>
  <c r="AH94" i="3" s="1"/>
  <c r="R98" i="3"/>
  <c r="AF77" i="3"/>
  <c r="X79" i="3"/>
  <c r="Y79" i="3" s="1"/>
  <c r="AH79" i="3" s="1"/>
  <c r="AD83" i="3"/>
  <c r="AD33" i="3"/>
  <c r="X84" i="3"/>
  <c r="Y84" i="3" s="1"/>
  <c r="AH84" i="3" s="1"/>
  <c r="X88" i="3"/>
  <c r="Y88" i="3" s="1"/>
  <c r="AH88" i="3" s="1"/>
  <c r="X82" i="3"/>
  <c r="Y82" i="3" s="1"/>
  <c r="AH82" i="3" s="1"/>
  <c r="X80" i="3"/>
  <c r="Y80" i="3" s="1"/>
  <c r="AH80" i="3" s="1"/>
  <c r="AE81" i="3"/>
  <c r="AF79" i="3"/>
  <c r="AH85" i="3"/>
  <c r="AD48" i="3"/>
  <c r="AF80" i="3"/>
  <c r="AH76" i="3"/>
  <c r="AH67" i="3"/>
  <c r="AF68" i="3"/>
  <c r="AH73" i="3"/>
  <c r="AF67" i="3"/>
  <c r="AF33" i="3"/>
  <c r="AE33" i="3"/>
  <c r="AH70" i="3"/>
  <c r="AD68" i="3"/>
  <c r="AH71" i="3"/>
  <c r="AE67" i="3"/>
  <c r="AF48" i="3"/>
  <c r="AE60" i="3"/>
  <c r="AD67" i="3"/>
  <c r="AF34" i="3"/>
  <c r="AE34" i="3"/>
  <c r="AD34" i="3"/>
  <c r="AD69" i="3"/>
  <c r="AE48" i="3"/>
  <c r="X62" i="3"/>
  <c r="Y62" i="3" s="1"/>
  <c r="AF52" i="3"/>
  <c r="AF26" i="3"/>
  <c r="AF53" i="3"/>
  <c r="AF45" i="3"/>
  <c r="AF9" i="3"/>
  <c r="AF15" i="3"/>
  <c r="AF44" i="3"/>
  <c r="AF18" i="3"/>
  <c r="AD18" i="3"/>
  <c r="AD8" i="3"/>
  <c r="AD62" i="3"/>
  <c r="AD22" i="3"/>
  <c r="AF8" i="3"/>
  <c r="AF61" i="3"/>
  <c r="AF51" i="3"/>
  <c r="AF55" i="3"/>
  <c r="AF25" i="3"/>
  <c r="AF65" i="3"/>
  <c r="AF32" i="3"/>
  <c r="X2" i="3"/>
  <c r="Y2" i="3" s="1"/>
  <c r="X8" i="3"/>
  <c r="Y8" i="3" s="1"/>
  <c r="X14" i="3"/>
  <c r="Y14" i="3" s="1"/>
  <c r="X50" i="3"/>
  <c r="Y50" i="3" s="1"/>
  <c r="X22" i="3"/>
  <c r="Y22" i="3" s="1"/>
  <c r="X58" i="3"/>
  <c r="Y58" i="3" s="1"/>
  <c r="X52" i="3"/>
  <c r="Y52" i="3" s="1"/>
  <c r="X42" i="3"/>
  <c r="Y42" i="3" s="1"/>
  <c r="X47" i="3"/>
  <c r="Y47" i="3" s="1"/>
  <c r="X65" i="3"/>
  <c r="X45" i="3"/>
  <c r="Y45" i="3" s="1"/>
  <c r="X63" i="3"/>
  <c r="Y63" i="3" s="1"/>
  <c r="X9" i="3"/>
  <c r="Y9" i="3" s="1"/>
  <c r="X61" i="3"/>
  <c r="Y61" i="3" s="1"/>
  <c r="X26" i="3"/>
  <c r="Y26" i="3" s="1"/>
  <c r="X25" i="3"/>
  <c r="Y25" i="3" s="1"/>
  <c r="X3" i="3"/>
  <c r="Y3" i="3" s="1"/>
  <c r="X38" i="3"/>
  <c r="X55" i="3"/>
  <c r="Y55" i="3" s="1"/>
  <c r="X15" i="3"/>
  <c r="Y15" i="3" s="1"/>
  <c r="X54" i="3"/>
  <c r="Y54" i="3" s="1"/>
  <c r="X6" i="3"/>
  <c r="Y6" i="3" s="1"/>
  <c r="X56" i="3"/>
  <c r="Y56" i="3" s="1"/>
  <c r="X64" i="3"/>
  <c r="Y64" i="3" s="1"/>
  <c r="X21" i="3"/>
  <c r="Y21" i="3" s="1"/>
  <c r="X35" i="3"/>
  <c r="Y35" i="3" s="1"/>
  <c r="AE52" i="3"/>
  <c r="AE56" i="3"/>
  <c r="X11" i="3"/>
  <c r="Y11" i="3" s="1"/>
  <c r="AD44" i="3"/>
  <c r="AF10" i="3"/>
  <c r="AE45" i="3"/>
  <c r="AF3" i="3"/>
  <c r="AD45" i="3"/>
  <c r="AE55" i="3"/>
  <c r="AE61" i="3"/>
  <c r="AE8" i="3"/>
  <c r="AD51" i="3"/>
  <c r="AD61" i="3"/>
  <c r="AD10" i="3"/>
  <c r="AD15" i="3"/>
  <c r="AE14" i="3"/>
  <c r="X4" i="3"/>
  <c r="Y4" i="3" s="1"/>
  <c r="AF56" i="3"/>
  <c r="AD56" i="3"/>
  <c r="AE51" i="3"/>
  <c r="AD55" i="3"/>
  <c r="X32" i="3"/>
  <c r="Y32" i="3" s="1"/>
  <c r="AD52" i="3"/>
  <c r="AF62" i="3"/>
  <c r="AF47" i="3"/>
  <c r="AD9" i="3"/>
  <c r="AE25" i="3"/>
  <c r="AD25" i="3"/>
  <c r="AE44" i="3"/>
  <c r="AE62" i="3"/>
  <c r="X7" i="3"/>
  <c r="Y7" i="3" s="1"/>
  <c r="AE18" i="3"/>
  <c r="AE15" i="3"/>
  <c r="AD47" i="3"/>
  <c r="AF14" i="3"/>
  <c r="AE47" i="3"/>
  <c r="AD14" i="3"/>
  <c r="AE3" i="3"/>
  <c r="AD3" i="3"/>
  <c r="X16" i="3"/>
  <c r="Y16" i="3" s="1"/>
  <c r="AE26" i="3"/>
  <c r="AE9" i="3"/>
  <c r="X41" i="3"/>
  <c r="Y41" i="3" s="1"/>
  <c r="X24" i="3"/>
  <c r="Y24" i="3" s="1"/>
  <c r="AC30" i="3"/>
  <c r="Y10" i="3"/>
  <c r="AC69" i="3"/>
  <c r="AF31" i="3"/>
  <c r="AE31" i="3"/>
  <c r="AD31" i="3"/>
  <c r="AC31" i="3"/>
  <c r="AF12" i="3"/>
  <c r="AD4" i="3"/>
  <c r="AD89" i="3"/>
  <c r="AE76" i="3"/>
  <c r="AD76" i="3"/>
  <c r="AE82" i="3"/>
  <c r="AD60" i="3"/>
  <c r="AF70" i="3"/>
  <c r="AE70" i="3"/>
  <c r="AE58" i="3"/>
  <c r="AH74" i="3"/>
  <c r="AE77" i="3"/>
  <c r="AF86" i="3"/>
  <c r="AE38" i="3"/>
  <c r="AE10" i="3"/>
  <c r="R73" i="3"/>
  <c r="AF46" i="3"/>
  <c r="AD39" i="3"/>
  <c r="AF16" i="3"/>
  <c r="AE37" i="3"/>
  <c r="A4" i="4"/>
  <c r="E3" i="4"/>
  <c r="AE40" i="3"/>
  <c r="AE64" i="3"/>
  <c r="AF64" i="3"/>
  <c r="AD64" i="3"/>
  <c r="AD63" i="3"/>
  <c r="AD41" i="3"/>
  <c r="AE89" i="3"/>
  <c r="AE69" i="3"/>
  <c r="AF13" i="3"/>
  <c r="AD49" i="3"/>
  <c r="AG49" i="3" s="1"/>
  <c r="AH49" i="3" s="1"/>
  <c r="AE32" i="3"/>
  <c r="AE4" i="3"/>
  <c r="AD5" i="3"/>
  <c r="AF50" i="3"/>
  <c r="AD78" i="3"/>
  <c r="AF17" i="3"/>
  <c r="AD17" i="3"/>
  <c r="AE17" i="3"/>
  <c r="AD50" i="3"/>
  <c r="AF36" i="3"/>
  <c r="AD36" i="3"/>
  <c r="AE36" i="3"/>
  <c r="AE20" i="3"/>
  <c r="AF28" i="3"/>
  <c r="AD28" i="3"/>
  <c r="AE28" i="3"/>
  <c r="AF85" i="3"/>
  <c r="AD11" i="3"/>
  <c r="AF82" i="3"/>
  <c r="AD84" i="3"/>
  <c r="AE63" i="3"/>
  <c r="AE43" i="3"/>
  <c r="AE23" i="3"/>
  <c r="AF24" i="3"/>
  <c r="AF39" i="3"/>
  <c r="AF11" i="3"/>
  <c r="AF4" i="3"/>
  <c r="AF81" i="3"/>
  <c r="AF42" i="3"/>
  <c r="AE42" i="3"/>
  <c r="AF23" i="3"/>
  <c r="AI5" i="3"/>
  <c r="AF20" i="3"/>
  <c r="AF58" i="3"/>
  <c r="AF60" i="3"/>
  <c r="AD65" i="3"/>
  <c r="AE88" i="3"/>
  <c r="AE12" i="3"/>
  <c r="AF49" i="3"/>
  <c r="AD88" i="3"/>
  <c r="X28" i="3"/>
  <c r="Y28" i="3" s="1"/>
  <c r="AE11" i="3"/>
  <c r="AE84" i="3"/>
  <c r="AD23" i="3"/>
  <c r="AD30" i="3"/>
  <c r="AG30" i="3" s="1"/>
  <c r="AH30" i="3" s="1"/>
  <c r="AF21" i="3"/>
  <c r="AE49" i="3"/>
  <c r="AE27" i="3"/>
  <c r="AF37" i="3"/>
  <c r="AJ3" i="3"/>
  <c r="AJ2" i="3"/>
  <c r="AF84" i="3"/>
  <c r="AD70" i="3"/>
  <c r="R32" i="3"/>
  <c r="R33" i="3" s="1"/>
  <c r="AI31" i="3"/>
  <c r="AF63" i="3"/>
  <c r="AF40" i="3"/>
  <c r="AE29" i="3"/>
  <c r="AD80" i="3"/>
  <c r="AF75" i="3"/>
  <c r="AE75" i="3"/>
  <c r="AD75" i="3"/>
  <c r="AC75" i="3"/>
  <c r="AD87" i="3"/>
  <c r="AF30" i="3"/>
  <c r="AD6" i="3"/>
  <c r="AE65" i="3"/>
  <c r="AD54" i="3"/>
  <c r="AD37" i="3"/>
  <c r="AF2" i="3"/>
  <c r="AF72" i="3"/>
  <c r="AF71" i="3"/>
  <c r="AE6" i="3"/>
  <c r="AD72" i="3"/>
  <c r="AF27" i="3"/>
  <c r="AF35" i="3"/>
  <c r="AE85" i="3"/>
  <c r="AF7" i="3"/>
  <c r="AD2" i="3"/>
  <c r="AF54" i="3"/>
  <c r="AD71" i="3"/>
  <c r="AF66" i="3"/>
  <c r="AD27" i="3"/>
  <c r="AF22" i="3"/>
  <c r="AE50" i="3"/>
  <c r="AE22" i="3"/>
  <c r="AD24" i="3"/>
  <c r="AD73" i="3"/>
  <c r="AE66" i="3"/>
  <c r="AI20" i="3"/>
  <c r="AE57" i="3"/>
  <c r="AE83" i="3"/>
  <c r="AF89" i="3"/>
  <c r="AD12" i="3"/>
  <c r="AD13" i="3"/>
  <c r="AD21" i="3"/>
  <c r="AE7" i="3"/>
  <c r="AF29" i="3"/>
  <c r="X46" i="3"/>
  <c r="Y46" i="3" s="1"/>
  <c r="AF88" i="3"/>
  <c r="AD40" i="3"/>
  <c r="AD42" i="3"/>
  <c r="AE21" i="3"/>
  <c r="AF6" i="3"/>
  <c r="AE73" i="3"/>
  <c r="AD66" i="3"/>
  <c r="AF69" i="3"/>
  <c r="AD43" i="3"/>
  <c r="AE5" i="3"/>
  <c r="AD35" i="3"/>
  <c r="AE87" i="3"/>
  <c r="AE24" i="3"/>
  <c r="AD29" i="3"/>
  <c r="AD7" i="3"/>
  <c r="AE72" i="3"/>
  <c r="AF57" i="3"/>
  <c r="AE78" i="3"/>
  <c r="AD46" i="3"/>
  <c r="AE35" i="3"/>
  <c r="AF76" i="3"/>
  <c r="AF41" i="3"/>
  <c r="AE13" i="3"/>
  <c r="AD20" i="3"/>
  <c r="AC20" i="3"/>
  <c r="AE41" i="3"/>
  <c r="AF73" i="3"/>
  <c r="AE46" i="3"/>
  <c r="AD77" i="3"/>
  <c r="AF43" i="3"/>
  <c r="AD81" i="3"/>
  <c r="AD86" i="3"/>
  <c r="AD38" i="3"/>
  <c r="AF83" i="3"/>
  <c r="AD32" i="3"/>
  <c r="AF5" i="3"/>
  <c r="AE53" i="3"/>
  <c r="AD53" i="3"/>
  <c r="AE71" i="3"/>
  <c r="AD57" i="3"/>
  <c r="AF87" i="3"/>
  <c r="AE74" i="3"/>
  <c r="AD74" i="3"/>
  <c r="AC74" i="3"/>
  <c r="AE16" i="3"/>
  <c r="AD16" i="3"/>
  <c r="AE80" i="3"/>
  <c r="AE59" i="3"/>
  <c r="AD59" i="3"/>
  <c r="AG59" i="3" s="1"/>
  <c r="AH59" i="3" s="1"/>
  <c r="AF59" i="3"/>
  <c r="E2" i="4"/>
  <c r="AE54" i="3"/>
  <c r="AE39" i="3"/>
  <c r="AD58" i="3"/>
  <c r="AD79" i="3"/>
  <c r="AE79" i="3"/>
  <c r="AI4" i="3"/>
  <c r="AE86" i="3"/>
  <c r="AF38" i="3"/>
  <c r="Y38" i="3" l="1"/>
  <c r="AC102" i="3"/>
  <c r="R6" i="3"/>
  <c r="AC85" i="3"/>
  <c r="AC86" i="3"/>
  <c r="AC70" i="3"/>
  <c r="AC92" i="3"/>
  <c r="AC101" i="3"/>
  <c r="AC83" i="3"/>
  <c r="AC68" i="3"/>
  <c r="AC97" i="3"/>
  <c r="AC84" i="3"/>
  <c r="AC73" i="3"/>
  <c r="AC71" i="3"/>
  <c r="AC81" i="3"/>
  <c r="AC93" i="3"/>
  <c r="AC89" i="3"/>
  <c r="AC40" i="3"/>
  <c r="AG40" i="3" s="1"/>
  <c r="AH40" i="3" s="1"/>
  <c r="AC105" i="3"/>
  <c r="AC88" i="3"/>
  <c r="AC80" i="3"/>
  <c r="AC103" i="3"/>
  <c r="Y103" i="3"/>
  <c r="AH103" i="3" s="1"/>
  <c r="AC79" i="3"/>
  <c r="AC95" i="3"/>
  <c r="AC99" i="3"/>
  <c r="AC87" i="3"/>
  <c r="Y104" i="3"/>
  <c r="AH104" i="3" s="1"/>
  <c r="AC104" i="3"/>
  <c r="AC94" i="3"/>
  <c r="AC82" i="3"/>
  <c r="AC96" i="3"/>
  <c r="AC100" i="3"/>
  <c r="R99" i="3"/>
  <c r="AC98" i="3"/>
  <c r="Y65" i="3"/>
  <c r="AC48" i="3"/>
  <c r="AG48" i="3" s="1"/>
  <c r="AH48" i="3" s="1"/>
  <c r="AC13" i="3"/>
  <c r="AG13" i="3" s="1"/>
  <c r="AH13" i="3" s="1"/>
  <c r="AC34" i="3"/>
  <c r="AG34" i="3" s="1"/>
  <c r="AH34" i="3" s="1"/>
  <c r="AC72" i="3"/>
  <c r="AC12" i="3"/>
  <c r="AC67" i="3"/>
  <c r="R34" i="3"/>
  <c r="AC59" i="3"/>
  <c r="AC60" i="3"/>
  <c r="AC33" i="3"/>
  <c r="AG33" i="3" s="1"/>
  <c r="AH33" i="3" s="1"/>
  <c r="B3" i="4"/>
  <c r="B2" i="4"/>
  <c r="AC24" i="3"/>
  <c r="AG24" i="3" s="1"/>
  <c r="AH24" i="3" s="1"/>
  <c r="AC11" i="3"/>
  <c r="AG11" i="3" s="1"/>
  <c r="AH11" i="3" s="1"/>
  <c r="AC16" i="3"/>
  <c r="AG16" i="3" s="1"/>
  <c r="AH16" i="3" s="1"/>
  <c r="AC54" i="3"/>
  <c r="AG54" i="3" s="1"/>
  <c r="AH54" i="3" s="1"/>
  <c r="AC17" i="3"/>
  <c r="AG17" i="3" s="1"/>
  <c r="AH17" i="3" s="1"/>
  <c r="AC53" i="3"/>
  <c r="AG53" i="3" s="1"/>
  <c r="AH53" i="3" s="1"/>
  <c r="AC55" i="3"/>
  <c r="AG55" i="3" s="1"/>
  <c r="AH55" i="3" s="1"/>
  <c r="AC37" i="3"/>
  <c r="AG37" i="3" s="1"/>
  <c r="AH37" i="3" s="1"/>
  <c r="AC41" i="3"/>
  <c r="AG41" i="3" s="1"/>
  <c r="AH41" i="3" s="1"/>
  <c r="AC26" i="3"/>
  <c r="AG26" i="3" s="1"/>
  <c r="AH26" i="3" s="1"/>
  <c r="AC3" i="3"/>
  <c r="AG3" i="3" s="1"/>
  <c r="AH3" i="3" s="1"/>
  <c r="AC38" i="3"/>
  <c r="AG38" i="3" s="1"/>
  <c r="AH38" i="3" s="1"/>
  <c r="AC9" i="3"/>
  <c r="AG9" i="3" s="1"/>
  <c r="AH9" i="3" s="1"/>
  <c r="AC2" i="3"/>
  <c r="AG2" i="3" s="1"/>
  <c r="AC63" i="3"/>
  <c r="AG63" i="3" s="1"/>
  <c r="AH63" i="3" s="1"/>
  <c r="AC18" i="3"/>
  <c r="AG18" i="3" s="1"/>
  <c r="AH18" i="3" s="1"/>
  <c r="AC61" i="3"/>
  <c r="AG61" i="3" s="1"/>
  <c r="AH61" i="3" s="1"/>
  <c r="AC15" i="3"/>
  <c r="AG15" i="3" s="1"/>
  <c r="AH15" i="3" s="1"/>
  <c r="AC52" i="3"/>
  <c r="AG52" i="3" s="1"/>
  <c r="AH52" i="3" s="1"/>
  <c r="AC56" i="3"/>
  <c r="AG56" i="3" s="1"/>
  <c r="AH56" i="3" s="1"/>
  <c r="AC47" i="3"/>
  <c r="AG47" i="3" s="1"/>
  <c r="AH47" i="3" s="1"/>
  <c r="AC10" i="3"/>
  <c r="AG10" i="3" s="1"/>
  <c r="AH10" i="3" s="1"/>
  <c r="AC42" i="3"/>
  <c r="AG42" i="3" s="1"/>
  <c r="AH42" i="3" s="1"/>
  <c r="AC65" i="3"/>
  <c r="AG65" i="3" s="1"/>
  <c r="AC5" i="3"/>
  <c r="AG5" i="3" s="1"/>
  <c r="AH5" i="3" s="1"/>
  <c r="AC66" i="3"/>
  <c r="AG66" i="3" s="1"/>
  <c r="AH66" i="3" s="1"/>
  <c r="AC23" i="3"/>
  <c r="AG23" i="3" s="1"/>
  <c r="AH23" i="3" s="1"/>
  <c r="AC8" i="3"/>
  <c r="AG8" i="3" s="1"/>
  <c r="AH8" i="3" s="1"/>
  <c r="AC21" i="3"/>
  <c r="AG21" i="3" s="1"/>
  <c r="AC22" i="3"/>
  <c r="AG22" i="3" s="1"/>
  <c r="AH22" i="3" s="1"/>
  <c r="AC27" i="3"/>
  <c r="AG27" i="3" s="1"/>
  <c r="AH27" i="3" s="1"/>
  <c r="AC50" i="3"/>
  <c r="AG50" i="3" s="1"/>
  <c r="AH50" i="3" s="1"/>
  <c r="AC51" i="3"/>
  <c r="AG51" i="3" s="1"/>
  <c r="AH51" i="3" s="1"/>
  <c r="AC45" i="3"/>
  <c r="AG45" i="3" s="1"/>
  <c r="AH45" i="3" s="1"/>
  <c r="AC4" i="3"/>
  <c r="AG4" i="3" s="1"/>
  <c r="AH4" i="3" s="1"/>
  <c r="AC6" i="3"/>
  <c r="AG6" i="3" s="1"/>
  <c r="AH6" i="3" s="1"/>
  <c r="AC32" i="3"/>
  <c r="AG32" i="3" s="1"/>
  <c r="AH32" i="3" s="1"/>
  <c r="AC43" i="3"/>
  <c r="AG43" i="3" s="1"/>
  <c r="AH43" i="3" s="1"/>
  <c r="AC7" i="3"/>
  <c r="AG7" i="3" s="1"/>
  <c r="AH7" i="3" s="1"/>
  <c r="AC29" i="3"/>
  <c r="AG29" i="3" s="1"/>
  <c r="AH29" i="3" s="1"/>
  <c r="AC25" i="3"/>
  <c r="AG25" i="3" s="1"/>
  <c r="AH25" i="3" s="1"/>
  <c r="AC14" i="3"/>
  <c r="AG14" i="3" s="1"/>
  <c r="AH14" i="3" s="1"/>
  <c r="AC44" i="3"/>
  <c r="AG44" i="3" s="1"/>
  <c r="AH44" i="3" s="1"/>
  <c r="AC36" i="3"/>
  <c r="AC35" i="3"/>
  <c r="AG35" i="3" s="1"/>
  <c r="AH35" i="3" s="1"/>
  <c r="AC57" i="3"/>
  <c r="AG57" i="3" s="1"/>
  <c r="AH57" i="3" s="1"/>
  <c r="AC62" i="3"/>
  <c r="AG62" i="3" s="1"/>
  <c r="AH62" i="3" s="1"/>
  <c r="AG36" i="3"/>
  <c r="AH36" i="3" s="1"/>
  <c r="AG31" i="3"/>
  <c r="AH31" i="3" s="1"/>
  <c r="AG60" i="3"/>
  <c r="AH60" i="3" s="1"/>
  <c r="AG20" i="3"/>
  <c r="AH20" i="3" s="1"/>
  <c r="AC64" i="3"/>
  <c r="AG64" i="3" s="1"/>
  <c r="AH64" i="3" s="1"/>
  <c r="R74" i="3"/>
  <c r="AC39" i="3"/>
  <c r="AG39" i="3" s="1"/>
  <c r="AH39" i="3" s="1"/>
  <c r="AC78" i="3"/>
  <c r="AC77" i="3"/>
  <c r="AJ4" i="3"/>
  <c r="AC76" i="3"/>
  <c r="A5" i="4"/>
  <c r="E4" i="4"/>
  <c r="B4" i="4"/>
  <c r="AG12" i="3"/>
  <c r="AH12" i="3" s="1"/>
  <c r="AC58" i="3"/>
  <c r="AG58" i="3" s="1"/>
  <c r="AH58" i="3" s="1"/>
  <c r="AC46" i="3"/>
  <c r="AG46" i="3" s="1"/>
  <c r="AH46" i="3" s="1"/>
  <c r="AC28" i="3"/>
  <c r="AG28" i="3" s="1"/>
  <c r="AH28" i="3" s="1"/>
  <c r="AJ5" i="3"/>
  <c r="AI30" i="3"/>
  <c r="AI49" i="3"/>
  <c r="AI6" i="3" l="1"/>
  <c r="AJ6" i="3" s="1"/>
  <c r="R7" i="3"/>
  <c r="AH65" i="3"/>
  <c r="R100" i="3"/>
  <c r="R35" i="3"/>
  <c r="R36" i="3" s="1"/>
  <c r="R37" i="3" s="1"/>
  <c r="R38" i="3" s="1"/>
  <c r="R39" i="3" s="1"/>
  <c r="AH21" i="3"/>
  <c r="C3" i="4"/>
  <c r="D3" i="4" s="1"/>
  <c r="F3" i="4" s="1"/>
  <c r="C4" i="4"/>
  <c r="D4" i="4" s="1"/>
  <c r="F4" i="4" s="1"/>
  <c r="R75" i="3"/>
  <c r="AI74" i="3"/>
  <c r="C5" i="4"/>
  <c r="A6" i="4"/>
  <c r="E5" i="4"/>
  <c r="B5" i="4"/>
  <c r="C2" i="4"/>
  <c r="AH2" i="3"/>
  <c r="R8" i="3" l="1"/>
  <c r="AI7" i="3"/>
  <c r="AJ7" i="3" s="1"/>
  <c r="R101" i="3"/>
  <c r="R40" i="3"/>
  <c r="R10" i="3"/>
  <c r="D5" i="4"/>
  <c r="F5" i="4" s="1"/>
  <c r="D2" i="4"/>
  <c r="R76" i="3"/>
  <c r="AI75" i="3"/>
  <c r="A7" i="4"/>
  <c r="E6" i="4"/>
  <c r="C6" i="4"/>
  <c r="B6" i="4"/>
  <c r="R9" i="3" l="1"/>
  <c r="AI8" i="3"/>
  <c r="AJ8" i="3" s="1"/>
  <c r="R102" i="3"/>
  <c r="R11" i="3"/>
  <c r="AI10" i="3"/>
  <c r="D6" i="4"/>
  <c r="F6" i="4" s="1"/>
  <c r="E7" i="4"/>
  <c r="C7" i="4"/>
  <c r="A8" i="4"/>
  <c r="B7" i="4"/>
  <c r="R77" i="3"/>
  <c r="F2" i="4"/>
  <c r="AI9" i="3" l="1"/>
  <c r="R103" i="3"/>
  <c r="D7" i="4"/>
  <c r="F7" i="4" s="1"/>
  <c r="R12" i="3"/>
  <c r="AI11" i="3"/>
  <c r="AI55" i="3"/>
  <c r="R78" i="3"/>
  <c r="B8" i="4"/>
  <c r="A9" i="4"/>
  <c r="E8" i="4"/>
  <c r="C8" i="4"/>
  <c r="AJ9" i="3" l="1"/>
  <c r="AJ10" i="3"/>
  <c r="R104" i="3"/>
  <c r="R13" i="3"/>
  <c r="AI12" i="3"/>
  <c r="AI42" i="3"/>
  <c r="AI56" i="3"/>
  <c r="AI26" i="3"/>
  <c r="D8" i="4"/>
  <c r="F8" i="4" s="1"/>
  <c r="AI15" i="3"/>
  <c r="AI46" i="3"/>
  <c r="AI16" i="3"/>
  <c r="AI45" i="3"/>
  <c r="AI27" i="3"/>
  <c r="AI41" i="3"/>
  <c r="AJ11" i="3"/>
  <c r="AI50" i="3"/>
  <c r="R79" i="3"/>
  <c r="A10" i="4"/>
  <c r="E9" i="4"/>
  <c r="C9" i="4"/>
  <c r="B9" i="4"/>
  <c r="R105" i="3" l="1"/>
  <c r="AJ12" i="3"/>
  <c r="R14" i="3"/>
  <c r="AI13" i="3"/>
  <c r="AI67" i="3"/>
  <c r="AI61" i="3"/>
  <c r="AI64" i="3"/>
  <c r="AI22" i="3"/>
  <c r="D9" i="4"/>
  <c r="F9" i="4" s="1"/>
  <c r="R80" i="3"/>
  <c r="AI79" i="3"/>
  <c r="C10" i="4"/>
  <c r="B10" i="4"/>
  <c r="E10" i="4"/>
  <c r="A11" i="4"/>
  <c r="AI78" i="3" l="1"/>
  <c r="AI77" i="3"/>
  <c r="AI76" i="3"/>
  <c r="AI59" i="3"/>
  <c r="AI43" i="3"/>
  <c r="AI18" i="3"/>
  <c r="AI52" i="3"/>
  <c r="AI70" i="3"/>
  <c r="AI72" i="3"/>
  <c r="AI37" i="3"/>
  <c r="AI73" i="3"/>
  <c r="AI62" i="3"/>
  <c r="AI54" i="3"/>
  <c r="AI39" i="3"/>
  <c r="AI29" i="3"/>
  <c r="AI60" i="3"/>
  <c r="AI68" i="3"/>
  <c r="AI69" i="3"/>
  <c r="AI36" i="3"/>
  <c r="AI17" i="3"/>
  <c r="AI44" i="3"/>
  <c r="AI35" i="3"/>
  <c r="AI38" i="3"/>
  <c r="AI47" i="3"/>
  <c r="AI24" i="3"/>
  <c r="AI21" i="3"/>
  <c r="AI25" i="3"/>
  <c r="AI23" i="3"/>
  <c r="AI14" i="3"/>
  <c r="AJ15" i="3" s="1"/>
  <c r="AI33" i="3"/>
  <c r="AI48" i="3"/>
  <c r="AI63" i="3"/>
  <c r="AI34" i="3"/>
  <c r="AI53" i="3"/>
  <c r="AI32" i="3"/>
  <c r="AI66" i="3"/>
  <c r="AI71" i="3"/>
  <c r="AI65" i="3"/>
  <c r="AI58" i="3"/>
  <c r="AI51" i="3"/>
  <c r="AI28" i="3"/>
  <c r="AJ13" i="3"/>
  <c r="AJ29" i="3"/>
  <c r="AI40" i="3"/>
  <c r="AJ40" i="3"/>
  <c r="AJ23" i="3"/>
  <c r="AJ20" i="3"/>
  <c r="AJ16" i="3"/>
  <c r="AI57" i="3"/>
  <c r="AJ14" i="3"/>
  <c r="D10" i="4"/>
  <c r="F10" i="4" s="1"/>
  <c r="A12" i="4"/>
  <c r="E11" i="4"/>
  <c r="C11" i="4"/>
  <c r="B11" i="4"/>
  <c r="R81" i="3"/>
  <c r="AI80" i="3"/>
  <c r="AJ62" i="3" l="1"/>
  <c r="AJ51" i="3"/>
  <c r="AJ44" i="3"/>
  <c r="AJ19" i="3"/>
  <c r="AJ56" i="3"/>
  <c r="AJ49" i="3"/>
  <c r="AJ47" i="3"/>
  <c r="AJ52" i="3"/>
  <c r="AJ35" i="3"/>
  <c r="AJ33" i="3"/>
  <c r="AJ75" i="3"/>
  <c r="AJ53" i="3"/>
  <c r="AJ31" i="3"/>
  <c r="AJ73" i="3"/>
  <c r="AJ38" i="3"/>
  <c r="AJ72" i="3"/>
  <c r="AJ64" i="3"/>
  <c r="AJ67" i="3"/>
  <c r="AJ71" i="3"/>
  <c r="AJ32" i="3"/>
  <c r="AJ58" i="3"/>
  <c r="AJ22" i="3"/>
  <c r="AJ42" i="3"/>
  <c r="AJ68" i="3"/>
  <c r="AJ50" i="3"/>
  <c r="AJ24" i="3"/>
  <c r="AJ60" i="3"/>
  <c r="AJ21" i="3"/>
  <c r="AJ55" i="3"/>
  <c r="AJ25" i="3"/>
  <c r="AJ63" i="3"/>
  <c r="AJ78" i="3"/>
  <c r="AJ48" i="3"/>
  <c r="AJ69" i="3"/>
  <c r="AJ41" i="3"/>
  <c r="AJ45" i="3"/>
  <c r="AJ66" i="3"/>
  <c r="AJ77" i="3"/>
  <c r="AJ61" i="3"/>
  <c r="AJ30" i="3"/>
  <c r="AJ26" i="3"/>
  <c r="AJ36" i="3"/>
  <c r="AJ57" i="3"/>
  <c r="AJ27" i="3"/>
  <c r="AJ54" i="3"/>
  <c r="AJ59" i="3"/>
  <c r="AJ43" i="3"/>
  <c r="AJ80" i="3"/>
  <c r="AJ34" i="3"/>
  <c r="AJ70" i="3"/>
  <c r="AJ28" i="3"/>
  <c r="AJ18" i="3"/>
  <c r="AJ79" i="3"/>
  <c r="AJ39" i="3"/>
  <c r="AJ74" i="3"/>
  <c r="AJ76" i="3"/>
  <c r="AJ37" i="3"/>
  <c r="AJ46" i="3"/>
  <c r="AJ65" i="3"/>
  <c r="AJ17" i="3"/>
  <c r="D11" i="4"/>
  <c r="F11" i="4" s="1"/>
  <c r="R82" i="3"/>
  <c r="AI81" i="3"/>
  <c r="AJ81" i="3" s="1"/>
  <c r="C12" i="4"/>
  <c r="A13" i="4"/>
  <c r="E12" i="4"/>
  <c r="B12" i="4"/>
  <c r="D12" i="4" l="1"/>
  <c r="F12" i="4" s="1"/>
  <c r="A14" i="4"/>
  <c r="B13" i="4"/>
  <c r="E13" i="4"/>
  <c r="C13" i="4"/>
  <c r="R83" i="3"/>
  <c r="AI82" i="3"/>
  <c r="AJ82" i="3" s="1"/>
  <c r="D13" i="4" l="1"/>
  <c r="F13" i="4" s="1"/>
  <c r="R84" i="3"/>
  <c r="AI83" i="3"/>
  <c r="AJ83" i="3" s="1"/>
  <c r="E14" i="4"/>
  <c r="C14" i="4"/>
  <c r="A15" i="4"/>
  <c r="B14" i="4"/>
  <c r="D14" i="4" l="1"/>
  <c r="F14" i="4" s="1"/>
  <c r="A16" i="4"/>
  <c r="E15" i="4"/>
  <c r="C15" i="4"/>
  <c r="B15" i="4"/>
  <c r="R85" i="3"/>
  <c r="AI84" i="3"/>
  <c r="AJ84" i="3" s="1"/>
  <c r="D15" i="4" l="1"/>
  <c r="F15" i="4" s="1"/>
  <c r="R86" i="3"/>
  <c r="AI85" i="3"/>
  <c r="AJ85" i="3" s="1"/>
  <c r="A17" i="4"/>
  <c r="E16" i="4"/>
  <c r="C16" i="4"/>
  <c r="B16" i="4"/>
  <c r="D16" i="4" l="1"/>
  <c r="F16" i="4" s="1"/>
  <c r="A18" i="4"/>
  <c r="E17" i="4"/>
  <c r="B17" i="4"/>
  <c r="C17" i="4"/>
  <c r="R87" i="3"/>
  <c r="AI86" i="3"/>
  <c r="AJ86" i="3" s="1"/>
  <c r="D17" i="4" l="1"/>
  <c r="F17" i="4" s="1"/>
  <c r="R88" i="3"/>
  <c r="AI87" i="3"/>
  <c r="AJ87" i="3" s="1"/>
  <c r="A19" i="4"/>
  <c r="E18" i="4"/>
  <c r="C18" i="4"/>
  <c r="B18" i="4"/>
  <c r="D18" i="4" l="1"/>
  <c r="F18" i="4" s="1"/>
  <c r="C19" i="4"/>
  <c r="B19" i="4"/>
  <c r="A20" i="4"/>
  <c r="E19" i="4"/>
  <c r="R89" i="3"/>
  <c r="AI88" i="3"/>
  <c r="AJ88" i="3" s="1"/>
  <c r="AI94" i="3" l="1"/>
  <c r="AI93" i="3"/>
  <c r="AI92" i="3"/>
  <c r="AI96" i="3"/>
  <c r="AI98" i="3"/>
  <c r="AI101" i="3"/>
  <c r="AI95" i="3"/>
  <c r="AI97" i="3"/>
  <c r="AI100" i="3"/>
  <c r="AI99" i="3"/>
  <c r="AI102" i="3"/>
  <c r="AI103" i="3"/>
  <c r="AI104" i="3"/>
  <c r="AI105" i="3"/>
  <c r="D19" i="4"/>
  <c r="F19" i="4" s="1"/>
  <c r="AI89" i="3"/>
  <c r="A21" i="4"/>
  <c r="E20" i="4"/>
  <c r="C20" i="4"/>
  <c r="B20" i="4"/>
  <c r="D20" i="4" l="1"/>
  <c r="F20" i="4" s="1"/>
  <c r="E21" i="4"/>
  <c r="C21" i="4"/>
  <c r="A22" i="4"/>
  <c r="B21" i="4"/>
  <c r="AJ497" i="3"/>
  <c r="AJ93" i="3"/>
  <c r="AJ571" i="3"/>
  <c r="AJ290" i="3"/>
  <c r="AJ495" i="3"/>
  <c r="AJ562" i="3"/>
  <c r="AJ539" i="3"/>
  <c r="AJ581" i="3"/>
  <c r="AJ271" i="3"/>
  <c r="AJ307" i="3"/>
  <c r="AJ193" i="3"/>
  <c r="AJ362" i="3"/>
  <c r="AJ277" i="3"/>
  <c r="AJ216" i="3"/>
  <c r="AJ98" i="3"/>
  <c r="AJ328" i="3"/>
  <c r="AJ540" i="3"/>
  <c r="AJ127" i="3"/>
  <c r="AJ208" i="3"/>
  <c r="AJ585" i="3"/>
  <c r="AJ378" i="3"/>
  <c r="AJ425" i="3"/>
  <c r="AJ511" i="3"/>
  <c r="AJ411" i="3"/>
  <c r="AJ431" i="3"/>
  <c r="AJ493" i="3"/>
  <c r="AJ351" i="3"/>
  <c r="AJ501" i="3"/>
  <c r="AJ338" i="3"/>
  <c r="AJ345" i="3"/>
  <c r="AJ597" i="3"/>
  <c r="AJ399" i="3"/>
  <c r="AJ555" i="3"/>
  <c r="AJ406" i="3"/>
  <c r="AJ389" i="3"/>
  <c r="AJ128" i="3"/>
  <c r="AJ308" i="3"/>
  <c r="AJ274" i="3"/>
  <c r="AJ309" i="3"/>
  <c r="AJ162" i="3"/>
  <c r="AJ108" i="3"/>
  <c r="AJ284" i="3"/>
  <c r="AJ527" i="3"/>
  <c r="AJ177" i="3"/>
  <c r="AJ365" i="3"/>
  <c r="AJ385" i="3"/>
  <c r="AJ244" i="3"/>
  <c r="AJ439" i="3"/>
  <c r="AJ416" i="3"/>
  <c r="AJ188" i="3"/>
  <c r="AJ289" i="3"/>
  <c r="AJ185" i="3"/>
  <c r="AJ186" i="3"/>
  <c r="AJ482" i="3"/>
  <c r="AJ355" i="3"/>
  <c r="AJ529" i="3"/>
  <c r="AJ407" i="3"/>
  <c r="AJ107" i="3"/>
  <c r="AJ354" i="3"/>
  <c r="AJ292" i="3"/>
  <c r="AJ359" i="3"/>
  <c r="AJ433" i="3"/>
  <c r="AJ538" i="3"/>
  <c r="AJ332" i="3"/>
  <c r="AJ476" i="3"/>
  <c r="AJ545" i="3"/>
  <c r="AJ380" i="3"/>
  <c r="AJ187" i="3"/>
  <c r="AJ273" i="3"/>
  <c r="AJ462" i="3"/>
  <c r="AJ569" i="3"/>
  <c r="AJ321" i="3"/>
  <c r="AJ209" i="3"/>
  <c r="AJ379" i="3"/>
  <c r="AJ559" i="3"/>
  <c r="AJ401" i="3"/>
  <c r="AJ315" i="3"/>
  <c r="AJ239" i="3"/>
  <c r="AJ390" i="3"/>
  <c r="AJ227" i="3"/>
  <c r="AJ178" i="3"/>
  <c r="AJ371" i="3"/>
  <c r="AJ145" i="3"/>
  <c r="AJ376" i="3"/>
  <c r="AJ440" i="3"/>
  <c r="AJ265" i="3"/>
  <c r="AJ243" i="3"/>
  <c r="AJ256" i="3"/>
  <c r="AJ314" i="3"/>
  <c r="AJ229" i="3"/>
  <c r="AJ266" i="3"/>
  <c r="AJ110" i="3"/>
  <c r="AJ400" i="3"/>
  <c r="AJ115" i="3"/>
  <c r="AJ96" i="3"/>
  <c r="AJ547" i="3"/>
  <c r="AJ531" i="3"/>
  <c r="AJ542" i="3"/>
  <c r="AJ224" i="3"/>
  <c r="AJ102" i="3"/>
  <c r="AJ197" i="3"/>
  <c r="AJ435" i="3"/>
  <c r="AJ537" i="3"/>
  <c r="AJ463" i="3"/>
  <c r="AJ584" i="3"/>
  <c r="AJ245" i="3"/>
  <c r="AJ254" i="3"/>
  <c r="AJ255" i="3"/>
  <c r="AJ548" i="3"/>
  <c r="AJ574" i="3"/>
  <c r="AJ554" i="3"/>
  <c r="AJ475" i="3"/>
  <c r="AJ348" i="3"/>
  <c r="AJ421" i="3"/>
  <c r="AJ259" i="3"/>
  <c r="AJ156" i="3"/>
  <c r="AJ176" i="3"/>
  <c r="AJ125" i="3"/>
  <c r="AJ158" i="3"/>
  <c r="AJ232" i="3"/>
  <c r="AJ342" i="3"/>
  <c r="AJ430" i="3"/>
  <c r="AJ533" i="3"/>
  <c r="AJ211" i="3"/>
  <c r="AJ466" i="3"/>
  <c r="AJ568" i="3"/>
  <c r="AJ468" i="3"/>
  <c r="AJ168" i="3"/>
  <c r="AJ151" i="3"/>
  <c r="AJ276" i="3"/>
  <c r="AJ228" i="3"/>
  <c r="AJ131" i="3"/>
  <c r="AJ361" i="3"/>
  <c r="AJ456" i="3"/>
  <c r="AJ164" i="3"/>
  <c r="AJ261" i="3"/>
  <c r="AJ447" i="3"/>
  <c r="AJ121" i="3"/>
  <c r="AJ258" i="3"/>
  <c r="AJ160" i="3"/>
  <c r="AJ387" i="3"/>
  <c r="AJ419" i="3"/>
  <c r="AJ329" i="3"/>
  <c r="AJ222" i="3"/>
  <c r="AJ173" i="3"/>
  <c r="AJ420" i="3"/>
  <c r="AJ194" i="3"/>
  <c r="AJ260" i="3"/>
  <c r="AJ152" i="3"/>
  <c r="AJ565" i="3"/>
  <c r="AJ192" i="3"/>
  <c r="AJ350" i="3"/>
  <c r="AJ464" i="3"/>
  <c r="AJ183" i="3"/>
  <c r="AJ344" i="3"/>
  <c r="AJ474" i="3"/>
  <c r="AJ324" i="3"/>
  <c r="AJ445" i="3"/>
  <c r="AJ595" i="3"/>
  <c r="AJ576" i="3"/>
  <c r="AJ105" i="3"/>
  <c r="AJ275" i="3"/>
  <c r="AJ358" i="3"/>
  <c r="AJ343" i="3"/>
  <c r="AJ191" i="3"/>
  <c r="AJ235" i="3"/>
  <c r="AJ469" i="3"/>
  <c r="AJ218" i="3"/>
  <c r="AJ179" i="3"/>
  <c r="AJ323" i="3"/>
  <c r="AJ353" i="3"/>
  <c r="AJ599" i="3"/>
  <c r="AJ97" i="3"/>
  <c r="AJ448" i="3"/>
  <c r="AJ454" i="3"/>
  <c r="AJ587" i="3"/>
  <c r="AJ392" i="3"/>
  <c r="AJ494" i="3"/>
  <c r="AJ543" i="3"/>
  <c r="AJ297" i="3"/>
  <c r="AJ313" i="3"/>
  <c r="AJ403" i="3"/>
  <c r="AJ412" i="3"/>
  <c r="AJ325" i="3"/>
  <c r="AJ470" i="3"/>
  <c r="AJ591" i="3"/>
  <c r="AJ356" i="3"/>
  <c r="AJ133" i="3"/>
  <c r="AJ515" i="3"/>
  <c r="AJ124" i="3"/>
  <c r="AJ552" i="3"/>
  <c r="AJ510" i="3"/>
  <c r="AJ388" i="3"/>
  <c r="AJ478" i="3"/>
  <c r="AJ473" i="3"/>
  <c r="AJ561" i="3"/>
  <c r="AJ532" i="3"/>
  <c r="AJ250" i="3"/>
  <c r="AJ154" i="3"/>
  <c r="AJ459" i="3"/>
  <c r="AJ219" i="3"/>
  <c r="AJ123" i="3"/>
  <c r="AJ398" i="3"/>
  <c r="AJ579" i="3"/>
  <c r="AJ202" i="3"/>
  <c r="AJ234" i="3"/>
  <c r="AJ205" i="3"/>
  <c r="AJ449" i="3"/>
  <c r="AJ590" i="3"/>
  <c r="AJ101" i="3"/>
  <c r="AJ122" i="3"/>
  <c r="AJ341" i="3"/>
  <c r="AJ499" i="3"/>
  <c r="AJ282" i="3"/>
  <c r="AJ180" i="3"/>
  <c r="AJ210" i="3"/>
  <c r="AJ528" i="3"/>
  <c r="AJ100" i="3"/>
  <c r="AJ526" i="3"/>
  <c r="AJ394" i="3"/>
  <c r="AJ558" i="3"/>
  <c r="AJ94" i="3"/>
  <c r="AJ269" i="3"/>
  <c r="AJ570" i="3"/>
  <c r="AJ374" i="3"/>
  <c r="AJ129" i="3"/>
  <c r="AJ567" i="3"/>
  <c r="AJ90" i="3"/>
  <c r="AJ242" i="3"/>
  <c r="AJ203" i="3"/>
  <c r="AJ593" i="3"/>
  <c r="AJ450" i="3"/>
  <c r="AJ91" i="3"/>
  <c r="AJ556" i="3"/>
  <c r="AJ296" i="3"/>
  <c r="AJ337" i="3"/>
  <c r="AJ436" i="3"/>
  <c r="AJ391" i="3"/>
  <c r="AJ189" i="3"/>
  <c r="AJ366" i="3"/>
  <c r="AJ384" i="3"/>
  <c r="AJ286" i="3"/>
  <c r="AJ432" i="3"/>
  <c r="AJ546" i="3"/>
  <c r="AJ146" i="3"/>
  <c r="AJ404" i="3"/>
  <c r="AJ360" i="3"/>
  <c r="AJ544" i="3"/>
  <c r="AJ136" i="3"/>
  <c r="AJ251" i="3"/>
  <c r="AJ594" i="3"/>
  <c r="AJ417" i="3"/>
  <c r="AJ318" i="3"/>
  <c r="AJ426" i="3"/>
  <c r="AJ557" i="3"/>
  <c r="AJ422" i="3"/>
  <c r="AJ230" i="3"/>
  <c r="AJ201" i="3"/>
  <c r="AJ143" i="3"/>
  <c r="AJ207" i="3"/>
  <c r="AJ467" i="3"/>
  <c r="AJ458" i="3"/>
  <c r="AJ377" i="3"/>
  <c r="AJ367" i="3"/>
  <c r="AJ586" i="3"/>
  <c r="AJ352" i="3"/>
  <c r="AJ397" i="3"/>
  <c r="AJ138" i="3"/>
  <c r="AJ278" i="3"/>
  <c r="AJ506" i="3"/>
  <c r="AJ283" i="3"/>
  <c r="AJ270" i="3"/>
  <c r="AJ564" i="3"/>
  <c r="AJ89" i="3"/>
  <c r="AJ268" i="3"/>
  <c r="AJ551" i="3"/>
  <c r="AJ517" i="3"/>
  <c r="AJ175" i="3"/>
  <c r="AJ92" i="3"/>
  <c r="AJ166" i="3"/>
  <c r="AJ578" i="3"/>
  <c r="AJ157" i="3"/>
  <c r="AJ496" i="3"/>
  <c r="AJ95" i="3"/>
  <c r="AJ217" i="3"/>
  <c r="AJ267" i="3"/>
  <c r="AJ596" i="3"/>
  <c r="AJ418" i="3"/>
  <c r="AJ368" i="3"/>
  <c r="AJ553" i="3"/>
  <c r="AJ465" i="3"/>
  <c r="AJ347" i="3"/>
  <c r="AJ109" i="3"/>
  <c r="AJ182" i="3"/>
  <c r="AJ409" i="3"/>
  <c r="AJ330" i="3"/>
  <c r="AJ181" i="3"/>
  <c r="AJ434" i="3"/>
  <c r="AJ535" i="3"/>
  <c r="AJ174" i="3"/>
  <c r="AJ514" i="3"/>
  <c r="AJ451" i="3"/>
  <c r="AJ382" i="3"/>
  <c r="AJ279" i="3"/>
  <c r="AJ525" i="3"/>
  <c r="AJ370" i="3"/>
  <c r="AJ415" i="3"/>
  <c r="AJ486" i="3"/>
  <c r="AJ331" i="3"/>
  <c r="AJ104" i="3"/>
  <c r="AJ159" i="3"/>
  <c r="AJ582" i="3"/>
  <c r="AJ573" i="3"/>
  <c r="AJ438" i="3"/>
  <c r="AJ480" i="3"/>
  <c r="AJ240" i="3"/>
  <c r="AJ221" i="3"/>
  <c r="AJ428" i="3"/>
  <c r="AJ489" i="3"/>
  <c r="AJ326" i="3"/>
  <c r="AJ364" i="3"/>
  <c r="AJ505" i="3"/>
  <c r="AJ198" i="3"/>
  <c r="AJ512" i="3"/>
  <c r="AJ120" i="3"/>
  <c r="AJ247" i="3"/>
  <c r="AJ113" i="3"/>
  <c r="AJ140" i="3"/>
  <c r="AJ253" i="3"/>
  <c r="AJ114" i="3"/>
  <c r="AJ523" i="3"/>
  <c r="AJ280" i="3"/>
  <c r="AJ139" i="3"/>
  <c r="AJ563" i="3"/>
  <c r="AJ503" i="3"/>
  <c r="AJ184" i="3"/>
  <c r="AJ484" i="3"/>
  <c r="AJ395" i="3"/>
  <c r="AJ310" i="3"/>
  <c r="AJ340" i="3"/>
  <c r="AJ339" i="3"/>
  <c r="AJ500" i="3"/>
  <c r="AJ504" i="3"/>
  <c r="AJ589" i="3"/>
  <c r="AJ288" i="3"/>
  <c r="AJ452" i="3"/>
  <c r="AJ137" i="3"/>
  <c r="AJ263" i="3"/>
  <c r="AJ119" i="3"/>
  <c r="AJ246" i="3"/>
  <c r="AJ536" i="3"/>
  <c r="AJ405" i="3"/>
  <c r="AJ135" i="3"/>
  <c r="AJ492" i="3"/>
  <c r="AJ396" i="3"/>
  <c r="AJ393" i="3"/>
  <c r="AJ169" i="3"/>
  <c r="AJ316" i="3"/>
  <c r="AJ320" i="3"/>
  <c r="AJ481" i="3"/>
  <c r="AJ319" i="3"/>
  <c r="AJ237" i="3"/>
  <c r="AJ520" i="3"/>
  <c r="AJ195" i="3"/>
  <c r="AJ509" i="3"/>
  <c r="AJ148" i="3"/>
  <c r="AJ363" i="3"/>
  <c r="AJ424" i="3"/>
  <c r="AJ516" i="3"/>
  <c r="AJ534" i="3"/>
  <c r="AJ577" i="3"/>
  <c r="AJ446" i="3"/>
  <c r="AJ507" i="3"/>
  <c r="AJ212" i="3"/>
  <c r="AJ281" i="3"/>
  <c r="AJ414" i="3"/>
  <c r="AJ106" i="3"/>
  <c r="AJ369" i="3"/>
  <c r="AJ241" i="3"/>
  <c r="AJ294" i="3"/>
  <c r="AJ518" i="3"/>
  <c r="AJ477" i="3"/>
  <c r="AJ483" i="3"/>
  <c r="AJ383" i="3"/>
  <c r="AJ381" i="3"/>
  <c r="AJ513" i="3"/>
  <c r="AJ220" i="3"/>
  <c r="AJ116" i="3"/>
  <c r="AJ335" i="3"/>
  <c r="AJ130" i="3"/>
  <c r="AJ204" i="3"/>
  <c r="AJ522" i="3"/>
  <c r="AJ530" i="3"/>
  <c r="AJ487" i="3"/>
  <c r="AJ524" i="3"/>
  <c r="AJ566" i="3"/>
  <c r="AJ301" i="3"/>
  <c r="AJ305" i="3"/>
  <c r="AJ327" i="3"/>
  <c r="AJ165" i="3"/>
  <c r="AJ150" i="3"/>
  <c r="AJ413" i="3"/>
  <c r="AJ147" i="3"/>
  <c r="AJ502" i="3"/>
  <c r="AJ215" i="3"/>
  <c r="AJ311" i="3"/>
  <c r="AJ112" i="3"/>
  <c r="AJ167" i="3"/>
  <c r="AJ550" i="3"/>
  <c r="AJ287" i="3"/>
  <c r="AJ236" i="3"/>
  <c r="AJ293" i="3"/>
  <c r="AJ460" i="3"/>
  <c r="AJ357" i="3"/>
  <c r="AJ322" i="3"/>
  <c r="AJ386" i="3"/>
  <c r="AJ488" i="3"/>
  <c r="AJ601" i="3"/>
  <c r="AJ132" i="3"/>
  <c r="AJ549" i="3"/>
  <c r="AJ153" i="3"/>
  <c r="AJ491" i="3"/>
  <c r="AJ346" i="3"/>
  <c r="AJ299" i="3"/>
  <c r="AJ444" i="3"/>
  <c r="AJ443" i="3"/>
  <c r="AJ508" i="3"/>
  <c r="AJ264" i="3"/>
  <c r="AJ163" i="3"/>
  <c r="AJ272" i="3"/>
  <c r="AJ453" i="3"/>
  <c r="AJ521" i="3"/>
  <c r="AJ298" i="3"/>
  <c r="AJ583" i="3"/>
  <c r="AJ144" i="3"/>
  <c r="AJ213" i="3"/>
  <c r="AJ233" i="3"/>
  <c r="AJ334" i="3"/>
  <c r="AJ99" i="3"/>
  <c r="AJ117" i="3"/>
  <c r="AJ161" i="3"/>
  <c r="AJ457" i="3"/>
  <c r="AJ249" i="3"/>
  <c r="AJ429" i="3"/>
  <c r="AJ479" i="3"/>
  <c r="AJ304" i="3"/>
  <c r="AJ190" i="3"/>
  <c r="AJ598" i="3"/>
  <c r="AJ200" i="3"/>
  <c r="AJ410" i="3"/>
  <c r="AJ306" i="3"/>
  <c r="AJ472" i="3"/>
  <c r="AJ223" i="3"/>
  <c r="AJ427" i="3"/>
  <c r="AJ592" i="3"/>
  <c r="AJ312" i="3"/>
  <c r="AJ372" i="3"/>
  <c r="AJ441" i="3"/>
  <c r="AJ461" i="3"/>
  <c r="AJ295" i="3"/>
  <c r="AJ333" i="3"/>
  <c r="AJ375" i="3"/>
  <c r="AJ572" i="3"/>
  <c r="AJ206" i="3"/>
  <c r="AJ580" i="3"/>
  <c r="AJ575" i="3"/>
  <c r="AJ142" i="3"/>
  <c r="AJ170" i="3"/>
  <c r="AJ126" i="3"/>
  <c r="AJ455" i="3"/>
  <c r="AJ171" i="3"/>
  <c r="AJ248" i="3"/>
  <c r="AJ257" i="3"/>
  <c r="AJ303" i="3"/>
  <c r="AJ317" i="3"/>
  <c r="AJ196" i="3"/>
  <c r="AJ560" i="3"/>
  <c r="AJ149" i="3"/>
  <c r="AJ111" i="3"/>
  <c r="AJ238" i="3"/>
  <c r="AJ134" i="3"/>
  <c r="AJ349" i="3"/>
  <c r="AJ172" i="3"/>
  <c r="AJ285" i="3"/>
  <c r="AJ118" i="3"/>
  <c r="AJ490" i="3"/>
  <c r="AJ600" i="3"/>
  <c r="AJ588" i="3"/>
  <c r="AJ442" i="3"/>
  <c r="AJ199" i="3"/>
  <c r="AJ103" i="3"/>
  <c r="AJ408" i="3"/>
  <c r="AJ231" i="3"/>
  <c r="AJ498" i="3"/>
  <c r="AJ373" i="3"/>
  <c r="AJ519" i="3"/>
  <c r="AJ423" i="3"/>
  <c r="AJ155" i="3"/>
  <c r="AJ437" i="3"/>
  <c r="AJ402" i="3"/>
  <c r="AJ485" i="3"/>
  <c r="AJ214" i="3"/>
  <c r="AJ252" i="3"/>
  <c r="AJ225" i="3"/>
  <c r="AJ541" i="3"/>
  <c r="AJ336" i="3"/>
  <c r="AJ302" i="3"/>
  <c r="AJ300" i="3"/>
  <c r="AJ141" i="3"/>
  <c r="AJ226" i="3"/>
  <c r="AJ262" i="3"/>
  <c r="AJ471" i="3"/>
  <c r="AJ291" i="3"/>
  <c r="D21" i="4" l="1"/>
  <c r="F21" i="4" s="1"/>
  <c r="B2" i="5"/>
  <c r="B8" i="5"/>
  <c r="B4" i="5"/>
  <c r="B3" i="5"/>
  <c r="B6" i="5"/>
  <c r="B9" i="5"/>
  <c r="B7" i="5"/>
  <c r="B13" i="5"/>
  <c r="B10" i="5"/>
  <c r="B11" i="5"/>
  <c r="B12" i="5"/>
  <c r="B5" i="5"/>
  <c r="B37" i="5"/>
  <c r="B52" i="5"/>
  <c r="B18" i="5"/>
  <c r="B17" i="5"/>
  <c r="B28" i="5"/>
  <c r="B35" i="5"/>
  <c r="B59" i="5"/>
  <c r="B58" i="5"/>
  <c r="B16" i="5"/>
  <c r="B49" i="5"/>
  <c r="B27" i="5"/>
  <c r="B31" i="5"/>
  <c r="B41" i="5"/>
  <c r="B34" i="5"/>
  <c r="B33" i="5"/>
  <c r="B56" i="5"/>
  <c r="B20" i="5"/>
  <c r="B14" i="5"/>
  <c r="B53" i="5"/>
  <c r="B26" i="5"/>
  <c r="B57" i="5"/>
  <c r="B36" i="5"/>
  <c r="B51" i="5"/>
  <c r="B44" i="5"/>
  <c r="B40" i="5"/>
  <c r="B38" i="5"/>
  <c r="B15" i="5"/>
  <c r="B55" i="5"/>
  <c r="B47" i="5"/>
  <c r="B43" i="5"/>
  <c r="B45" i="5"/>
  <c r="B42" i="5"/>
  <c r="B48" i="5"/>
  <c r="B19" i="5"/>
  <c r="B32" i="5"/>
  <c r="B23" i="5"/>
  <c r="B22" i="5"/>
  <c r="B30" i="5"/>
  <c r="B61" i="5"/>
  <c r="B21" i="5"/>
  <c r="B39" i="5"/>
  <c r="B54" i="5"/>
  <c r="B60" i="5"/>
  <c r="B25" i="5"/>
  <c r="B46" i="5"/>
  <c r="B29" i="5"/>
  <c r="B50" i="5"/>
  <c r="B24" i="5"/>
  <c r="B22" i="4"/>
  <c r="A23" i="4"/>
  <c r="E22" i="4"/>
  <c r="C22" i="4"/>
  <c r="C11" i="5" l="1"/>
  <c r="G11" i="5"/>
  <c r="F11" i="5"/>
  <c r="D11" i="5"/>
  <c r="I11" i="5"/>
  <c r="E11" i="5"/>
  <c r="H11" i="5"/>
  <c r="C5" i="5"/>
  <c r="E5" i="5"/>
  <c r="D5" i="5"/>
  <c r="I5" i="5"/>
  <c r="H5" i="5"/>
  <c r="F5" i="5"/>
  <c r="G5" i="5"/>
  <c r="C10" i="5"/>
  <c r="G10" i="5"/>
  <c r="D10" i="5"/>
  <c r="I10" i="5"/>
  <c r="H10" i="5"/>
  <c r="E10" i="5"/>
  <c r="F10" i="5"/>
  <c r="C13" i="5"/>
  <c r="G13" i="5"/>
  <c r="H13" i="5"/>
  <c r="E13" i="5"/>
  <c r="I13" i="5"/>
  <c r="D13" i="5"/>
  <c r="F13" i="5"/>
  <c r="C12" i="5"/>
  <c r="F12" i="5"/>
  <c r="H12" i="5"/>
  <c r="G12" i="5"/>
  <c r="D12" i="5"/>
  <c r="I12" i="5"/>
  <c r="E12" i="5"/>
  <c r="C7" i="5"/>
  <c r="H7" i="5"/>
  <c r="G7" i="5"/>
  <c r="F7" i="5"/>
  <c r="E7" i="5"/>
  <c r="D7" i="5"/>
  <c r="I7" i="5"/>
  <c r="C9" i="5"/>
  <c r="G9" i="5"/>
  <c r="H9" i="5"/>
  <c r="D9" i="5"/>
  <c r="I9" i="5"/>
  <c r="F9" i="5"/>
  <c r="E9" i="5"/>
  <c r="C6" i="5"/>
  <c r="F6" i="5"/>
  <c r="G6" i="5"/>
  <c r="I6" i="5"/>
  <c r="D6" i="5"/>
  <c r="H6" i="5"/>
  <c r="E6" i="5"/>
  <c r="C3" i="5"/>
  <c r="D3" i="5"/>
  <c r="F3" i="5"/>
  <c r="E3" i="5"/>
  <c r="G3" i="5"/>
  <c r="I3" i="5"/>
  <c r="H3" i="5"/>
  <c r="C4" i="5"/>
  <c r="H4" i="5"/>
  <c r="E4" i="5"/>
  <c r="D4" i="5"/>
  <c r="F4" i="5"/>
  <c r="I4" i="5"/>
  <c r="G4" i="5"/>
  <c r="C8" i="5"/>
  <c r="I8" i="5"/>
  <c r="G8" i="5"/>
  <c r="F8" i="5"/>
  <c r="H8" i="5"/>
  <c r="D8" i="5"/>
  <c r="E8" i="5"/>
  <c r="C2" i="5"/>
  <c r="E2" i="5"/>
  <c r="G2" i="5"/>
  <c r="F2" i="5"/>
  <c r="I2" i="5"/>
  <c r="D2" i="5"/>
  <c r="H2" i="5"/>
  <c r="D22" i="4"/>
  <c r="F22" i="4" s="1"/>
  <c r="D53" i="5"/>
  <c r="G53" i="5"/>
  <c r="I53" i="5"/>
  <c r="H53" i="5"/>
  <c r="E53" i="5"/>
  <c r="C53" i="5"/>
  <c r="J53" i="5"/>
  <c r="F53" i="5"/>
  <c r="I54" i="5"/>
  <c r="G54" i="5"/>
  <c r="E54" i="5"/>
  <c r="F54" i="5"/>
  <c r="D54" i="5"/>
  <c r="C54" i="5"/>
  <c r="J54" i="5"/>
  <c r="H54" i="5"/>
  <c r="J55" i="5"/>
  <c r="C55" i="5"/>
  <c r="I55" i="5"/>
  <c r="H55" i="5"/>
  <c r="F55" i="5"/>
  <c r="E55" i="5"/>
  <c r="D55" i="5"/>
  <c r="G55" i="5"/>
  <c r="G34" i="5"/>
  <c r="E34" i="5"/>
  <c r="C34" i="5"/>
  <c r="H34" i="5"/>
  <c r="F34" i="5"/>
  <c r="D34" i="5"/>
  <c r="J34" i="5"/>
  <c r="I34" i="5"/>
  <c r="J41" i="5"/>
  <c r="H41" i="5"/>
  <c r="G41" i="5"/>
  <c r="E41" i="5"/>
  <c r="I41" i="5"/>
  <c r="F41" i="5"/>
  <c r="D41" i="5"/>
  <c r="C41" i="5"/>
  <c r="F31" i="5"/>
  <c r="D31" i="5"/>
  <c r="J31" i="5"/>
  <c r="I31" i="5"/>
  <c r="G31" i="5"/>
  <c r="E31" i="5"/>
  <c r="C31" i="5"/>
  <c r="H31" i="5"/>
  <c r="J21" i="5"/>
  <c r="H21" i="5"/>
  <c r="I21" i="5"/>
  <c r="F21" i="5"/>
  <c r="G21" i="5"/>
  <c r="E21" i="5"/>
  <c r="D21" i="5"/>
  <c r="C21" i="5"/>
  <c r="E61" i="5"/>
  <c r="D61" i="5"/>
  <c r="C61" i="5"/>
  <c r="J61" i="5"/>
  <c r="I61" i="5"/>
  <c r="G61" i="5"/>
  <c r="F61" i="5"/>
  <c r="H61" i="5"/>
  <c r="I40" i="5"/>
  <c r="G40" i="5"/>
  <c r="E40" i="5"/>
  <c r="F40" i="5"/>
  <c r="D40" i="5"/>
  <c r="C40" i="5"/>
  <c r="J40" i="5"/>
  <c r="H40" i="5"/>
  <c r="J27" i="5"/>
  <c r="H27" i="5"/>
  <c r="F27" i="5"/>
  <c r="C27" i="5"/>
  <c r="I27" i="5"/>
  <c r="G27" i="5"/>
  <c r="E27" i="5"/>
  <c r="D27" i="5"/>
  <c r="D39" i="5"/>
  <c r="I39" i="5"/>
  <c r="H39" i="5"/>
  <c r="F39" i="5"/>
  <c r="J39" i="5"/>
  <c r="G39" i="5"/>
  <c r="E39" i="5"/>
  <c r="C39" i="5"/>
  <c r="G30" i="5"/>
  <c r="F30" i="5"/>
  <c r="E30" i="5"/>
  <c r="D30" i="5"/>
  <c r="I30" i="5"/>
  <c r="H30" i="5"/>
  <c r="C30" i="5"/>
  <c r="J30" i="5"/>
  <c r="F44" i="5"/>
  <c r="E44" i="5"/>
  <c r="D44" i="5"/>
  <c r="C44" i="5"/>
  <c r="J44" i="5"/>
  <c r="I44" i="5"/>
  <c r="H44" i="5"/>
  <c r="G44" i="5"/>
  <c r="J49" i="5"/>
  <c r="H49" i="5"/>
  <c r="G49" i="5"/>
  <c r="F49" i="5"/>
  <c r="D49" i="5"/>
  <c r="I49" i="5"/>
  <c r="E49" i="5"/>
  <c r="C49" i="5"/>
  <c r="C22" i="5"/>
  <c r="H22" i="5"/>
  <c r="G22" i="5"/>
  <c r="F22" i="5"/>
  <c r="E22" i="5"/>
  <c r="J22" i="5"/>
  <c r="I22" i="5"/>
  <c r="D22" i="5"/>
  <c r="H51" i="5"/>
  <c r="F51" i="5"/>
  <c r="D51" i="5"/>
  <c r="I51" i="5"/>
  <c r="G51" i="5"/>
  <c r="C51" i="5"/>
  <c r="J51" i="5"/>
  <c r="E51" i="5"/>
  <c r="H16" i="5"/>
  <c r="G16" i="5"/>
  <c r="F16" i="5"/>
  <c r="E16" i="5"/>
  <c r="I16" i="5"/>
  <c r="D16" i="5"/>
  <c r="C16" i="5"/>
  <c r="J16" i="5"/>
  <c r="I38" i="5"/>
  <c r="F38" i="5"/>
  <c r="E38" i="5"/>
  <c r="D38" i="5"/>
  <c r="C38" i="5"/>
  <c r="H38" i="5"/>
  <c r="G38" i="5"/>
  <c r="J38" i="5"/>
  <c r="A24" i="4"/>
  <c r="E23" i="4"/>
  <c r="C23" i="4"/>
  <c r="B23" i="4"/>
  <c r="H23" i="5"/>
  <c r="F23" i="5"/>
  <c r="D23" i="5"/>
  <c r="J23" i="5"/>
  <c r="G23" i="5"/>
  <c r="E23" i="5"/>
  <c r="C23" i="5"/>
  <c r="I23" i="5"/>
  <c r="C36" i="5"/>
  <c r="G36" i="5"/>
  <c r="F36" i="5"/>
  <c r="E36" i="5"/>
  <c r="D36" i="5"/>
  <c r="J36" i="5"/>
  <c r="I36" i="5"/>
  <c r="H36" i="5"/>
  <c r="D58" i="5"/>
  <c r="J58" i="5"/>
  <c r="I58" i="5"/>
  <c r="G58" i="5"/>
  <c r="F58" i="5"/>
  <c r="C58" i="5"/>
  <c r="H58" i="5"/>
  <c r="E58" i="5"/>
  <c r="J15" i="5"/>
  <c r="H15" i="5"/>
  <c r="F15" i="5"/>
  <c r="G15" i="5"/>
  <c r="I15" i="5"/>
  <c r="E15" i="5"/>
  <c r="D15" i="5"/>
  <c r="C15" i="5"/>
  <c r="I32" i="5"/>
  <c r="G32" i="5"/>
  <c r="F32" i="5"/>
  <c r="E32" i="5"/>
  <c r="D32" i="5"/>
  <c r="C32" i="5"/>
  <c r="J32" i="5"/>
  <c r="H32" i="5"/>
  <c r="J57" i="5"/>
  <c r="H57" i="5"/>
  <c r="G57" i="5"/>
  <c r="F57" i="5"/>
  <c r="I57" i="5"/>
  <c r="C57" i="5"/>
  <c r="E57" i="5"/>
  <c r="D57" i="5"/>
  <c r="F59" i="5"/>
  <c r="D59" i="5"/>
  <c r="C59" i="5"/>
  <c r="I59" i="5"/>
  <c r="G59" i="5"/>
  <c r="H59" i="5"/>
  <c r="E59" i="5"/>
  <c r="J59" i="5"/>
  <c r="I24" i="5"/>
  <c r="G24" i="5"/>
  <c r="F24" i="5"/>
  <c r="E24" i="5"/>
  <c r="D24" i="5"/>
  <c r="J24" i="5"/>
  <c r="H24" i="5"/>
  <c r="C24" i="5"/>
  <c r="I19" i="5"/>
  <c r="G19" i="5"/>
  <c r="J19" i="5"/>
  <c r="H19" i="5"/>
  <c r="F19" i="5"/>
  <c r="E19" i="5"/>
  <c r="D19" i="5"/>
  <c r="C19" i="5"/>
  <c r="I26" i="5"/>
  <c r="G26" i="5"/>
  <c r="E26" i="5"/>
  <c r="H26" i="5"/>
  <c r="F26" i="5"/>
  <c r="D26" i="5"/>
  <c r="C26" i="5"/>
  <c r="J26" i="5"/>
  <c r="J35" i="5"/>
  <c r="H35" i="5"/>
  <c r="I35" i="5"/>
  <c r="G35" i="5"/>
  <c r="E35" i="5"/>
  <c r="F35" i="5"/>
  <c r="D35" i="5"/>
  <c r="C35" i="5"/>
  <c r="E28" i="5"/>
  <c r="C28" i="5"/>
  <c r="H28" i="5"/>
  <c r="G28" i="5"/>
  <c r="F28" i="5"/>
  <c r="D28" i="5"/>
  <c r="J28" i="5"/>
  <c r="I28" i="5"/>
  <c r="G48" i="5"/>
  <c r="E48" i="5"/>
  <c r="C48" i="5"/>
  <c r="F48" i="5"/>
  <c r="D48" i="5"/>
  <c r="J48" i="5"/>
  <c r="I48" i="5"/>
  <c r="H48" i="5"/>
  <c r="J29" i="5"/>
  <c r="H29" i="5"/>
  <c r="F29" i="5"/>
  <c r="I29" i="5"/>
  <c r="E29" i="5"/>
  <c r="G29" i="5"/>
  <c r="D29" i="5"/>
  <c r="C29" i="5"/>
  <c r="E42" i="5"/>
  <c r="C42" i="5"/>
  <c r="G42" i="5"/>
  <c r="F42" i="5"/>
  <c r="D42" i="5"/>
  <c r="I42" i="5"/>
  <c r="H42" i="5"/>
  <c r="J42" i="5"/>
  <c r="E14" i="5"/>
  <c r="C14" i="5"/>
  <c r="I14" i="5"/>
  <c r="H14" i="5"/>
  <c r="G14" i="5"/>
  <c r="F14" i="5"/>
  <c r="D14" i="5"/>
  <c r="J14" i="5"/>
  <c r="F17" i="5"/>
  <c r="D17" i="5"/>
  <c r="J17" i="5"/>
  <c r="H17" i="5"/>
  <c r="I17" i="5"/>
  <c r="G17" i="5"/>
  <c r="E17" i="5"/>
  <c r="C17" i="5"/>
  <c r="I46" i="5"/>
  <c r="G46" i="5"/>
  <c r="E46" i="5"/>
  <c r="D46" i="5"/>
  <c r="C46" i="5"/>
  <c r="H46" i="5"/>
  <c r="F46" i="5"/>
  <c r="J46" i="5"/>
  <c r="F45" i="5"/>
  <c r="D45" i="5"/>
  <c r="I45" i="5"/>
  <c r="H45" i="5"/>
  <c r="E45" i="5"/>
  <c r="J45" i="5"/>
  <c r="G45" i="5"/>
  <c r="C45" i="5"/>
  <c r="G20" i="5"/>
  <c r="E20" i="5"/>
  <c r="C20" i="5"/>
  <c r="I20" i="5"/>
  <c r="H20" i="5"/>
  <c r="F20" i="5"/>
  <c r="D20" i="5"/>
  <c r="J20" i="5"/>
  <c r="I18" i="5"/>
  <c r="G18" i="5"/>
  <c r="H18" i="5"/>
  <c r="F18" i="5"/>
  <c r="E18" i="5"/>
  <c r="D18" i="5"/>
  <c r="J18" i="5"/>
  <c r="C18" i="5"/>
  <c r="C50" i="5"/>
  <c r="F50" i="5"/>
  <c r="E50" i="5"/>
  <c r="D50" i="5"/>
  <c r="H50" i="5"/>
  <c r="G50" i="5"/>
  <c r="I50" i="5"/>
  <c r="J50" i="5"/>
  <c r="D25" i="5"/>
  <c r="I25" i="5"/>
  <c r="G25" i="5"/>
  <c r="J25" i="5"/>
  <c r="H25" i="5"/>
  <c r="F25" i="5"/>
  <c r="E25" i="5"/>
  <c r="C25" i="5"/>
  <c r="J43" i="5"/>
  <c r="H43" i="5"/>
  <c r="F43" i="5"/>
  <c r="I43" i="5"/>
  <c r="G43" i="5"/>
  <c r="D43" i="5"/>
  <c r="E43" i="5"/>
  <c r="C43" i="5"/>
  <c r="E56" i="5"/>
  <c r="C56" i="5"/>
  <c r="H56" i="5"/>
  <c r="J56" i="5"/>
  <c r="I56" i="5"/>
  <c r="G56" i="5"/>
  <c r="F56" i="5"/>
  <c r="D56" i="5"/>
  <c r="I52" i="5"/>
  <c r="E52" i="5"/>
  <c r="D52" i="5"/>
  <c r="C52" i="5"/>
  <c r="J52" i="5"/>
  <c r="H52" i="5"/>
  <c r="G52" i="5"/>
  <c r="F52" i="5"/>
  <c r="I60" i="5"/>
  <c r="H60" i="5"/>
  <c r="G60" i="5"/>
  <c r="F60" i="5"/>
  <c r="E60" i="5"/>
  <c r="J60" i="5"/>
  <c r="D60" i="5"/>
  <c r="C60" i="5"/>
  <c r="J47" i="5"/>
  <c r="H47" i="5"/>
  <c r="G47" i="5"/>
  <c r="E47" i="5"/>
  <c r="D47" i="5"/>
  <c r="C47" i="5"/>
  <c r="I47" i="5"/>
  <c r="F47" i="5"/>
  <c r="I33" i="5"/>
  <c r="H33" i="5"/>
  <c r="F33" i="5"/>
  <c r="J33" i="5"/>
  <c r="G33" i="5"/>
  <c r="E33" i="5"/>
  <c r="D33" i="5"/>
  <c r="C33" i="5"/>
  <c r="H37" i="5"/>
  <c r="F37" i="5"/>
  <c r="D37" i="5"/>
  <c r="J37" i="5"/>
  <c r="I37" i="5"/>
  <c r="E37" i="5"/>
  <c r="G37" i="5"/>
  <c r="C37" i="5"/>
  <c r="J12" i="5" l="1"/>
  <c r="J13" i="5"/>
  <c r="J10" i="5"/>
  <c r="J11" i="5"/>
  <c r="J3" i="5"/>
  <c r="J9" i="5"/>
  <c r="J5" i="5"/>
  <c r="J2" i="5"/>
  <c r="J4" i="5"/>
  <c r="J7" i="5"/>
  <c r="J8" i="5"/>
  <c r="J6" i="5"/>
  <c r="D23" i="4"/>
  <c r="F23" i="4" s="1"/>
  <c r="F63" i="5"/>
  <c r="G63" i="5"/>
  <c r="H63" i="5"/>
  <c r="E63" i="5"/>
  <c r="A25" i="4"/>
  <c r="E24" i="4"/>
  <c r="C24" i="4"/>
  <c r="B24" i="4"/>
  <c r="I63" i="5"/>
  <c r="D24" i="4" l="1"/>
  <c r="F24" i="4" s="1"/>
  <c r="J63" i="5"/>
  <c r="A26" i="4"/>
  <c r="E25" i="4"/>
  <c r="C25" i="4"/>
  <c r="B25" i="4"/>
  <c r="D25" i="4" l="1"/>
  <c r="F25" i="4" s="1"/>
  <c r="C26" i="4"/>
  <c r="A27" i="4"/>
  <c r="E26" i="4"/>
  <c r="B26" i="4"/>
  <c r="D26" i="4" l="1"/>
  <c r="F26" i="4" s="1"/>
  <c r="A28" i="4"/>
  <c r="E27" i="4"/>
  <c r="C27" i="4"/>
  <c r="B27" i="4"/>
  <c r="D27" i="4" l="1"/>
  <c r="F27" i="4" s="1"/>
  <c r="E28" i="4"/>
  <c r="C28" i="4"/>
  <c r="A29" i="4"/>
  <c r="B28" i="4"/>
  <c r="D28" i="4" l="1"/>
  <c r="F28" i="4" s="1"/>
  <c r="E29" i="4"/>
  <c r="C29" i="4"/>
  <c r="B29" i="4"/>
  <c r="A30" i="4"/>
  <c r="D29" i="4" l="1"/>
  <c r="F29" i="4" s="1"/>
  <c r="A31" i="4"/>
  <c r="E30" i="4"/>
  <c r="C30" i="4"/>
  <c r="B30" i="4"/>
  <c r="D30" i="4" l="1"/>
  <c r="F30" i="4" s="1"/>
  <c r="B31" i="4"/>
  <c r="A32" i="4"/>
  <c r="E31" i="4"/>
  <c r="C31" i="4"/>
  <c r="D31" i="4" l="1"/>
  <c r="F31" i="4" s="1"/>
  <c r="A33" i="4"/>
  <c r="E32" i="4"/>
  <c r="C32" i="4"/>
  <c r="B32" i="4"/>
  <c r="D32" i="4" l="1"/>
  <c r="F32" i="4" s="1"/>
  <c r="C33" i="4"/>
  <c r="A34" i="4"/>
  <c r="D33" i="4"/>
  <c r="F33" i="4" s="1"/>
  <c r="E33" i="4"/>
  <c r="B33" i="4"/>
  <c r="A35" i="4" l="1"/>
  <c r="E34" i="4"/>
  <c r="D34" i="4"/>
  <c r="F34" i="4" s="1"/>
  <c r="C34" i="4"/>
  <c r="B34" i="4"/>
  <c r="E35" i="4" l="1"/>
  <c r="C35" i="4"/>
  <c r="D35" i="4"/>
  <c r="F35" i="4" s="1"/>
  <c r="B35" i="4"/>
  <c r="A36" i="4"/>
  <c r="E36" i="4" l="1"/>
  <c r="C36" i="4"/>
  <c r="A37" i="4"/>
  <c r="D36" i="4"/>
  <c r="F36" i="4" s="1"/>
  <c r="B36" i="4"/>
  <c r="A38" i="4" l="1"/>
  <c r="E37" i="4"/>
  <c r="C37" i="4"/>
  <c r="B37" i="4"/>
  <c r="D37" i="4"/>
  <c r="F37" i="4" s="1"/>
  <c r="E38" i="4" l="1"/>
  <c r="A39" i="4"/>
  <c r="C38" i="4"/>
  <c r="B38" i="4"/>
  <c r="D38" i="4"/>
  <c r="F38" i="4" s="1"/>
  <c r="A40" i="4" l="1"/>
  <c r="E39" i="4"/>
  <c r="D39" i="4"/>
  <c r="F39" i="4" s="1"/>
  <c r="B39" i="4"/>
  <c r="C39" i="4"/>
  <c r="C40" i="4" l="1"/>
  <c r="A41" i="4"/>
  <c r="E40" i="4"/>
  <c r="B40" i="4"/>
  <c r="D40" i="4"/>
  <c r="F40" i="4" s="1"/>
  <c r="A42" i="4" l="1"/>
  <c r="D41" i="4"/>
  <c r="F41" i="4" s="1"/>
  <c r="B41" i="4"/>
  <c r="E41" i="4"/>
  <c r="C41" i="4"/>
  <c r="E42" i="4" l="1"/>
  <c r="C42" i="4"/>
  <c r="A43" i="4"/>
  <c r="B42" i="4"/>
  <c r="D42" i="4"/>
  <c r="F42" i="4" s="1"/>
  <c r="A44" i="4" l="1"/>
  <c r="E43" i="4"/>
  <c r="C43" i="4"/>
  <c r="B43" i="4"/>
  <c r="D43" i="4"/>
  <c r="F43" i="4" s="1"/>
  <c r="A45" i="4" l="1"/>
  <c r="E44" i="4"/>
  <c r="C44" i="4"/>
  <c r="D44" i="4"/>
  <c r="F44" i="4" s="1"/>
  <c r="B44" i="4"/>
  <c r="E45" i="4" l="1"/>
  <c r="C45" i="4"/>
  <c r="D45" i="4"/>
  <c r="F45" i="4" s="1"/>
  <c r="B45" i="4"/>
  <c r="A46" i="4"/>
  <c r="E46" i="4" l="1"/>
  <c r="C46" i="4"/>
  <c r="C48" i="4" s="1"/>
  <c r="B46" i="4"/>
  <c r="B48" i="4" s="1"/>
  <c r="D46" i="4"/>
  <c r="D48" i="4" s="1"/>
  <c r="F46" i="4" l="1"/>
</calcChain>
</file>

<file path=xl/sharedStrings.xml><?xml version="1.0" encoding="utf-8"?>
<sst xmlns="http://schemas.openxmlformats.org/spreadsheetml/2006/main" count="223" uniqueCount="104">
  <si>
    <t>Tip Pool Calculator - How To Use</t>
  </si>
  <si>
    <t>1. Paste your Time Card Report</t>
  </si>
  <si>
    <t>Open the 'Time Card Data' tab. Delete any old data below row 1, then paste your new report starting at cell A2, keeping the exact same columns as your system export (Name, Role, Pay rate, Date, Time in, Time out, Regular Hours, Overtime, Double Overtime, Weekly Overtime, Paid Breaks hours, UnPaid Breaks hours, Total Hours, Net Sale, Tips, Gratuity). Do not paste over columns Q onward - those are calculated automatically.</t>
  </si>
  <si>
    <t>2. Set up your Settings tab</t>
  </si>
  <si>
    <t>Go to the 'Settings' tab. Set the Pay Period Start Date to the first date in your report (the year is taken from this date). Choose the Tip Distribution Method: Percentage, Points, or Equally. Then fill in the Role table: for every Role that appears in your time card, say whether it Contributes to the pool, by what method (% of Sales or % of Tips) and what %, whether it Receives from the pool, and its Distribution % (Percentage method) or Points per Hour (Points method).</t>
  </si>
  <si>
    <t>3. Everything else calculates automatically</t>
  </si>
  <si>
    <t>The 'Time Card Data' tab calculates, for every shift: the contribution to the pool, the tips the employee keeps directly, and the pool amount they receive back - based only on who actually worked that specific date. A different pool is built and split for every date. 'Pool by Date' shows the pool total for each day. 'Employee Totals' rolls everything up per employee for the whole period.</t>
  </si>
  <si>
    <t>How the 3 distribution methods work</t>
  </si>
  <si>
    <t>Percentage - the day's pool is split across roles using each role's Distribution %. Within a role, the role's dollar bucket is split among that role's employees in proportion to hours worked that day.</t>
  </si>
  <si>
    <t>Points - each recipient employee's hours worked that day are multiplied by their role's Points per Hour. The pool is divided by the total point-hours worked that day to get a $-per-point-hour rate, then paid out by each person's point-hours.</t>
  </si>
  <si>
    <t>Equally - the pool is divided by the total hours worked that day (across all recipient roles), then paid out per hour worked - regardless of role.</t>
  </si>
  <si>
    <t>How contribution works</t>
  </si>
  <si>
    <t>Each employee's own Tips for the day are reduced by their contribution (their Net Sale x Contribution %, or their Tips x Contribution %, depending on the method chosen for their role). What's left is 'Kept Tips'. All the contributions collected that day form the pool for that day. Recipient roles then receive a share of that same pool. Total Payout = Kept Tips + Pool Share.</t>
  </si>
  <si>
    <t>Assumptions and limits</t>
  </si>
  <si>
    <t>- The year for every date is taken from the Pay Period Start Date on the Settings tab (so a period should not cross a calendar year boundary).</t>
  </si>
  <si>
    <t>- A role that is not listed in the Settings table is treated as not contributing and not receiving.</t>
  </si>
  <si>
    <t>- If a recipient role has a Distribution % but nobody in that role worked on a given day, that portion of the pool is not paid out that day - check the 'Difference' column on 'Pool by Date' and adjust your Distribution %s if this matters to you.</t>
  </si>
  <si>
    <t>- The Time Card Data tab supports up to 600 rows, Employee Totals up to 60 unique employees, and Pool by Date up to the 'Number of Days to Calculate' set on the Settings tab. Extend these by copying the last row's formulas down further if you need more.</t>
  </si>
  <si>
    <t>Settings</t>
  </si>
  <si>
    <t>Pay Period Start Date</t>
  </si>
  <si>
    <t>&lt;- first date in your time card report (year is used for all dates)</t>
  </si>
  <si>
    <t>Number of Days to Calculate</t>
  </si>
  <si>
    <t>&lt;- how many days the 'Pool by Date' tab should list</t>
  </si>
  <si>
    <t>Tip Distribution Method</t>
  </si>
  <si>
    <t>Equally</t>
  </si>
  <si>
    <t>&lt;- choose: Percentage, Points, or Equally</t>
  </si>
  <si>
    <t>Role Rules</t>
  </si>
  <si>
    <t>Every Role that appears in your time card should have a row below. Edit freely.</t>
  </si>
  <si>
    <t>Role</t>
  </si>
  <si>
    <t>Contributes to Pool?</t>
  </si>
  <si>
    <t>Contribution Method</t>
  </si>
  <si>
    <t>Contribution %</t>
  </si>
  <si>
    <t>Receives from Pool?</t>
  </si>
  <si>
    <t>Distribution %
(Percentage method)</t>
  </si>
  <si>
    <t>Points per Hour
(Points method)</t>
  </si>
  <si>
    <t>Barista</t>
  </si>
  <si>
    <t>N</t>
  </si>
  <si>
    <t>% of Tips</t>
  </si>
  <si>
    <t>Y</t>
  </si>
  <si>
    <t>Owner</t>
  </si>
  <si>
    <t>Server</t>
  </si>
  <si>
    <t>Bartender</t>
  </si>
  <si>
    <t>Cashier</t>
  </si>
  <si>
    <t>Summary</t>
  </si>
  <si>
    <t>Kiosk</t>
  </si>
  <si>
    <t>Check: Distribution % of recipient roles sums to</t>
  </si>
  <si>
    <t>(should be 100% when method = Percentage)</t>
  </si>
  <si>
    <t>Name</t>
  </si>
  <si>
    <t>Pay rate</t>
  </si>
  <si>
    <t>Date</t>
  </si>
  <si>
    <t>Time in</t>
  </si>
  <si>
    <t>Time out</t>
  </si>
  <si>
    <t>Regular Hours</t>
  </si>
  <si>
    <t>Overtime</t>
  </si>
  <si>
    <t>Double Overtime</t>
  </si>
  <si>
    <t>Weekly Overtime</t>
  </si>
  <si>
    <t>Paid Breaks hours</t>
  </si>
  <si>
    <t>UnPaid Breaks hours</t>
  </si>
  <si>
    <t>Total Hours (excluding unpaid breaks)</t>
  </si>
  <si>
    <t>Net Sale</t>
  </si>
  <si>
    <t>Tips</t>
  </si>
  <si>
    <t>Gratuity</t>
  </si>
  <si>
    <t>Employee</t>
  </si>
  <si>
    <t>Is Data Row?</t>
  </si>
  <si>
    <t>Date (parsed)</t>
  </si>
  <si>
    <t>Contributes?</t>
  </si>
  <si>
    <t>Contribution Amount</t>
  </si>
  <si>
    <t>Kept Tips</t>
  </si>
  <si>
    <t>Receives?</t>
  </si>
  <si>
    <t>Distribution %</t>
  </si>
  <si>
    <t>Points/Hour</t>
  </si>
  <si>
    <t>Day Pool Total</t>
  </si>
  <si>
    <t>Role-Hours That Day</t>
  </si>
  <si>
    <t>Recipient Hours That Day</t>
  </si>
  <si>
    <t>Recipient Point-Hours That Day</t>
  </si>
  <si>
    <t>Pool Share</t>
  </si>
  <si>
    <t>Total Payout</t>
  </si>
  <si>
    <t>First Occurrence?</t>
  </si>
  <si>
    <t>Unique Employee #</t>
  </si>
  <si>
    <t>Scott Okano</t>
  </si>
  <si>
    <t>Total</t>
  </si>
  <si>
    <t>Shamira Tesorero</t>
  </si>
  <si>
    <t>Tessa Andrascik</t>
  </si>
  <si>
    <t>Anthony Zhang</t>
  </si>
  <si>
    <t>Fatimah Mahmoud</t>
  </si>
  <si>
    <t>Ryan Chan</t>
  </si>
  <si>
    <t>Xiao Lan Wen</t>
  </si>
  <si>
    <t>Chazilyn Cabigon</t>
  </si>
  <si>
    <t>Lisa Zhang</t>
  </si>
  <si>
    <t>Ryan Tiet</t>
  </si>
  <si>
    <t>Restaurant</t>
  </si>
  <si>
    <t>R-Kiosk</t>
  </si>
  <si>
    <t>Total Pool (Contributions)</t>
  </si>
  <si>
    <t>Total Distributed</t>
  </si>
  <si>
    <t>Difference</t>
  </si>
  <si>
    <t>Note</t>
  </si>
  <si>
    <t>TOTAL</t>
  </si>
  <si>
    <t>#</t>
  </si>
  <si>
    <t>Total Hours</t>
  </si>
  <si>
    <t>Total Net Sales</t>
  </si>
  <si>
    <t>Total Tips (raw)</t>
  </si>
  <si>
    <t>Total Contribution</t>
  </si>
  <si>
    <t>Total Kept Tips</t>
  </si>
  <si>
    <t>Total Pool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</si>
</sst>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0.00"/>
    <numFmt numFmtId="167" formatCode="0.0"/>
  </numFmts>
  <fonts count="12">
    <font>
      <sz val="11"/>
      <color theme="1"/>
      <name val="Calibri"/>
      <family val="2"/>
      <charset val="1"/>
    </font>
    <font>
      <b/>
      <sz val="14"/>
      <name val="Arial"/>
      <charset val="1"/>
    </font>
    <font>
      <b/>
      <sz val="11"/>
      <name val="Arial"/>
      <charset val="1"/>
    </font>
    <font>
      <sz val="10"/>
      <name val="Arial"/>
      <charset val="1"/>
    </font>
    <font>
      <sz val="11"/>
      <color rgb="FF0000FF"/>
      <name val="Arial"/>
      <charset val="1"/>
    </font>
    <font>
      <i/>
      <sz val="9"/>
      <color rgb="FF666666"/>
      <name val="Arial"/>
      <charset val="1"/>
    </font>
    <font>
      <b/>
      <sz val="12"/>
      <name val="Arial"/>
      <charset val="1"/>
    </font>
    <font>
      <b/>
      <sz val="11"/>
      <color rgb="FFFFFFFF"/>
      <name val="Arial"/>
      <charset val="1"/>
    </font>
    <font>
      <sz val="11"/>
      <color rgb="FF000000"/>
      <name val="Arial"/>
      <charset val="1"/>
    </font>
    <font>
      <sz val="10"/>
      <color rgb="FF404040"/>
      <name val="Arial"/>
      <charset val="1"/>
    </font>
    <font>
      <b/>
      <sz val="11"/>
      <color theme="0"/>
      <name val="Arial"/>
      <family val="2"/>
    </font>
    <font>
      <sz val="11"/>
      <color rgb="FF000000"/>
      <name val="Arial"/>
      <family val="2"/>
    </font>
  </fonts>
  <fills count="8">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548235"/>
        <bgColor rgb="FF666666"/>
      </patternFill>
    </fill>
    <fill>
      <patternFill patternType="solid">
        <fgColor rgb="FFF2F2F2"/>
        <bgColor rgb="FFFFFFFF"/>
      </patternFill>
    </fill>
    <fill>
      <patternFill patternType="solid">
        <fgColor rgb="FFFF0000"/>
        <bgColor indexed="64"/>
      </patternFill>
    </fill>
    <fill>
      <patternFill patternType="solid">
        <fgColor rgb="FF00B05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2" fillId="0" borderId="0" xfId="0" applyFont="1"/>
    <xf numFmtId="164" fontId="4" fillId="2" borderId="0" xfId="0" applyNumberFormat="1" applyFont="1" applyFill="1"/>
    <xf numFmtId="0" fontId="5" fillId="0" borderId="0" xfId="0" applyFont="1"/>
    <xf numFmtId="0" fontId="4" fillId="2" borderId="0" xfId="0" applyFont="1" applyFill="1"/>
    <xf numFmtId="0" fontId="6" fillId="0" borderId="0" xfId="0" applyFont="1"/>
    <xf numFmtId="0" fontId="7" fillId="3" borderId="1" xfId="0" applyFont="1" applyFill="1" applyBorder="1" applyAlignment="1">
      <alignment horizontal="center" vertical="center" wrapText="1"/>
    </xf>
    <xf numFmtId="0" fontId="4" fillId="2" borderId="1" xfId="0" applyFont="1" applyFill="1" applyBorder="1"/>
    <xf numFmtId="165" fontId="4" fillId="2" borderId="1" xfId="0" applyNumberFormat="1" applyFont="1" applyFill="1" applyBorder="1"/>
    <xf numFmtId="165" fontId="0" fillId="0" borderId="0" xfId="0" applyNumberFormat="1"/>
    <xf numFmtId="0" fontId="7" fillId="4" borderId="1" xfId="0" applyFont="1" applyFill="1" applyBorder="1" applyAlignment="1">
      <alignment horizontal="center" vertical="center" wrapText="1"/>
    </xf>
    <xf numFmtId="0" fontId="8" fillId="0" borderId="0" xfId="0" applyFont="1"/>
    <xf numFmtId="0" fontId="9" fillId="5" borderId="0" xfId="0" applyFont="1" applyFill="1"/>
    <xf numFmtId="164" fontId="9" fillId="5" borderId="0" xfId="0" applyNumberFormat="1" applyFont="1" applyFill="1"/>
    <xf numFmtId="165" fontId="9" fillId="5" borderId="0" xfId="0" applyNumberFormat="1" applyFont="1" applyFill="1"/>
    <xf numFmtId="166" fontId="9" fillId="5" borderId="0" xfId="0" applyNumberFormat="1" applyFont="1" applyFill="1"/>
    <xf numFmtId="164" fontId="3" fillId="0" borderId="1" xfId="0" applyNumberFormat="1" applyFont="1" applyBorder="1"/>
    <xf numFmtId="166" fontId="3" fillId="0" borderId="1" xfId="0" applyNumberFormat="1" applyFont="1" applyBorder="1"/>
    <xf numFmtId="167" fontId="3" fillId="0" borderId="1" xfId="0" applyNumberFormat="1" applyFont="1" applyBorder="1"/>
    <xf numFmtId="0" fontId="3" fillId="0" borderId="1" xfId="0" applyFont="1" applyBorder="1"/>
    <xf numFmtId="0" fontId="2" fillId="0" borderId="1" xfId="0" applyFont="1" applyBorder="1"/>
    <xf numFmtId="166" fontId="2" fillId="0" borderId="1" xfId="0" applyNumberFormat="1" applyFont="1" applyBorder="1"/>
    <xf numFmtId="2" fontId="3" fillId="0" borderId="1" xfId="0" applyNumberFormat="1" applyFont="1" applyBorder="1"/>
    <xf numFmtId="0" fontId="0" fillId="0" borderId="1" xfId="0" applyBorder="1"/>
    <xf numFmtId="16" fontId="0" fillId="0" borderId="0" xfId="0" applyNumberFormat="1"/>
    <xf numFmtId="18" fontId="0" fillId="0" borderId="0" xfId="0" applyNumberFormat="1"/>
    <xf numFmtId="0" fontId="10" fillId="3" borderId="1" xfId="0" applyFont="1" applyFill="1" applyBorder="1" applyAlignment="1">
      <alignment horizontal="center" vertical="center" wrapText="1"/>
    </xf>
    <xf numFmtId="0" fontId="11" fillId="0" borderId="0" xfId="0" applyFont="1"/>
    <xf numFmtId="16" fontId="0" fillId="0" borderId="2" xfId="0" applyNumberFormat="1" applyBorder="1"/>
    <xf numFmtId="16" fontId="0" fillId="0" borderId="3" xfId="0" applyNumberFormat="1" applyBorder="1"/>
    <xf numFmtId="166" fontId="3" fillId="6" borderId="1" xfId="0" applyNumberFormat="1" applyFont="1" applyFill="1" applyBorder="1"/>
    <xf numFmtId="166" fontId="3" fillId="7"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zoomScaleNormal="100" workbookViewId="0">
      <selection activeCell="F6" sqref="F6"/>
    </sheetView>
  </sheetViews>
  <sheetFormatPr defaultColWidth="8.7109375" defaultRowHeight="14.45"/>
  <cols>
    <col min="1" max="1" width="3" customWidth="1"/>
    <col min="2" max="2" width="95" customWidth="1"/>
  </cols>
  <sheetData>
    <row r="1" spans="2:2" ht="17.45">
      <c r="B1" s="1" t="s">
        <v>0</v>
      </c>
    </row>
    <row r="3" spans="2:2">
      <c r="B3" s="2" t="s">
        <v>1</v>
      </c>
    </row>
    <row r="4" spans="2:2" ht="52.9">
      <c r="B4" s="3" t="s">
        <v>2</v>
      </c>
    </row>
    <row r="5" spans="2:2">
      <c r="B5" s="2" t="s">
        <v>3</v>
      </c>
    </row>
    <row r="6" spans="2:2" ht="66">
      <c r="B6" s="3" t="s">
        <v>4</v>
      </c>
    </row>
    <row r="7" spans="2:2">
      <c r="B7" s="2" t="s">
        <v>5</v>
      </c>
    </row>
    <row r="8" spans="2:2" ht="52.9">
      <c r="B8" s="3" t="s">
        <v>6</v>
      </c>
    </row>
    <row r="9" spans="2:2">
      <c r="B9" s="2" t="s">
        <v>7</v>
      </c>
    </row>
    <row r="10" spans="2:2" ht="26.45">
      <c r="B10" s="3" t="s">
        <v>8</v>
      </c>
    </row>
    <row r="11" spans="2:2" ht="39.6">
      <c r="B11" s="3" t="s">
        <v>9</v>
      </c>
    </row>
    <row r="12" spans="2:2" ht="26.45">
      <c r="B12" s="3" t="s">
        <v>10</v>
      </c>
    </row>
    <row r="13" spans="2:2">
      <c r="B13" s="2" t="s">
        <v>11</v>
      </c>
    </row>
    <row r="14" spans="2:2" ht="52.9">
      <c r="B14" s="3" t="s">
        <v>12</v>
      </c>
    </row>
    <row r="15" spans="2:2">
      <c r="B15" s="2" t="s">
        <v>13</v>
      </c>
    </row>
    <row r="16" spans="2:2" ht="26.45">
      <c r="B16" s="3" t="s">
        <v>14</v>
      </c>
    </row>
    <row r="17" spans="2:2">
      <c r="B17" s="3" t="s">
        <v>15</v>
      </c>
    </row>
    <row r="18" spans="2:2" ht="39.6">
      <c r="B18" s="3" t="s">
        <v>16</v>
      </c>
    </row>
    <row r="19" spans="2:2" ht="39.6">
      <c r="B19" s="3"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
  <sheetViews>
    <sheetView showGridLines="0" tabSelected="1" zoomScaleNormal="100" workbookViewId="0">
      <selection activeCell="F13" sqref="F13"/>
    </sheetView>
  </sheetViews>
  <sheetFormatPr defaultColWidth="8.7109375" defaultRowHeight="14.45"/>
  <cols>
    <col min="1" max="1" width="59.140625" bestFit="1" customWidth="1"/>
    <col min="2" max="2" width="14.85546875" bestFit="1" customWidth="1"/>
    <col min="3" max="3" width="46.85546875" bestFit="1" customWidth="1"/>
    <col min="4" max="4" width="13.140625" bestFit="1" customWidth="1"/>
    <col min="5" max="5" width="34.7109375" bestFit="1" customWidth="1"/>
    <col min="6" max="6" width="21.7109375" bestFit="1" customWidth="1"/>
    <col min="7" max="7" width="16.5703125" bestFit="1" customWidth="1"/>
  </cols>
  <sheetData>
    <row r="1" spans="1:7" ht="17.45">
      <c r="A1" s="1" t="s">
        <v>18</v>
      </c>
    </row>
    <row r="3" spans="1:7">
      <c r="A3" s="4" t="s">
        <v>19</v>
      </c>
      <c r="B3" s="5">
        <v>46272</v>
      </c>
      <c r="C3" s="6" t="s">
        <v>20</v>
      </c>
    </row>
    <row r="4" spans="1:7">
      <c r="A4" s="4" t="s">
        <v>21</v>
      </c>
      <c r="B4" s="7">
        <v>31</v>
      </c>
      <c r="C4" s="6" t="s">
        <v>22</v>
      </c>
    </row>
    <row r="6" spans="1:7">
      <c r="A6" s="4" t="s">
        <v>23</v>
      </c>
      <c r="B6" s="7" t="s">
        <v>24</v>
      </c>
      <c r="C6" s="6" t="s">
        <v>25</v>
      </c>
    </row>
    <row r="9" spans="1:7" ht="15.6">
      <c r="A9" s="8" t="s">
        <v>26</v>
      </c>
    </row>
    <row r="10" spans="1:7">
      <c r="A10" s="6" t="s">
        <v>27</v>
      </c>
    </row>
    <row r="11" spans="1:7" ht="30" customHeight="1">
      <c r="A11" s="29" t="s">
        <v>28</v>
      </c>
      <c r="B11" s="9" t="s">
        <v>29</v>
      </c>
      <c r="C11" s="9" t="s">
        <v>30</v>
      </c>
      <c r="D11" s="9" t="s">
        <v>31</v>
      </c>
      <c r="E11" s="9" t="s">
        <v>32</v>
      </c>
      <c r="F11" s="9" t="s">
        <v>33</v>
      </c>
      <c r="G11" s="9" t="s">
        <v>34</v>
      </c>
    </row>
    <row r="12" spans="1:7">
      <c r="A12" s="10" t="s">
        <v>35</v>
      </c>
      <c r="B12" s="10" t="s">
        <v>36</v>
      </c>
      <c r="C12" s="10" t="s">
        <v>37</v>
      </c>
      <c r="D12" s="11">
        <v>0</v>
      </c>
      <c r="E12" s="10" t="s">
        <v>38</v>
      </c>
      <c r="F12" s="11">
        <v>1</v>
      </c>
      <c r="G12" s="10">
        <v>1</v>
      </c>
    </row>
    <row r="13" spans="1:7">
      <c r="A13" s="10" t="s">
        <v>39</v>
      </c>
      <c r="B13" s="10" t="s">
        <v>36</v>
      </c>
      <c r="C13" s="10" t="s">
        <v>37</v>
      </c>
      <c r="D13" s="11">
        <v>0</v>
      </c>
      <c r="E13" s="10" t="s">
        <v>36</v>
      </c>
      <c r="F13" s="11">
        <v>0</v>
      </c>
      <c r="G13" s="10">
        <v>1</v>
      </c>
    </row>
    <row r="14" spans="1:7">
      <c r="A14" s="10" t="s">
        <v>40</v>
      </c>
      <c r="B14" s="10" t="s">
        <v>36</v>
      </c>
      <c r="C14" s="10" t="s">
        <v>37</v>
      </c>
      <c r="D14" s="11">
        <v>0</v>
      </c>
      <c r="E14" s="10" t="s">
        <v>36</v>
      </c>
      <c r="F14" s="11">
        <v>0</v>
      </c>
      <c r="G14" s="10">
        <v>1</v>
      </c>
    </row>
    <row r="15" spans="1:7">
      <c r="A15" s="10" t="s">
        <v>41</v>
      </c>
      <c r="B15" s="10" t="s">
        <v>36</v>
      </c>
      <c r="C15" s="10" t="s">
        <v>37</v>
      </c>
      <c r="D15" s="11">
        <v>0</v>
      </c>
      <c r="E15" s="10" t="s">
        <v>36</v>
      </c>
      <c r="F15" s="11">
        <v>0</v>
      </c>
      <c r="G15" s="10">
        <v>1</v>
      </c>
    </row>
    <row r="16" spans="1:7">
      <c r="A16" s="10" t="s">
        <v>42</v>
      </c>
      <c r="B16" s="10" t="s">
        <v>36</v>
      </c>
      <c r="C16" s="10" t="s">
        <v>37</v>
      </c>
      <c r="D16" s="11">
        <v>0</v>
      </c>
      <c r="E16" s="10" t="s">
        <v>36</v>
      </c>
      <c r="F16" s="11">
        <v>0</v>
      </c>
      <c r="G16" s="10">
        <v>1</v>
      </c>
    </row>
    <row r="17" spans="1:7">
      <c r="A17" s="10" t="s">
        <v>43</v>
      </c>
      <c r="B17" s="10" t="s">
        <v>38</v>
      </c>
      <c r="C17" s="10" t="s">
        <v>37</v>
      </c>
      <c r="D17" s="11">
        <v>1</v>
      </c>
      <c r="E17" s="10" t="s">
        <v>36</v>
      </c>
      <c r="F17" s="11"/>
      <c r="G17" s="10">
        <v>1</v>
      </c>
    </row>
    <row r="18" spans="1:7">
      <c r="A18" s="10" t="s">
        <v>44</v>
      </c>
      <c r="B18" s="10" t="s">
        <v>38</v>
      </c>
      <c r="C18" s="10" t="s">
        <v>37</v>
      </c>
      <c r="D18" s="11">
        <v>1</v>
      </c>
      <c r="E18" s="10" t="s">
        <v>36</v>
      </c>
      <c r="F18" s="11"/>
      <c r="G18" s="10">
        <v>1</v>
      </c>
    </row>
    <row r="19" spans="1:7">
      <c r="A19" s="10"/>
      <c r="B19" s="10"/>
      <c r="C19" s="10"/>
      <c r="D19" s="11"/>
      <c r="E19" s="10"/>
      <c r="F19" s="11"/>
      <c r="G19" s="10"/>
    </row>
    <row r="20" spans="1:7">
      <c r="A20" s="10"/>
      <c r="B20" s="10"/>
      <c r="C20" s="10"/>
      <c r="D20" s="11"/>
      <c r="E20" s="10"/>
      <c r="F20" s="11"/>
      <c r="G20" s="10"/>
    </row>
    <row r="21" spans="1:7">
      <c r="A21" s="10"/>
      <c r="B21" s="10"/>
      <c r="C21" s="10"/>
      <c r="D21" s="11"/>
      <c r="E21" s="10"/>
      <c r="F21" s="11"/>
      <c r="G21" s="10"/>
    </row>
    <row r="22" spans="1:7">
      <c r="A22" s="10"/>
      <c r="B22" s="10"/>
      <c r="C22" s="10"/>
      <c r="D22" s="11"/>
      <c r="E22" s="10"/>
      <c r="F22" s="11"/>
      <c r="G22" s="10"/>
    </row>
    <row r="23" spans="1:7">
      <c r="A23" s="10"/>
      <c r="B23" s="10"/>
      <c r="C23" s="10"/>
      <c r="D23" s="11"/>
      <c r="E23" s="10"/>
      <c r="F23" s="11"/>
      <c r="G23" s="10"/>
    </row>
    <row r="24" spans="1:7">
      <c r="A24" s="10"/>
      <c r="B24" s="10"/>
      <c r="C24" s="10"/>
      <c r="D24" s="11"/>
      <c r="E24" s="10"/>
      <c r="F24" s="11"/>
      <c r="G24" s="10"/>
    </row>
    <row r="25" spans="1:7">
      <c r="A25" s="10"/>
      <c r="B25" s="10"/>
      <c r="C25" s="10"/>
      <c r="D25" s="11"/>
      <c r="E25" s="10"/>
      <c r="F25" s="11"/>
      <c r="G25" s="10"/>
    </row>
    <row r="26" spans="1:7">
      <c r="A26" s="10"/>
      <c r="B26" s="10"/>
      <c r="C26" s="10"/>
      <c r="D26" s="11"/>
      <c r="E26" s="10"/>
      <c r="F26" s="11"/>
      <c r="G26" s="10"/>
    </row>
    <row r="27" spans="1:7">
      <c r="A27" s="10"/>
      <c r="B27" s="10"/>
      <c r="C27" s="10"/>
      <c r="D27" s="11"/>
      <c r="E27" s="10"/>
      <c r="F27" s="11"/>
      <c r="G27" s="10"/>
    </row>
    <row r="28" spans="1:7">
      <c r="A28" s="10"/>
      <c r="B28" s="10"/>
      <c r="C28" s="10"/>
      <c r="D28" s="11"/>
      <c r="E28" s="10"/>
      <c r="F28" s="11"/>
      <c r="G28" s="10"/>
    </row>
    <row r="29" spans="1:7">
      <c r="A29" s="10"/>
      <c r="B29" s="10"/>
      <c r="C29" s="10"/>
      <c r="D29" s="11"/>
      <c r="E29" s="10"/>
      <c r="F29" s="11"/>
      <c r="G29" s="10"/>
    </row>
    <row r="30" spans="1:7">
      <c r="A30" s="10"/>
      <c r="B30" s="10"/>
      <c r="C30" s="10"/>
      <c r="D30" s="11"/>
      <c r="E30" s="10"/>
      <c r="F30" s="11"/>
      <c r="G30" s="10"/>
    </row>
    <row r="31" spans="1:7">
      <c r="A31" s="10"/>
      <c r="B31" s="10"/>
      <c r="C31" s="10"/>
      <c r="D31" s="11"/>
      <c r="E31" s="10"/>
      <c r="F31" s="11"/>
      <c r="G31" s="10"/>
    </row>
    <row r="32" spans="1:7">
      <c r="A32" s="10"/>
      <c r="B32" s="10"/>
      <c r="C32" s="10"/>
      <c r="D32" s="11"/>
      <c r="E32" s="10"/>
      <c r="F32" s="11"/>
      <c r="G32" s="10"/>
    </row>
    <row r="33" spans="1:7">
      <c r="A33" s="10"/>
      <c r="B33" s="10"/>
      <c r="C33" s="10"/>
      <c r="D33" s="11"/>
      <c r="E33" s="10"/>
      <c r="F33" s="11"/>
      <c r="G33" s="10"/>
    </row>
    <row r="34" spans="1:7">
      <c r="A34" s="10"/>
      <c r="B34" s="10"/>
      <c r="C34" s="10"/>
      <c r="D34" s="11"/>
      <c r="E34" s="10"/>
      <c r="F34" s="11"/>
      <c r="G34" s="10"/>
    </row>
    <row r="35" spans="1:7">
      <c r="A35" s="10"/>
      <c r="B35" s="10"/>
      <c r="C35" s="10"/>
      <c r="D35" s="11"/>
      <c r="E35" s="10"/>
      <c r="F35" s="11"/>
      <c r="G35" s="10"/>
    </row>
    <row r="36" spans="1:7">
      <c r="A36" s="10"/>
      <c r="B36" s="10"/>
      <c r="C36" s="10"/>
      <c r="D36" s="11"/>
      <c r="E36" s="10"/>
      <c r="F36" s="11"/>
      <c r="G36" s="10"/>
    </row>
    <row r="37" spans="1:7">
      <c r="A37" s="10"/>
      <c r="B37" s="10"/>
      <c r="C37" s="10"/>
      <c r="D37" s="11"/>
      <c r="E37" s="10"/>
      <c r="F37" s="11"/>
      <c r="G37" s="10"/>
    </row>
    <row r="38" spans="1:7">
      <c r="A38" s="10"/>
      <c r="B38" s="10"/>
      <c r="C38" s="10"/>
      <c r="D38" s="11"/>
      <c r="E38" s="10"/>
      <c r="F38" s="11"/>
      <c r="G38" s="10"/>
    </row>
    <row r="39" spans="1:7">
      <c r="A39" s="10"/>
      <c r="B39" s="10"/>
      <c r="C39" s="10"/>
      <c r="D39" s="11"/>
      <c r="E39" s="10"/>
      <c r="F39" s="11"/>
      <c r="G39" s="10"/>
    </row>
    <row r="40" spans="1:7">
      <c r="A40" s="10"/>
      <c r="B40" s="10"/>
      <c r="C40" s="10"/>
      <c r="D40" s="11"/>
      <c r="E40" s="10"/>
      <c r="F40" s="11"/>
      <c r="G40" s="10"/>
    </row>
    <row r="41" spans="1:7">
      <c r="A41" s="10"/>
      <c r="B41" s="10"/>
      <c r="C41" s="10"/>
      <c r="D41" s="11"/>
      <c r="E41" s="10"/>
      <c r="F41" s="11"/>
      <c r="G41" s="10"/>
    </row>
    <row r="43" spans="1:7">
      <c r="A43" s="4" t="s">
        <v>45</v>
      </c>
      <c r="D43" s="12">
        <f>SUMIF(E12:E41,"Y",F12:F41)</f>
        <v>1</v>
      </c>
      <c r="E43" s="6" t="s">
        <v>46</v>
      </c>
    </row>
  </sheetData>
  <dataValidations count="3">
    <dataValidation type="list" sqref="B6" xr:uid="{00000000-0002-0000-0100-000000000000}">
      <formula1>"Percentage,Points,Equally"</formula1>
      <formula2>0</formula2>
    </dataValidation>
    <dataValidation type="list" allowBlank="1" sqref="B12:B41 E12:E41" xr:uid="{00000000-0002-0000-0100-000001000000}">
      <formula1>"Y,N"</formula1>
      <formula2>0</formula2>
    </dataValidation>
    <dataValidation type="list" allowBlank="1" sqref="C12:C41" xr:uid="{00000000-0002-0000-0100-000002000000}">
      <formula1>"% of Sales,% of Tips"</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601"/>
  <sheetViews>
    <sheetView showGridLines="0" topLeftCell="S1" zoomScaleNormal="100" workbookViewId="0">
      <pane ySplit="1" topLeftCell="A2" activePane="bottomLeft" state="frozen"/>
      <selection pane="bottomLeft" activeCell="F2" sqref="F1:F1048576"/>
    </sheetView>
  </sheetViews>
  <sheetFormatPr defaultColWidth="8.7109375" defaultRowHeight="15" customHeight="1"/>
  <cols>
    <col min="1" max="1" width="16.42578125" bestFit="1" customWidth="1"/>
    <col min="2" max="2" width="9.28515625" bestFit="1" customWidth="1"/>
    <col min="3" max="3" width="9" bestFit="1" customWidth="1"/>
    <col min="4" max="4" width="7.28515625" bestFit="1" customWidth="1"/>
    <col min="5" max="5" width="8.5703125" bestFit="1" customWidth="1"/>
    <col min="6" max="6" width="8.5703125" customWidth="1"/>
    <col min="7" max="7" width="9.5703125" bestFit="1" customWidth="1"/>
    <col min="8" max="8" width="8.5703125" bestFit="1" customWidth="1"/>
    <col min="9" max="11" width="10.140625" bestFit="1" customWidth="1"/>
    <col min="12" max="12" width="7.7109375" bestFit="1" customWidth="1"/>
    <col min="13" max="13" width="7.85546875" bestFit="1" customWidth="1"/>
    <col min="14" max="14" width="10" bestFit="1" customWidth="1"/>
    <col min="15" max="15" width="9.140625" bestFit="1" customWidth="1"/>
    <col min="16" max="16" width="7.7109375" bestFit="1" customWidth="1"/>
    <col min="17" max="17" width="8.7109375" bestFit="1" customWidth="1"/>
    <col min="18" max="18" width="16" bestFit="1" customWidth="1"/>
    <col min="19" max="19" width="7.5703125" bestFit="1" customWidth="1"/>
    <col min="20" max="20" width="10.28515625" bestFit="1" customWidth="1"/>
    <col min="21" max="21" width="12.28515625" bestFit="1" customWidth="1"/>
    <col min="22" max="24" width="13.140625" bestFit="1" customWidth="1"/>
    <col min="25" max="25" width="10.28515625" bestFit="1" customWidth="1"/>
    <col min="26" max="26" width="11.28515625" bestFit="1" customWidth="1"/>
    <col min="27" max="28" width="12.28515625" bestFit="1" customWidth="1"/>
    <col min="29" max="29" width="9.7109375" bestFit="1" customWidth="1"/>
    <col min="30" max="30" width="11.85546875" bestFit="1" customWidth="1"/>
    <col min="31" max="31" width="11.5703125" bestFit="1" customWidth="1"/>
    <col min="32" max="32" width="12.42578125" bestFit="1" customWidth="1"/>
    <col min="33" max="33" width="11.5703125" bestFit="1" customWidth="1"/>
    <col min="34" max="34" width="7.7109375" bestFit="1" customWidth="1"/>
    <col min="35" max="35" width="12.28515625" bestFit="1" customWidth="1"/>
    <col min="36" max="36" width="12.5703125" bestFit="1" customWidth="1"/>
    <col min="38" max="38" width="7" bestFit="1" customWidth="1"/>
  </cols>
  <sheetData>
    <row r="1" spans="1:38" ht="85.5">
      <c r="A1" s="9" t="s">
        <v>47</v>
      </c>
      <c r="B1" s="9" t="s">
        <v>28</v>
      </c>
      <c r="C1" s="9" t="s">
        <v>48</v>
      </c>
      <c r="D1" s="9" t="s">
        <v>49</v>
      </c>
      <c r="E1" s="9" t="s">
        <v>50</v>
      </c>
      <c r="F1" s="9"/>
      <c r="G1" s="9" t="s">
        <v>51</v>
      </c>
      <c r="H1" s="9" t="s">
        <v>52</v>
      </c>
      <c r="I1" s="9" t="s">
        <v>53</v>
      </c>
      <c r="J1" s="9" t="s">
        <v>54</v>
      </c>
      <c r="K1" s="9" t="s">
        <v>55</v>
      </c>
      <c r="L1" s="9" t="s">
        <v>56</v>
      </c>
      <c r="M1" s="9" t="s">
        <v>57</v>
      </c>
      <c r="N1" s="9" t="s">
        <v>58</v>
      </c>
      <c r="O1" s="9" t="s">
        <v>59</v>
      </c>
      <c r="P1" s="9" t="s">
        <v>60</v>
      </c>
      <c r="Q1" s="9" t="s">
        <v>61</v>
      </c>
      <c r="R1" s="13" t="s">
        <v>62</v>
      </c>
      <c r="S1" s="13" t="s">
        <v>63</v>
      </c>
      <c r="T1" s="13" t="s">
        <v>64</v>
      </c>
      <c r="U1" s="13" t="s">
        <v>65</v>
      </c>
      <c r="V1" s="13" t="s">
        <v>30</v>
      </c>
      <c r="W1" s="13" t="s">
        <v>31</v>
      </c>
      <c r="X1" s="13" t="s">
        <v>66</v>
      </c>
      <c r="Y1" s="13" t="s">
        <v>67</v>
      </c>
      <c r="Z1" s="13" t="s">
        <v>68</v>
      </c>
      <c r="AA1" s="13" t="s">
        <v>69</v>
      </c>
      <c r="AB1" s="13" t="s">
        <v>70</v>
      </c>
      <c r="AC1" s="13" t="s">
        <v>71</v>
      </c>
      <c r="AD1" s="13" t="s">
        <v>72</v>
      </c>
      <c r="AE1" s="13" t="s">
        <v>73</v>
      </c>
      <c r="AF1" s="13" t="s">
        <v>74</v>
      </c>
      <c r="AG1" s="13" t="s">
        <v>75</v>
      </c>
      <c r="AH1" s="13" t="s">
        <v>76</v>
      </c>
      <c r="AI1" s="13" t="s">
        <v>77</v>
      </c>
      <c r="AJ1" s="13" t="s">
        <v>78</v>
      </c>
    </row>
    <row r="2" spans="1:38">
      <c r="A2" t="s">
        <v>79</v>
      </c>
      <c r="B2" t="s">
        <v>35</v>
      </c>
      <c r="C2">
        <v>19.75</v>
      </c>
      <c r="D2" s="27">
        <v>46272</v>
      </c>
      <c r="E2" s="28">
        <v>0.39861111111111114</v>
      </c>
      <c r="F2" s="28"/>
      <c r="G2" s="28">
        <v>0.70625000000000004</v>
      </c>
      <c r="H2">
        <v>6.87</v>
      </c>
      <c r="I2">
        <v>0</v>
      </c>
      <c r="J2">
        <v>0</v>
      </c>
      <c r="L2">
        <v>0.34</v>
      </c>
      <c r="M2">
        <v>0.51</v>
      </c>
      <c r="N2">
        <v>6.87</v>
      </c>
      <c r="O2">
        <v>358.25</v>
      </c>
      <c r="P2">
        <v>26.99</v>
      </c>
      <c r="Q2">
        <v>0</v>
      </c>
      <c r="R2" s="15" t="str">
        <f>IF(A2&lt;&gt;"",IF(A2="Total","",A2),"")</f>
        <v>Scott Okano</v>
      </c>
      <c r="S2" s="15">
        <f t="shared" ref="S2:S65" si="0">IF(AND(D2&lt;&gt;"",A2&lt;&gt;"Total"),1,0)</f>
        <v>1</v>
      </c>
      <c r="T2" s="16">
        <f>IF(S2=1, DATE(YEAR(Settings!$B$3), MONTH(D2), DAY(D2)), "")</f>
        <v>46272</v>
      </c>
      <c r="U2" s="15" t="str">
        <f>IF(S2=1,IFERROR(INDEX(Settings!$B$12:$B$41,MATCH($B2,Settings!$A$12:$A$41,0)),"N"),"")</f>
        <v>N</v>
      </c>
      <c r="V2" s="15" t="str">
        <f>IF(S2=1,IFERROR(INDEX(Settings!$C$12:$C$41,MATCH($B2,Settings!$A$12:$A$41,0)),""),"")</f>
        <v>% of Tips</v>
      </c>
      <c r="W2" s="17">
        <f>IF(S2=1,IFERROR(INDEX(Settings!$D$12:$D$41,MATCH($B2,Settings!$A$12:$A$41,0)),0),0)</f>
        <v>0</v>
      </c>
      <c r="X2" s="18">
        <f t="shared" ref="X2:X65" si="1">IF(AND(S2=1,U2="Y"),IF(V2="% of Sales",O2*W2,IF(V2="% of Tips",P2*W2,0)),0)</f>
        <v>0</v>
      </c>
      <c r="Y2" s="18">
        <f t="shared" ref="Y2:Y65" si="2">IF(S2=1,P2-X2,"")</f>
        <v>26.99</v>
      </c>
      <c r="Z2" s="15" t="str">
        <f>IF(S2=1,IFERROR(INDEX(Settings!$E$12:$E$41,MATCH($B2,Settings!$A$12:$A$41,0)),"N"),"")</f>
        <v>Y</v>
      </c>
      <c r="AA2" s="17">
        <f>IF(S2=1,IFERROR(INDEX(Settings!$F$12:$F$41,MATCH($B2,Settings!$A$12:$A$41,0)),0),0)</f>
        <v>1</v>
      </c>
      <c r="AB2" s="15">
        <f>IF(S2=1,IFERROR(INDEX(Settings!$G$12:$G$41,MATCH($B2,Settings!$A$12:$A$41,0)),0),0)</f>
        <v>1</v>
      </c>
      <c r="AC2" s="18">
        <f t="shared" ref="AC2:AC65" si="3">IF(S2=1,SUMIFS($X$2:$X$601,$S$2:$S$601,1,$T$2:$T$601,T2),"")</f>
        <v>303.99</v>
      </c>
      <c r="AD2" s="15">
        <f t="shared" ref="AD2:AD65" si="4">IF(S2=1,SUMIFS($N$2:$N$601,$S$2:$S$601,1,$T$2:$T$601,T2,$B$2:$B$601,B2),"")</f>
        <v>25.299999999999997</v>
      </c>
      <c r="AE2" s="15">
        <f>IF(S2=1,SUMIFS($N$2:$N$601,$S$2:$S$601,1,$T$2:$T$601,T2,$Z$2:$Z$601,"Y"),"")</f>
        <v>25.299999999999997</v>
      </c>
      <c r="AF2" s="15">
        <f t="shared" ref="AF2:AF65" si="5">IF(S2=1,SUMPRODUCT(($S$2:$S$601=1)*($T$2:$T$601=T2)*($Z$2:$Z$601="Y")*($N$2:$N$601)*($AB$2:$AB$601)),"")</f>
        <v>25.299999999999997</v>
      </c>
      <c r="AG2" s="18">
        <f>IF(AND(S2=1,Z2="Y"),IF(Settings!$B$6="Percentage",IF(AD2=0,0,AC2*AA2*(N2/AD2)),IF(Settings!$B$6="Points",IF(AF2=0,0,AC2*(N2*AB2)/AF2),IF(Settings!$B$6="Equally",IF(AE2=0,0,AC2*N2/AE2),0))),0)</f>
        <v>82.545901185770774</v>
      </c>
      <c r="AH2" s="18">
        <f t="shared" ref="AH2:AH65" si="6">IF(S2=1,Y2+AG2,"")</f>
        <v>109.53590118577077</v>
      </c>
      <c r="AI2" s="15">
        <f>IF(S2=1,IF(COUNTIFS($R$2:R2,R2,$S$2:S2,1)=1,1,0),0)</f>
        <v>1</v>
      </c>
      <c r="AJ2" s="15">
        <f>SUM($AI$2:AI2)</f>
        <v>1</v>
      </c>
      <c r="AL2">
        <f>IF(S2=1,SUMIF(D2:D67,D2,P2:P67))</f>
        <v>124.30999999999999</v>
      </c>
    </row>
    <row r="3" spans="1:38">
      <c r="B3" t="s">
        <v>35</v>
      </c>
      <c r="C3">
        <v>19.75</v>
      </c>
      <c r="D3" s="27">
        <v>46274</v>
      </c>
      <c r="E3" s="28">
        <v>0.38124999999999998</v>
      </c>
      <c r="F3" s="28"/>
      <c r="G3" s="28">
        <v>0.46180555555555558</v>
      </c>
      <c r="H3">
        <v>1.92</v>
      </c>
      <c r="I3">
        <v>0</v>
      </c>
      <c r="J3">
        <v>0</v>
      </c>
      <c r="L3">
        <v>0</v>
      </c>
      <c r="M3">
        <v>0</v>
      </c>
      <c r="N3">
        <v>1.92</v>
      </c>
      <c r="O3">
        <v>142.5</v>
      </c>
      <c r="P3">
        <v>11.68</v>
      </c>
      <c r="Q3">
        <v>0</v>
      </c>
      <c r="R3" s="15" t="str">
        <f t="shared" ref="R3:R66" si="7">IF(A3&lt;&gt;"",IF(A3="Total","",A3),IF(D3&lt;&gt;"",R2,""))</f>
        <v>Scott Okano</v>
      </c>
      <c r="S3" s="15">
        <f t="shared" si="0"/>
        <v>1</v>
      </c>
      <c r="T3" s="16">
        <f>IF(S3=1, DATE(YEAR(Settings!$B$3), MONTH(D3), DAY(D3)), "")</f>
        <v>46274</v>
      </c>
      <c r="U3" s="15" t="str">
        <f>IF(S3=1,IFERROR(INDEX(Settings!$B$12:$B$41,MATCH($B3,Settings!$A$12:$A$41,0)),"N"),"")</f>
        <v>N</v>
      </c>
      <c r="V3" s="15" t="str">
        <f>IF(S3=1,IFERROR(INDEX(Settings!$C$12:$C$41,MATCH($B3,Settings!$A$12:$A$41,0)),""),"")</f>
        <v>% of Tips</v>
      </c>
      <c r="W3" s="17">
        <f>IF(S3=1,IFERROR(INDEX(Settings!$D$12:$D$41,MATCH($B3,Settings!$A$12:$A$41,0)),0),0)</f>
        <v>0</v>
      </c>
      <c r="X3" s="18">
        <f t="shared" si="1"/>
        <v>0</v>
      </c>
      <c r="Y3" s="18">
        <f t="shared" si="2"/>
        <v>11.68</v>
      </c>
      <c r="Z3" s="15" t="str">
        <f>IF(S3=1,IFERROR(INDEX(Settings!$E$12:$E$41,MATCH($B3,Settings!$A$12:$A$41,0)),"N"),"")</f>
        <v>Y</v>
      </c>
      <c r="AA3" s="17">
        <f>IF(S3=1,IFERROR(INDEX(Settings!$F$12:$F$41,MATCH($B3,Settings!$A$12:$A$41,0)),0),0)</f>
        <v>1</v>
      </c>
      <c r="AB3" s="15">
        <f>IF(S3=1,IFERROR(INDEX(Settings!$G$12:$G$41,MATCH($B3,Settings!$A$12:$A$41,0)),0),0)</f>
        <v>1</v>
      </c>
      <c r="AC3" s="18">
        <f t="shared" si="3"/>
        <v>104.42</v>
      </c>
      <c r="AD3" s="15">
        <f t="shared" si="4"/>
        <v>10.98</v>
      </c>
      <c r="AE3" s="15">
        <f t="shared" ref="AE2:AE65" si="8">IF(S3=1,SUMIFS($N$2:$N$601,$S$2:$S$601,1,$T$2:$T$601,T3,$Z$2:$Z$601,"Y"),"")</f>
        <v>10.98</v>
      </c>
      <c r="AF3" s="15">
        <f t="shared" si="5"/>
        <v>10.98</v>
      </c>
      <c r="AG3" s="18">
        <f>IF(AND(S3=1,Z3="Y"),IF(Settings!$B$6="Percentage",IF(AD3=0,0,AC3*AA3*(N3/AD3)),IF(Settings!$B$6="Points",IF(AF3=0,0,AC3*(N3*AB3)/AF3),IF(Settings!$B$6="Equally",IF(AE3=0,0,AC3*N3/AE3),0))),0)</f>
        <v>18.259234972677596</v>
      </c>
      <c r="AH3" s="18">
        <f t="shared" si="6"/>
        <v>29.939234972677596</v>
      </c>
      <c r="AI3" s="15">
        <f>IF(S3=1,IF(COUNTIFS($R$2:R3,R3,$S$2:S3,1)=1,1,0),0)</f>
        <v>0</v>
      </c>
      <c r="AJ3" s="15">
        <f>SUM($AI$2:AI3)</f>
        <v>1</v>
      </c>
    </row>
    <row r="4" spans="1:38">
      <c r="B4" t="s">
        <v>35</v>
      </c>
      <c r="C4">
        <v>19.75</v>
      </c>
      <c r="D4" s="27">
        <v>46274</v>
      </c>
      <c r="E4" s="28">
        <v>0.53888888888888886</v>
      </c>
      <c r="F4" s="28"/>
      <c r="G4" s="28">
        <v>0.74722222222222223</v>
      </c>
      <c r="H4">
        <v>4.49</v>
      </c>
      <c r="I4">
        <v>0</v>
      </c>
      <c r="J4">
        <v>0</v>
      </c>
      <c r="L4">
        <v>0.17</v>
      </c>
      <c r="M4">
        <v>0.5</v>
      </c>
      <c r="N4">
        <v>4.49</v>
      </c>
      <c r="O4">
        <v>211</v>
      </c>
      <c r="P4">
        <v>19.66</v>
      </c>
      <c r="Q4">
        <v>0</v>
      </c>
      <c r="R4" s="15" t="str">
        <f t="shared" si="7"/>
        <v>Scott Okano</v>
      </c>
      <c r="S4" s="15">
        <f t="shared" si="0"/>
        <v>1</v>
      </c>
      <c r="T4" s="16">
        <f>IF(S4=1, DATE(YEAR(Settings!$B$3), MONTH(D4), DAY(D4)), "")</f>
        <v>46274</v>
      </c>
      <c r="U4" s="15" t="str">
        <f>IF(S4=1,IFERROR(INDEX(Settings!$B$12:$B$41,MATCH($B4,Settings!$A$12:$A$41,0)),"N"),"")</f>
        <v>N</v>
      </c>
      <c r="V4" s="15" t="str">
        <f>IF(S4=1,IFERROR(INDEX(Settings!$C$12:$C$41,MATCH($B4,Settings!$A$12:$A$41,0)),""),"")</f>
        <v>% of Tips</v>
      </c>
      <c r="W4" s="17">
        <f>IF(S4=1,IFERROR(INDEX(Settings!$D$12:$D$41,MATCH($B4,Settings!$A$12:$A$41,0)),0),0)</f>
        <v>0</v>
      </c>
      <c r="X4" s="18">
        <f t="shared" si="1"/>
        <v>0</v>
      </c>
      <c r="Y4" s="18">
        <f t="shared" si="2"/>
        <v>19.66</v>
      </c>
      <c r="Z4" s="15" t="str">
        <f>IF(S4=1,IFERROR(INDEX(Settings!$E$12:$E$41,MATCH($B4,Settings!$A$12:$A$41,0)),"N"),"")</f>
        <v>Y</v>
      </c>
      <c r="AA4" s="17">
        <f>IF(S4=1,IFERROR(INDEX(Settings!$F$12:$F$41,MATCH($B4,Settings!$A$12:$A$41,0)),0),0)</f>
        <v>1</v>
      </c>
      <c r="AB4" s="15">
        <f>IF(S4=1,IFERROR(INDEX(Settings!$G$12:$G$41,MATCH($B4,Settings!$A$12:$A$41,0)),0),0)</f>
        <v>1</v>
      </c>
      <c r="AC4" s="18">
        <f t="shared" si="3"/>
        <v>104.42</v>
      </c>
      <c r="AD4" s="15">
        <f t="shared" si="4"/>
        <v>10.98</v>
      </c>
      <c r="AE4" s="15">
        <f t="shared" si="8"/>
        <v>10.98</v>
      </c>
      <c r="AF4" s="15">
        <f t="shared" si="5"/>
        <v>10.98</v>
      </c>
      <c r="AG4" s="18">
        <f>IF(AND(S4=1,Z4="Y"),IF(Settings!$B$6="Percentage",IF(AD4=0,0,AC4*AA4*(N4/AD4)),IF(Settings!$B$6="Points",IF(AF4=0,0,AC4*(N4*AB4)/AF4),IF(Settings!$B$6="Equally",IF(AE4=0,0,AC4*N4/AE4),0))),0)</f>
        <v>42.699981785063756</v>
      </c>
      <c r="AH4" s="18">
        <f t="shared" si="6"/>
        <v>62.359981785063752</v>
      </c>
      <c r="AI4" s="15">
        <f>IF(S4=1,IF(COUNTIFS($R$2:R4,R4,$S$2:S4,1)=1,1,0),0)</f>
        <v>0</v>
      </c>
      <c r="AJ4" s="15">
        <f>SUM($AI$2:AI4)</f>
        <v>1</v>
      </c>
    </row>
    <row r="5" spans="1:38">
      <c r="B5" t="s">
        <v>35</v>
      </c>
      <c r="C5">
        <v>19.75</v>
      </c>
      <c r="D5" s="27">
        <v>46276</v>
      </c>
      <c r="E5" s="28">
        <v>0.52083333333333337</v>
      </c>
      <c r="F5" s="28"/>
      <c r="G5" s="28">
        <v>0.76180555555555551</v>
      </c>
      <c r="H5">
        <v>5.3</v>
      </c>
      <c r="I5">
        <v>0</v>
      </c>
      <c r="J5">
        <v>0</v>
      </c>
      <c r="L5">
        <v>0.17</v>
      </c>
      <c r="M5">
        <v>0.5</v>
      </c>
      <c r="N5">
        <v>5.3</v>
      </c>
      <c r="O5">
        <v>227.31</v>
      </c>
      <c r="P5">
        <v>23.53</v>
      </c>
      <c r="Q5">
        <v>0</v>
      </c>
      <c r="R5" s="15" t="str">
        <f t="shared" si="7"/>
        <v>Scott Okano</v>
      </c>
      <c r="S5" s="15">
        <f t="shared" si="0"/>
        <v>1</v>
      </c>
      <c r="T5" s="16">
        <f>IF(S5=1, DATE(YEAR(Settings!$B$3), MONTH(D5), DAY(D5)), "")</f>
        <v>46276</v>
      </c>
      <c r="U5" s="15" t="str">
        <f>IF(S5=1,IFERROR(INDEX(Settings!$B$12:$B$41,MATCH($B5,Settings!$A$12:$A$41,0)),"N"),"")</f>
        <v>N</v>
      </c>
      <c r="V5" s="15" t="str">
        <f>IF(S5=1,IFERROR(INDEX(Settings!$C$12:$C$41,MATCH($B5,Settings!$A$12:$A$41,0)),""),"")</f>
        <v>% of Tips</v>
      </c>
      <c r="W5" s="17">
        <f>IF(S5=1,IFERROR(INDEX(Settings!$D$12:$D$41,MATCH($B5,Settings!$A$12:$A$41,0)),0),0)</f>
        <v>0</v>
      </c>
      <c r="X5" s="18">
        <f t="shared" si="1"/>
        <v>0</v>
      </c>
      <c r="Y5" s="18">
        <f t="shared" si="2"/>
        <v>23.53</v>
      </c>
      <c r="Z5" s="15" t="str">
        <f>IF(S5=1,IFERROR(INDEX(Settings!$E$12:$E$41,MATCH($B5,Settings!$A$12:$A$41,0)),"N"),"")</f>
        <v>Y</v>
      </c>
      <c r="AA5" s="17">
        <f>IF(S5=1,IFERROR(INDEX(Settings!$F$12:$F$41,MATCH($B5,Settings!$A$12:$A$41,0)),0),0)</f>
        <v>1</v>
      </c>
      <c r="AB5" s="15">
        <f>IF(S5=1,IFERROR(INDEX(Settings!$G$12:$G$41,MATCH($B5,Settings!$A$12:$A$41,0)),0),0)</f>
        <v>1</v>
      </c>
      <c r="AC5" s="18">
        <f t="shared" si="3"/>
        <v>87.710000000000008</v>
      </c>
      <c r="AD5" s="15">
        <f t="shared" si="4"/>
        <v>15.739999999999998</v>
      </c>
      <c r="AE5" s="15">
        <f t="shared" si="8"/>
        <v>15.739999999999998</v>
      </c>
      <c r="AF5" s="15">
        <f t="shared" si="5"/>
        <v>15.739999999999998</v>
      </c>
      <c r="AG5" s="18">
        <f>IF(AND(S5=1,Z5="Y"),IF(Settings!$B$6="Percentage",IF(AD5=0,0,AC5*AA5*(N5/AD5)),IF(Settings!$B$6="Points",IF(AF5=0,0,AC5*(N5*AB5)/AF5),IF(Settings!$B$6="Equally",IF(AE5=0,0,AC5*N5/AE5),0))),0)</f>
        <v>29.533862770012711</v>
      </c>
      <c r="AH5" s="18">
        <f t="shared" si="6"/>
        <v>53.063862770012712</v>
      </c>
      <c r="AI5" s="15">
        <f>IF(S5=1,IF(COUNTIFS($R$2:R5,R5,$S$2:S5,1)=1,1,0),0)</f>
        <v>0</v>
      </c>
      <c r="AJ5" s="15">
        <f>SUM($AI$2:AI5)</f>
        <v>1</v>
      </c>
    </row>
    <row r="6" spans="1:38">
      <c r="B6" t="s">
        <v>35</v>
      </c>
      <c r="C6">
        <v>19.75</v>
      </c>
      <c r="D6" s="27">
        <v>46279</v>
      </c>
      <c r="E6" s="28">
        <v>0.39652777777777776</v>
      </c>
      <c r="F6" s="28"/>
      <c r="G6" s="28">
        <v>0.72083333333333333</v>
      </c>
      <c r="H6">
        <v>7.23</v>
      </c>
      <c r="I6">
        <v>0</v>
      </c>
      <c r="J6">
        <v>0</v>
      </c>
      <c r="L6">
        <v>0.34</v>
      </c>
      <c r="M6">
        <v>0.54</v>
      </c>
      <c r="N6">
        <v>7.23</v>
      </c>
      <c r="O6">
        <v>476.56</v>
      </c>
      <c r="P6">
        <v>42.29</v>
      </c>
      <c r="Q6">
        <v>0</v>
      </c>
      <c r="R6" s="15" t="str">
        <f t="shared" si="7"/>
        <v>Scott Okano</v>
      </c>
      <c r="S6" s="15">
        <f t="shared" si="0"/>
        <v>1</v>
      </c>
      <c r="T6" s="16">
        <f>IF(S6=1, DATE(YEAR(Settings!$B$3), MONTH(D6), DAY(D6)), "")</f>
        <v>46279</v>
      </c>
      <c r="U6" s="15" t="str">
        <f>IF(S6=1,IFERROR(INDEX(Settings!$B$12:$B$41,MATCH($B6,Settings!$A$12:$A$41,0)),"N"),"")</f>
        <v>N</v>
      </c>
      <c r="V6" s="15" t="str">
        <f>IF(S6=1,IFERROR(INDEX(Settings!$C$12:$C$41,MATCH($B6,Settings!$A$12:$A$41,0)),""),"")</f>
        <v>% of Tips</v>
      </c>
      <c r="W6" s="17">
        <f>IF(S6=1,IFERROR(INDEX(Settings!$D$12:$D$41,MATCH($B6,Settings!$A$12:$A$41,0)),0),0)</f>
        <v>0</v>
      </c>
      <c r="X6" s="18">
        <f t="shared" si="1"/>
        <v>0</v>
      </c>
      <c r="Y6" s="18">
        <f t="shared" si="2"/>
        <v>42.29</v>
      </c>
      <c r="Z6" s="15" t="str">
        <f>IF(S6=1,IFERROR(INDEX(Settings!$E$12:$E$41,MATCH($B6,Settings!$A$12:$A$41,0)),"N"),"")</f>
        <v>Y</v>
      </c>
      <c r="AA6" s="17">
        <f>IF(S6=1,IFERROR(INDEX(Settings!$F$12:$F$41,MATCH($B6,Settings!$A$12:$A$41,0)),0),0)</f>
        <v>1</v>
      </c>
      <c r="AB6" s="15">
        <f>IF(S6=1,IFERROR(INDEX(Settings!$G$12:$G$41,MATCH($B6,Settings!$A$12:$A$41,0)),0),0)</f>
        <v>1</v>
      </c>
      <c r="AC6" s="18">
        <f t="shared" si="3"/>
        <v>80.03</v>
      </c>
      <c r="AD6" s="15">
        <f t="shared" si="4"/>
        <v>7.23</v>
      </c>
      <c r="AE6" s="15">
        <f t="shared" si="8"/>
        <v>7.23</v>
      </c>
      <c r="AF6" s="15">
        <f t="shared" si="5"/>
        <v>7.23</v>
      </c>
      <c r="AG6" s="18">
        <f>IF(AND(S6=1,Z6="Y"),IF(Settings!$B$6="Percentage",IF(AD6=0,0,AC6*AA6*(N6/AD6)),IF(Settings!$B$6="Points",IF(AF6=0,0,AC6*(N6*AB6)/AF6),IF(Settings!$B$6="Equally",IF(AE6=0,0,AC6*N6/AE6),0))),0)</f>
        <v>80.029999999999987</v>
      </c>
      <c r="AH6" s="18">
        <f t="shared" si="6"/>
        <v>122.32</v>
      </c>
      <c r="AI6" s="15">
        <f>IF(S6=1,IF(COUNTIFS($R$2:R6,R6,$S$2:S6,1)=1,1,0),0)</f>
        <v>0</v>
      </c>
      <c r="AJ6" s="15">
        <f>SUM($AI$2:AI6)</f>
        <v>1</v>
      </c>
    </row>
    <row r="7" spans="1:38">
      <c r="B7" t="s">
        <v>35</v>
      </c>
      <c r="C7">
        <v>19.75</v>
      </c>
      <c r="D7" s="27">
        <v>46281</v>
      </c>
      <c r="E7" s="28">
        <v>0.5625</v>
      </c>
      <c r="F7" s="28"/>
      <c r="G7" s="28">
        <v>0.7416666666666667</v>
      </c>
      <c r="H7">
        <v>4.3</v>
      </c>
      <c r="I7">
        <v>0</v>
      </c>
      <c r="J7">
        <v>0</v>
      </c>
      <c r="L7">
        <v>0.17</v>
      </c>
      <c r="M7">
        <v>0</v>
      </c>
      <c r="N7">
        <v>4.3</v>
      </c>
      <c r="O7">
        <v>207.8</v>
      </c>
      <c r="P7">
        <v>21.6</v>
      </c>
      <c r="Q7">
        <v>0</v>
      </c>
      <c r="R7" s="15" t="str">
        <f t="shared" si="7"/>
        <v>Scott Okano</v>
      </c>
      <c r="S7" s="15">
        <f t="shared" si="0"/>
        <v>1</v>
      </c>
      <c r="T7" s="16">
        <f>IF(S7=1, DATE(YEAR(Settings!$B$3), MONTH(D7), DAY(D7)), "")</f>
        <v>46281</v>
      </c>
      <c r="U7" s="15" t="str">
        <f>IF(S7=1,IFERROR(INDEX(Settings!$B$12:$B$41,MATCH($B7,Settings!$A$12:$A$41,0)),"N"),"")</f>
        <v>N</v>
      </c>
      <c r="V7" s="15" t="str">
        <f>IF(S7=1,IFERROR(INDEX(Settings!$C$12:$C$41,MATCH($B7,Settings!$A$12:$A$41,0)),""),"")</f>
        <v>% of Tips</v>
      </c>
      <c r="W7" s="17">
        <f>IF(S7=1,IFERROR(INDEX(Settings!$D$12:$D$41,MATCH($B7,Settings!$A$12:$A$41,0)),0),0)</f>
        <v>0</v>
      </c>
      <c r="X7" s="18">
        <f t="shared" si="1"/>
        <v>0</v>
      </c>
      <c r="Y7" s="18">
        <f t="shared" si="2"/>
        <v>21.6</v>
      </c>
      <c r="Z7" s="15" t="str">
        <f>IF(S7=1,IFERROR(INDEX(Settings!$E$12:$E$41,MATCH($B7,Settings!$A$12:$A$41,0)),"N"),"")</f>
        <v>Y</v>
      </c>
      <c r="AA7" s="17">
        <f>IF(S7=1,IFERROR(INDEX(Settings!$F$12:$F$41,MATCH($B7,Settings!$A$12:$A$41,0)),0),0)</f>
        <v>1</v>
      </c>
      <c r="AB7" s="15">
        <f>IF(S7=1,IFERROR(INDEX(Settings!$G$12:$G$41,MATCH($B7,Settings!$A$12:$A$41,0)),0),0)</f>
        <v>1</v>
      </c>
      <c r="AC7" s="18">
        <f t="shared" si="3"/>
        <v>81.58</v>
      </c>
      <c r="AD7" s="15">
        <f t="shared" si="4"/>
        <v>8.6499999999999986</v>
      </c>
      <c r="AE7" s="15">
        <f t="shared" si="8"/>
        <v>8.6499999999999986</v>
      </c>
      <c r="AF7" s="15">
        <f t="shared" si="5"/>
        <v>8.6499999999999986</v>
      </c>
      <c r="AG7" s="18">
        <f>IF(AND(S7=1,Z7="Y"),IF(Settings!$B$6="Percentage",IF(AD7=0,0,AC7*AA7*(N7/AD7)),IF(Settings!$B$6="Points",IF(AF7=0,0,AC7*(N7*AB7)/AF7),IF(Settings!$B$6="Equally",IF(AE7=0,0,AC7*N7/AE7),0))),0)</f>
        <v>40.554219653179196</v>
      </c>
      <c r="AH7" s="18">
        <f t="shared" si="6"/>
        <v>62.154219653179197</v>
      </c>
      <c r="AI7" s="15">
        <f>IF(S7=1,IF(COUNTIFS($R$2:R7,R7,$S$2:S7,1)=1,1,0),0)</f>
        <v>0</v>
      </c>
      <c r="AJ7" s="15">
        <f>SUM($AI$2:AI7)</f>
        <v>1</v>
      </c>
    </row>
    <row r="8" spans="1:38">
      <c r="B8" t="s">
        <v>35</v>
      </c>
      <c r="C8">
        <v>19.75</v>
      </c>
      <c r="D8" s="27">
        <v>46283</v>
      </c>
      <c r="E8" s="28">
        <v>0.58333333333333337</v>
      </c>
      <c r="F8" s="28"/>
      <c r="G8" s="28">
        <v>0.7680555555555556</v>
      </c>
      <c r="H8">
        <v>4.43</v>
      </c>
      <c r="I8">
        <v>0</v>
      </c>
      <c r="J8">
        <v>0</v>
      </c>
      <c r="L8">
        <v>0.17</v>
      </c>
      <c r="M8">
        <v>0</v>
      </c>
      <c r="N8">
        <v>4.43</v>
      </c>
      <c r="O8">
        <v>248.35</v>
      </c>
      <c r="P8">
        <v>21.26</v>
      </c>
      <c r="Q8">
        <v>0</v>
      </c>
      <c r="R8" s="15" t="str">
        <f t="shared" si="7"/>
        <v>Scott Okano</v>
      </c>
      <c r="S8" s="15">
        <f t="shared" si="0"/>
        <v>1</v>
      </c>
      <c r="T8" s="16">
        <f>IF(S8=1, DATE(YEAR(Settings!$B$3), MONTH(D8), DAY(D8)), "")</f>
        <v>46283</v>
      </c>
      <c r="U8" s="15" t="str">
        <f>IF(S8=1,IFERROR(INDEX(Settings!$B$12:$B$41,MATCH($B8,Settings!$A$12:$A$41,0)),"N"),"")</f>
        <v>N</v>
      </c>
      <c r="V8" s="15" t="str">
        <f>IF(S8=1,IFERROR(INDEX(Settings!$C$12:$C$41,MATCH($B8,Settings!$A$12:$A$41,0)),""),"")</f>
        <v>% of Tips</v>
      </c>
      <c r="W8" s="17">
        <f>IF(S8=1,IFERROR(INDEX(Settings!$D$12:$D$41,MATCH($B8,Settings!$A$12:$A$41,0)),0),0)</f>
        <v>0</v>
      </c>
      <c r="X8" s="18">
        <f t="shared" si="1"/>
        <v>0</v>
      </c>
      <c r="Y8" s="18">
        <f t="shared" si="2"/>
        <v>21.26</v>
      </c>
      <c r="Z8" s="15" t="str">
        <f>IF(S8=1,IFERROR(INDEX(Settings!$E$12:$E$41,MATCH($B8,Settings!$A$12:$A$41,0)),"N"),"")</f>
        <v>Y</v>
      </c>
      <c r="AA8" s="17">
        <f>IF(S8=1,IFERROR(INDEX(Settings!$F$12:$F$41,MATCH($B8,Settings!$A$12:$A$41,0)),0),0)</f>
        <v>1</v>
      </c>
      <c r="AB8" s="15">
        <f>IF(S8=1,IFERROR(INDEX(Settings!$G$12:$G$41,MATCH($B8,Settings!$A$12:$A$41,0)),0),0)</f>
        <v>1</v>
      </c>
      <c r="AC8" s="18">
        <f t="shared" si="3"/>
        <v>84.09</v>
      </c>
      <c r="AD8" s="15">
        <f t="shared" si="4"/>
        <v>12.5</v>
      </c>
      <c r="AE8" s="15">
        <f t="shared" si="8"/>
        <v>12.5</v>
      </c>
      <c r="AF8" s="15">
        <f t="shared" si="5"/>
        <v>12.5</v>
      </c>
      <c r="AG8" s="18">
        <f>IF(AND(S8=1,Z8="Y"),IF(Settings!$B$6="Percentage",IF(AD8=0,0,AC8*AA8*(N8/AD8)),IF(Settings!$B$6="Points",IF(AF8=0,0,AC8*(N8*AB8)/AF8),IF(Settings!$B$6="Equally",IF(AE8=0,0,AC8*N8/AE8),0))),0)</f>
        <v>29.801495999999997</v>
      </c>
      <c r="AH8" s="18">
        <f t="shared" si="6"/>
        <v>51.061495999999998</v>
      </c>
      <c r="AI8" s="15">
        <f>IF(S8=1,IF(COUNTIFS($R$2:R8,R8,$S$2:S8,1)=1,1,0),0)</f>
        <v>0</v>
      </c>
      <c r="AJ8" s="15">
        <f>SUM($AI$2:AI8)</f>
        <v>1</v>
      </c>
    </row>
    <row r="9" spans="1:38">
      <c r="B9" t="s">
        <v>35</v>
      </c>
      <c r="C9">
        <v>19.75</v>
      </c>
      <c r="D9" s="27">
        <v>46284</v>
      </c>
      <c r="E9" s="28">
        <v>0.41597222222222224</v>
      </c>
      <c r="F9" s="28"/>
      <c r="G9" s="28">
        <v>0.70972222222222225</v>
      </c>
      <c r="H9">
        <v>6.54</v>
      </c>
      <c r="I9">
        <v>0</v>
      </c>
      <c r="J9">
        <v>0</v>
      </c>
      <c r="L9">
        <v>0.34</v>
      </c>
      <c r="M9">
        <v>0.51</v>
      </c>
      <c r="N9">
        <v>6.54</v>
      </c>
      <c r="O9">
        <v>1276.42</v>
      </c>
      <c r="P9">
        <v>77.400000000000006</v>
      </c>
      <c r="Q9">
        <v>0</v>
      </c>
      <c r="R9" s="15" t="str">
        <f t="shared" si="7"/>
        <v>Scott Okano</v>
      </c>
      <c r="S9" s="15">
        <f t="shared" si="0"/>
        <v>1</v>
      </c>
      <c r="T9" s="16">
        <f>IF(S9=1, DATE(YEAR(Settings!$B$3), MONTH(D9), DAY(D9)), "")</f>
        <v>46284</v>
      </c>
      <c r="U9" s="15" t="str">
        <f>IF(S9=1,IFERROR(INDEX(Settings!$B$12:$B$41,MATCH($B9,Settings!$A$12:$A$41,0)),"N"),"")</f>
        <v>N</v>
      </c>
      <c r="V9" s="15" t="str">
        <f>IF(S9=1,IFERROR(INDEX(Settings!$C$12:$C$41,MATCH($B9,Settings!$A$12:$A$41,0)),""),"")</f>
        <v>% of Tips</v>
      </c>
      <c r="W9" s="17">
        <f>IF(S9=1,IFERROR(INDEX(Settings!$D$12:$D$41,MATCH($B9,Settings!$A$12:$A$41,0)),0),0)</f>
        <v>0</v>
      </c>
      <c r="X9" s="18">
        <f t="shared" si="1"/>
        <v>0</v>
      </c>
      <c r="Y9" s="18">
        <f t="shared" si="2"/>
        <v>77.400000000000006</v>
      </c>
      <c r="Z9" s="15" t="str">
        <f>IF(S9=1,IFERROR(INDEX(Settings!$E$12:$E$41,MATCH($B9,Settings!$A$12:$A$41,0)),"N"),"")</f>
        <v>Y</v>
      </c>
      <c r="AA9" s="17">
        <f>IF(S9=1,IFERROR(INDEX(Settings!$F$12:$F$41,MATCH($B9,Settings!$A$12:$A$41,0)),0),0)</f>
        <v>1</v>
      </c>
      <c r="AB9" s="15">
        <f>IF(S9=1,IFERROR(INDEX(Settings!$G$12:$G$41,MATCH($B9,Settings!$A$12:$A$41,0)),0),0)</f>
        <v>1</v>
      </c>
      <c r="AC9" s="18">
        <f t="shared" si="3"/>
        <v>190.57</v>
      </c>
      <c r="AD9" s="15">
        <f t="shared" si="4"/>
        <v>28</v>
      </c>
      <c r="AE9" s="15">
        <f t="shared" si="8"/>
        <v>28</v>
      </c>
      <c r="AF9" s="15">
        <f t="shared" si="5"/>
        <v>28</v>
      </c>
      <c r="AG9" s="18">
        <f>IF(AND(S9=1,Z9="Y"),IF(Settings!$B$6="Percentage",IF(AD9=0,0,AC9*AA9*(N9/AD9)),IF(Settings!$B$6="Points",IF(AF9=0,0,AC9*(N9*AB9)/AF9),IF(Settings!$B$6="Equally",IF(AE9=0,0,AC9*N9/AE9),0))),0)</f>
        <v>44.511707142857141</v>
      </c>
      <c r="AH9" s="18">
        <f t="shared" si="6"/>
        <v>121.91170714285715</v>
      </c>
      <c r="AI9" s="15">
        <f>IF(S9=1,IF(COUNTIFS($R$2:R9,R9,$S$2:S9,1)=1,1,0),0)</f>
        <v>0</v>
      </c>
      <c r="AJ9" s="15">
        <f>SUM($AI$2:AI9)</f>
        <v>1</v>
      </c>
    </row>
    <row r="10" spans="1:38">
      <c r="A10" t="s">
        <v>80</v>
      </c>
      <c r="H10">
        <v>41.08</v>
      </c>
      <c r="I10">
        <v>0</v>
      </c>
      <c r="J10">
        <v>0</v>
      </c>
      <c r="K10">
        <v>0</v>
      </c>
      <c r="L10">
        <v>1.7</v>
      </c>
      <c r="M10">
        <v>2.56</v>
      </c>
      <c r="N10">
        <v>41.08</v>
      </c>
      <c r="O10">
        <v>3148.19</v>
      </c>
      <c r="P10">
        <v>244.41</v>
      </c>
      <c r="Q10">
        <v>0</v>
      </c>
      <c r="R10" s="15" t="str">
        <f t="shared" si="7"/>
        <v/>
      </c>
      <c r="S10" s="15">
        <f t="shared" si="0"/>
        <v>0</v>
      </c>
      <c r="T10" s="16" t="str">
        <f>IF(S10=1, DATE(YEAR(Settings!$B$3), MONTH(D10), DAY(D10)), "")</f>
        <v/>
      </c>
      <c r="U10" s="15" t="str">
        <f>IF(S10=1,IFERROR(INDEX(Settings!$B$12:$B$41,MATCH($B10,Settings!$A$12:$A$41,0)),"N"),"")</f>
        <v/>
      </c>
      <c r="V10" s="15" t="str">
        <f>IF(S10=1,IFERROR(INDEX(Settings!$C$12:$C$41,MATCH($B10,Settings!$A$12:$A$41,0)),""),"")</f>
        <v/>
      </c>
      <c r="W10" s="17">
        <f>IF(S10=1,IFERROR(INDEX(Settings!$D$12:$D$41,MATCH($B10,Settings!$A$12:$A$41,0)),0),0)</f>
        <v>0</v>
      </c>
      <c r="X10" s="18">
        <f t="shared" si="1"/>
        <v>0</v>
      </c>
      <c r="Y10" s="18" t="str">
        <f t="shared" si="2"/>
        <v/>
      </c>
      <c r="Z10" s="15" t="str">
        <f>IF(S10=1,IFERROR(INDEX(Settings!$E$12:$E$41,MATCH($B10,Settings!$A$12:$A$41,0)),"N"),"")</f>
        <v/>
      </c>
      <c r="AA10" s="17">
        <f>IF(S10=1,IFERROR(INDEX(Settings!$F$12:$F$41,MATCH($B10,Settings!$A$12:$A$41,0)),0),0)</f>
        <v>0</v>
      </c>
      <c r="AB10" s="15">
        <f>IF(S10=1,IFERROR(INDEX(Settings!$G$12:$G$41,MATCH($B10,Settings!$A$12:$A$41,0)),0),0)</f>
        <v>0</v>
      </c>
      <c r="AC10" s="18" t="str">
        <f t="shared" si="3"/>
        <v/>
      </c>
      <c r="AD10" s="15" t="str">
        <f t="shared" si="4"/>
        <v/>
      </c>
      <c r="AE10" s="15" t="str">
        <f t="shared" si="8"/>
        <v/>
      </c>
      <c r="AF10" s="15" t="str">
        <f t="shared" si="5"/>
        <v/>
      </c>
      <c r="AG10" s="18">
        <f>IF(AND(S10=1,Z10="Y"),IF(Settings!$B$6="Percentage",IF(AD10=0,0,AC10*AA10*(N10/AD10)),IF(Settings!$B$6="Points",IF(AF10=0,0,AC10*(N10*AB10)/AF10),IF(Settings!$B$6="Equally",IF(AE10=0,0,AC10*N10/AE10),0))),0)</f>
        <v>0</v>
      </c>
      <c r="AH10" s="18" t="str">
        <f t="shared" si="6"/>
        <v/>
      </c>
      <c r="AI10" s="15">
        <f>IF(S10=1,IF(COUNTIFS($R$2:R10,R10,$S$2:S10,1)=1,1,0),0)</f>
        <v>0</v>
      </c>
      <c r="AJ10" s="15">
        <f>SUM($AI$2:AI10)</f>
        <v>1</v>
      </c>
    </row>
    <row r="11" spans="1:38">
      <c r="R11" s="15" t="str">
        <f t="shared" si="7"/>
        <v/>
      </c>
      <c r="S11" s="15">
        <f t="shared" si="0"/>
        <v>0</v>
      </c>
      <c r="T11" s="16" t="str">
        <f>IF(S11=1, DATE(YEAR(Settings!$B$3), MONTH(D11), DAY(D11)), "")</f>
        <v/>
      </c>
      <c r="U11" s="15" t="str">
        <f>IF(S11=1,IFERROR(INDEX(Settings!$B$12:$B$41,MATCH($B11,Settings!$A$12:$A$41,0)),"N"),"")</f>
        <v/>
      </c>
      <c r="V11" s="15" t="str">
        <f>IF(S11=1,IFERROR(INDEX(Settings!$C$12:$C$41,MATCH($B11,Settings!$A$12:$A$41,0)),""),"")</f>
        <v/>
      </c>
      <c r="W11" s="17">
        <f>IF(S11=1,IFERROR(INDEX(Settings!$D$12:$D$41,MATCH($B11,Settings!$A$12:$A$41,0)),0),0)</f>
        <v>0</v>
      </c>
      <c r="X11" s="18">
        <f t="shared" si="1"/>
        <v>0</v>
      </c>
      <c r="Y11" s="18" t="str">
        <f t="shared" si="2"/>
        <v/>
      </c>
      <c r="Z11" s="15" t="str">
        <f>IF(S11=1,IFERROR(INDEX(Settings!$E$12:$E$41,MATCH($B11,Settings!$A$12:$A$41,0)),"N"),"")</f>
        <v/>
      </c>
      <c r="AA11" s="17">
        <f>IF(S11=1,IFERROR(INDEX(Settings!$F$12:$F$41,MATCH($B11,Settings!$A$12:$A$41,0)),0),0)</f>
        <v>0</v>
      </c>
      <c r="AB11" s="15">
        <f>IF(S11=1,IFERROR(INDEX(Settings!$G$12:$G$41,MATCH($B11,Settings!$A$12:$A$41,0)),0),0)</f>
        <v>0</v>
      </c>
      <c r="AC11" s="18" t="str">
        <f t="shared" si="3"/>
        <v/>
      </c>
      <c r="AD11" s="15" t="str">
        <f t="shared" si="4"/>
        <v/>
      </c>
      <c r="AE11" s="15" t="str">
        <f t="shared" si="8"/>
        <v/>
      </c>
      <c r="AF11" s="15" t="str">
        <f t="shared" si="5"/>
        <v/>
      </c>
      <c r="AG11" s="18">
        <f>IF(AND(S11=1,Z11="Y"),IF(Settings!$B$6="Percentage",IF(AD11=0,0,AC11*AA11*(N11/AD11)),IF(Settings!$B$6="Points",IF(AF11=0,0,AC11*(N11*AB11)/AF11),IF(Settings!$B$6="Equally",IF(AE11=0,0,AC11*N11/AE11),0))),0)</f>
        <v>0</v>
      </c>
      <c r="AH11" s="18" t="str">
        <f t="shared" si="6"/>
        <v/>
      </c>
      <c r="AI11" s="15">
        <f>IF(S11=1,IF(COUNTIFS($R$2:R11,R11,$S$2:S11,1)=1,1,0),0)</f>
        <v>0</v>
      </c>
      <c r="AJ11" s="15">
        <f>SUM($AI$2:AI11)</f>
        <v>1</v>
      </c>
    </row>
    <row r="12" spans="1:38">
      <c r="A12" t="s">
        <v>81</v>
      </c>
      <c r="B12" t="s">
        <v>35</v>
      </c>
      <c r="C12">
        <v>19.61</v>
      </c>
      <c r="D12" s="27">
        <v>46278</v>
      </c>
      <c r="E12" s="28">
        <v>0.41597222222222224</v>
      </c>
      <c r="F12" s="28"/>
      <c r="G12" s="28">
        <v>0.70486111111111116</v>
      </c>
      <c r="H12">
        <v>6.42</v>
      </c>
      <c r="I12">
        <v>0</v>
      </c>
      <c r="J12">
        <v>0</v>
      </c>
      <c r="L12">
        <v>0.17</v>
      </c>
      <c r="M12">
        <v>0.52</v>
      </c>
      <c r="N12">
        <v>6.42</v>
      </c>
      <c r="O12">
        <v>1498.08</v>
      </c>
      <c r="P12">
        <v>117.29</v>
      </c>
      <c r="Q12">
        <v>0</v>
      </c>
      <c r="R12" s="15" t="str">
        <f t="shared" si="7"/>
        <v>Shamira Tesorero</v>
      </c>
      <c r="S12" s="15">
        <f t="shared" si="0"/>
        <v>1</v>
      </c>
      <c r="T12" s="16">
        <f>IF(S12=1, DATE(YEAR(Settings!$B$3), MONTH(D12), DAY(D12)), "")</f>
        <v>46278</v>
      </c>
      <c r="U12" s="15" t="str">
        <f>IF(S12=1,IFERROR(INDEX(Settings!$B$12:$B$41,MATCH($B12,Settings!$A$12:$A$41,0)),"N"),"")</f>
        <v>N</v>
      </c>
      <c r="V12" s="15" t="str">
        <f>IF(S12=1,IFERROR(INDEX(Settings!$C$12:$C$41,MATCH($B12,Settings!$A$12:$A$41,0)),""),"")</f>
        <v>% of Tips</v>
      </c>
      <c r="W12" s="17">
        <f>IF(S12=1,IFERROR(INDEX(Settings!$D$12:$D$41,MATCH($B12,Settings!$A$12:$A$41,0)),0),0)</f>
        <v>0</v>
      </c>
      <c r="X12" s="18">
        <f t="shared" si="1"/>
        <v>0</v>
      </c>
      <c r="Y12" s="18">
        <f t="shared" si="2"/>
        <v>117.29</v>
      </c>
      <c r="Z12" s="15" t="str">
        <f>IF(S12=1,IFERROR(INDEX(Settings!$E$12:$E$41,MATCH($B12,Settings!$A$12:$A$41,0)),"N"),"")</f>
        <v>Y</v>
      </c>
      <c r="AA12" s="17">
        <f>IF(S12=1,IFERROR(INDEX(Settings!$F$12:$F$41,MATCH($B12,Settings!$A$12:$A$41,0)),0),0)</f>
        <v>1</v>
      </c>
      <c r="AB12" s="15">
        <f>IF(S12=1,IFERROR(INDEX(Settings!$G$12:$G$41,MATCH($B12,Settings!$A$12:$A$41,0)),0),0)</f>
        <v>1</v>
      </c>
      <c r="AC12" s="18">
        <f t="shared" si="3"/>
        <v>242.76</v>
      </c>
      <c r="AD12" s="15">
        <f t="shared" si="4"/>
        <v>20.37</v>
      </c>
      <c r="AE12" s="15">
        <f t="shared" si="8"/>
        <v>20.37</v>
      </c>
      <c r="AF12" s="15">
        <f t="shared" si="5"/>
        <v>20.37</v>
      </c>
      <c r="AG12" s="18">
        <f>IF(AND(S12=1,Z12="Y"),IF(Settings!$B$6="Percentage",IF(AD12=0,0,AC12*AA12*(N12/AD12)),IF(Settings!$B$6="Points",IF(AF12=0,0,AC12*(N12*AB12)/AF12),IF(Settings!$B$6="Equally",IF(AE12=0,0,AC12*N12/AE12),0))),0)</f>
        <v>76.510515463917514</v>
      </c>
      <c r="AH12" s="18">
        <f t="shared" si="6"/>
        <v>193.80051546391752</v>
      </c>
      <c r="AI12" s="15">
        <f>IF(S12=1,IF(COUNTIFS($R$2:R12,R12,$S$2:S12,1)=1,1,0),0)</f>
        <v>1</v>
      </c>
      <c r="AJ12" s="15">
        <f>SUM($AI$2:AI12)</f>
        <v>2</v>
      </c>
    </row>
    <row r="13" spans="1:38">
      <c r="B13" t="s">
        <v>35</v>
      </c>
      <c r="C13">
        <v>19.61</v>
      </c>
      <c r="D13" s="27">
        <v>46284</v>
      </c>
      <c r="E13" s="28">
        <v>0.39513888888888887</v>
      </c>
      <c r="F13" s="28"/>
      <c r="G13" s="28">
        <v>0.62986111111111109</v>
      </c>
      <c r="H13">
        <v>5.0599999999999996</v>
      </c>
      <c r="I13">
        <v>0</v>
      </c>
      <c r="J13">
        <v>0</v>
      </c>
      <c r="L13">
        <v>0.17</v>
      </c>
      <c r="M13">
        <v>0.59</v>
      </c>
      <c r="N13">
        <v>5.0599999999999996</v>
      </c>
      <c r="O13">
        <v>412.2</v>
      </c>
      <c r="P13">
        <v>42.71</v>
      </c>
      <c r="Q13">
        <v>0</v>
      </c>
      <c r="R13" s="15" t="str">
        <f t="shared" si="7"/>
        <v>Shamira Tesorero</v>
      </c>
      <c r="S13" s="15">
        <f t="shared" si="0"/>
        <v>1</v>
      </c>
      <c r="T13" s="16">
        <f>IF(S13=1, DATE(YEAR(Settings!$B$3), MONTH(D13), DAY(D13)), "")</f>
        <v>46284</v>
      </c>
      <c r="U13" s="15" t="str">
        <f>IF(S13=1,IFERROR(INDEX(Settings!$B$12:$B$41,MATCH($B13,Settings!$A$12:$A$41,0)),"N"),"")</f>
        <v>N</v>
      </c>
      <c r="V13" s="15" t="str">
        <f>IF(S13=1,IFERROR(INDEX(Settings!$C$12:$C$41,MATCH($B13,Settings!$A$12:$A$41,0)),""),"")</f>
        <v>% of Tips</v>
      </c>
      <c r="W13" s="17">
        <f>IF(S13=1,IFERROR(INDEX(Settings!$D$12:$D$41,MATCH($B13,Settings!$A$12:$A$41,0)),0),0)</f>
        <v>0</v>
      </c>
      <c r="X13" s="18">
        <f t="shared" si="1"/>
        <v>0</v>
      </c>
      <c r="Y13" s="18">
        <f t="shared" si="2"/>
        <v>42.71</v>
      </c>
      <c r="Z13" s="15" t="str">
        <f>IF(S13=1,IFERROR(INDEX(Settings!$E$12:$E$41,MATCH($B13,Settings!$A$12:$A$41,0)),"N"),"")</f>
        <v>Y</v>
      </c>
      <c r="AA13" s="17">
        <f>IF(S13=1,IFERROR(INDEX(Settings!$F$12:$F$41,MATCH($B13,Settings!$A$12:$A$41,0)),0),0)</f>
        <v>1</v>
      </c>
      <c r="AB13" s="15">
        <f>IF(S13=1,IFERROR(INDEX(Settings!$G$12:$G$41,MATCH($B13,Settings!$A$12:$A$41,0)),0),0)</f>
        <v>1</v>
      </c>
      <c r="AC13" s="18">
        <f t="shared" si="3"/>
        <v>190.57</v>
      </c>
      <c r="AD13" s="15">
        <f t="shared" si="4"/>
        <v>28</v>
      </c>
      <c r="AE13" s="15">
        <f t="shared" si="8"/>
        <v>28</v>
      </c>
      <c r="AF13" s="15">
        <f t="shared" si="5"/>
        <v>28</v>
      </c>
      <c r="AG13" s="18">
        <f>IF(AND(S13=1,Z13="Y"),IF(Settings!$B$6="Percentage",IF(AD13=0,0,AC13*AA13*(N13/AD13)),IF(Settings!$B$6="Points",IF(AF13=0,0,AC13*(N13*AB13)/AF13),IF(Settings!$B$6="Equally",IF(AE13=0,0,AC13*N13/AE13),0))),0)</f>
        <v>34.438721428571426</v>
      </c>
      <c r="AH13" s="18">
        <f t="shared" si="6"/>
        <v>77.148721428571434</v>
      </c>
      <c r="AI13" s="15">
        <f>IF(S13=1,IF(COUNTIFS($R$2:R13,R13,$S$2:S13,1)=1,1,0),0)</f>
        <v>0</v>
      </c>
      <c r="AJ13" s="15">
        <f>SUM($AI$2:AI13)</f>
        <v>2</v>
      </c>
    </row>
    <row r="14" spans="1:38">
      <c r="B14" t="s">
        <v>35</v>
      </c>
      <c r="C14">
        <v>19.61</v>
      </c>
      <c r="D14" s="27">
        <v>46285</v>
      </c>
      <c r="E14" s="28">
        <v>0.41319444444444442</v>
      </c>
      <c r="F14" s="28"/>
      <c r="G14" s="28">
        <v>0.71111111111111114</v>
      </c>
      <c r="H14">
        <v>6.65</v>
      </c>
      <c r="I14">
        <v>0</v>
      </c>
      <c r="J14">
        <v>0</v>
      </c>
      <c r="L14">
        <v>0.34</v>
      </c>
      <c r="M14">
        <v>0.51</v>
      </c>
      <c r="N14">
        <v>6.65</v>
      </c>
      <c r="O14">
        <v>858.77</v>
      </c>
      <c r="P14">
        <v>66.56</v>
      </c>
      <c r="Q14">
        <v>0</v>
      </c>
      <c r="R14" s="15" t="str">
        <f t="shared" si="7"/>
        <v>Shamira Tesorero</v>
      </c>
      <c r="S14" s="15">
        <f t="shared" si="0"/>
        <v>1</v>
      </c>
      <c r="T14" s="16">
        <f>IF(S14=1, DATE(YEAR(Settings!$B$3), MONTH(D14), DAY(D14)), "")</f>
        <v>46285</v>
      </c>
      <c r="U14" s="15" t="str">
        <f>IF(S14=1,IFERROR(INDEX(Settings!$B$12:$B$41,MATCH($B14,Settings!$A$12:$A$41,0)),"N"),"")</f>
        <v>N</v>
      </c>
      <c r="V14" s="15" t="str">
        <f>IF(S14=1,IFERROR(INDEX(Settings!$C$12:$C$41,MATCH($B14,Settings!$A$12:$A$41,0)),""),"")</f>
        <v>% of Tips</v>
      </c>
      <c r="W14" s="17">
        <f>IF(S14=1,IFERROR(INDEX(Settings!$D$12:$D$41,MATCH($B14,Settings!$A$12:$A$41,0)),0),0)</f>
        <v>0</v>
      </c>
      <c r="X14" s="18">
        <f t="shared" si="1"/>
        <v>0</v>
      </c>
      <c r="Y14" s="18">
        <f t="shared" si="2"/>
        <v>66.56</v>
      </c>
      <c r="Z14" s="15" t="str">
        <f>IF(S14=1,IFERROR(INDEX(Settings!$E$12:$E$41,MATCH($B14,Settings!$A$12:$A$41,0)),"N"),"")</f>
        <v>Y</v>
      </c>
      <c r="AA14" s="17">
        <f>IF(S14=1,IFERROR(INDEX(Settings!$F$12:$F$41,MATCH($B14,Settings!$A$12:$A$41,0)),0),0)</f>
        <v>1</v>
      </c>
      <c r="AB14" s="15">
        <f>IF(S14=1,IFERROR(INDEX(Settings!$G$12:$G$41,MATCH($B14,Settings!$A$12:$A$41,0)),0),0)</f>
        <v>1</v>
      </c>
      <c r="AC14" s="18">
        <f t="shared" si="3"/>
        <v>146.5</v>
      </c>
      <c r="AD14" s="15">
        <f t="shared" si="4"/>
        <v>22.34</v>
      </c>
      <c r="AE14" s="15">
        <f t="shared" si="8"/>
        <v>22.34</v>
      </c>
      <c r="AF14" s="15">
        <f t="shared" si="5"/>
        <v>22.34</v>
      </c>
      <c r="AG14" s="18">
        <f>IF(AND(S14=1,Z14="Y"),IF(Settings!$B$6="Percentage",IF(AD14=0,0,AC14*AA14*(N14/AD14)),IF(Settings!$B$6="Points",IF(AF14=0,0,AC14*(N14*AB14)/AF14),IF(Settings!$B$6="Equally",IF(AE14=0,0,AC14*N14/AE14),0))),0)</f>
        <v>43.608997314234557</v>
      </c>
      <c r="AH14" s="18">
        <f t="shared" si="6"/>
        <v>110.16899731423456</v>
      </c>
      <c r="AI14" s="15">
        <f>IF(S14=1,IF(COUNTIFS($R$2:R14,R14,$S$2:S14,1)=1,1,0),0)</f>
        <v>0</v>
      </c>
      <c r="AJ14" s="15">
        <f>SUM($AI$2:AI14)</f>
        <v>2</v>
      </c>
    </row>
    <row r="15" spans="1:38">
      <c r="A15" t="s">
        <v>80</v>
      </c>
      <c r="H15">
        <v>18.13</v>
      </c>
      <c r="I15">
        <v>0</v>
      </c>
      <c r="J15">
        <v>0</v>
      </c>
      <c r="K15">
        <v>0</v>
      </c>
      <c r="L15">
        <v>0.68</v>
      </c>
      <c r="M15">
        <v>1.62</v>
      </c>
      <c r="N15">
        <v>18.13</v>
      </c>
      <c r="O15">
        <v>2769.05</v>
      </c>
      <c r="P15">
        <v>226.56</v>
      </c>
      <c r="Q15">
        <v>0</v>
      </c>
      <c r="R15" s="15" t="str">
        <f t="shared" si="7"/>
        <v/>
      </c>
      <c r="S15" s="15">
        <f t="shared" si="0"/>
        <v>0</v>
      </c>
      <c r="T15" s="16" t="str">
        <f>IF(S15=1, DATE(YEAR(Settings!$B$3), MONTH(D15), DAY(D15)), "")</f>
        <v/>
      </c>
      <c r="U15" s="15" t="str">
        <f>IF(S15=1,IFERROR(INDEX(Settings!$B$12:$B$41,MATCH($B15,Settings!$A$12:$A$41,0)),"N"),"")</f>
        <v/>
      </c>
      <c r="V15" s="15" t="str">
        <f>IF(S15=1,IFERROR(INDEX(Settings!$C$12:$C$41,MATCH($B15,Settings!$A$12:$A$41,0)),""),"")</f>
        <v/>
      </c>
      <c r="W15" s="17">
        <f>IF(S15=1,IFERROR(INDEX(Settings!$D$12:$D$41,MATCH($B15,Settings!$A$12:$A$41,0)),0),0)</f>
        <v>0</v>
      </c>
      <c r="X15" s="18">
        <f t="shared" si="1"/>
        <v>0</v>
      </c>
      <c r="Y15" s="18" t="str">
        <f t="shared" si="2"/>
        <v/>
      </c>
      <c r="Z15" s="15" t="str">
        <f>IF(S15=1,IFERROR(INDEX(Settings!$E$12:$E$41,MATCH($B15,Settings!$A$12:$A$41,0)),"N"),"")</f>
        <v/>
      </c>
      <c r="AA15" s="17">
        <f>IF(S15=1,IFERROR(INDEX(Settings!$F$12:$F$41,MATCH($B15,Settings!$A$12:$A$41,0)),0),0)</f>
        <v>0</v>
      </c>
      <c r="AB15" s="15">
        <f>IF(S15=1,IFERROR(INDEX(Settings!$G$12:$G$41,MATCH($B15,Settings!$A$12:$A$41,0)),0),0)</f>
        <v>0</v>
      </c>
      <c r="AC15" s="18" t="str">
        <f t="shared" si="3"/>
        <v/>
      </c>
      <c r="AD15" s="15" t="str">
        <f t="shared" si="4"/>
        <v/>
      </c>
      <c r="AE15" s="15" t="str">
        <f t="shared" si="8"/>
        <v/>
      </c>
      <c r="AF15" s="15" t="str">
        <f t="shared" si="5"/>
        <v/>
      </c>
      <c r="AG15" s="18">
        <f>IF(AND(S15=1,Z15="Y"),IF(Settings!$B$6="Percentage",IF(AD15=0,0,AC15*AA15*(N15/AD15)),IF(Settings!$B$6="Points",IF(AF15=0,0,AC15*(N15*AB15)/AF15),IF(Settings!$B$6="Equally",IF(AE15=0,0,AC15*N15/AE15),0))),0)</f>
        <v>0</v>
      </c>
      <c r="AH15" s="18" t="str">
        <f t="shared" si="6"/>
        <v/>
      </c>
      <c r="AI15" s="15">
        <f>IF(S15=1,IF(COUNTIFS($R$2:R15,R15,$S$2:S15,1)=1,1,0),0)</f>
        <v>0</v>
      </c>
      <c r="AJ15" s="15">
        <f>SUM($AI$2:AI15)</f>
        <v>2</v>
      </c>
    </row>
    <row r="16" spans="1:38">
      <c r="R16" s="15" t="str">
        <f t="shared" si="7"/>
        <v/>
      </c>
      <c r="S16" s="15">
        <f t="shared" si="0"/>
        <v>0</v>
      </c>
      <c r="T16" s="16" t="str">
        <f>IF(S16=1, DATE(YEAR(Settings!$B$3), MONTH(D16), DAY(D16)), "")</f>
        <v/>
      </c>
      <c r="U16" s="15" t="str">
        <f>IF(S16=1,IFERROR(INDEX(Settings!$B$12:$B$41,MATCH($B16,Settings!$A$12:$A$41,0)),"N"),"")</f>
        <v/>
      </c>
      <c r="V16" s="15" t="str">
        <f>IF(S16=1,IFERROR(INDEX(Settings!$C$12:$C$41,MATCH($B16,Settings!$A$12:$A$41,0)),""),"")</f>
        <v/>
      </c>
      <c r="W16" s="17">
        <f>IF(S16=1,IFERROR(INDEX(Settings!$D$12:$D$41,MATCH($B16,Settings!$A$12:$A$41,0)),0),0)</f>
        <v>0</v>
      </c>
      <c r="X16" s="18">
        <f t="shared" si="1"/>
        <v>0</v>
      </c>
      <c r="Y16" s="18" t="str">
        <f t="shared" si="2"/>
        <v/>
      </c>
      <c r="Z16" s="15" t="str">
        <f>IF(S16=1,IFERROR(INDEX(Settings!$E$12:$E$41,MATCH($B16,Settings!$A$12:$A$41,0)),"N"),"")</f>
        <v/>
      </c>
      <c r="AA16" s="17">
        <f>IF(S16=1,IFERROR(INDEX(Settings!$F$12:$F$41,MATCH($B16,Settings!$A$12:$A$41,0)),0),0)</f>
        <v>0</v>
      </c>
      <c r="AB16" s="15">
        <f>IF(S16=1,IFERROR(INDEX(Settings!$G$12:$G$41,MATCH($B16,Settings!$A$12:$A$41,0)),0),0)</f>
        <v>0</v>
      </c>
      <c r="AC16" s="18" t="str">
        <f t="shared" si="3"/>
        <v/>
      </c>
      <c r="AD16" s="15" t="str">
        <f t="shared" si="4"/>
        <v/>
      </c>
      <c r="AE16" s="15" t="str">
        <f t="shared" si="8"/>
        <v/>
      </c>
      <c r="AF16" s="15" t="str">
        <f t="shared" si="5"/>
        <v/>
      </c>
      <c r="AG16" s="18">
        <f>IF(AND(S16=1,Z16="Y"),IF(Settings!$B$6="Percentage",IF(AD16=0,0,AC16*AA16*(N16/AD16)),IF(Settings!$B$6="Points",IF(AF16=0,0,AC16*(N16*AB16)/AF16),IF(Settings!$B$6="Equally",IF(AE16=0,0,AC16*N16/AE16),0))),0)</f>
        <v>0</v>
      </c>
      <c r="AH16" s="18" t="str">
        <f t="shared" si="6"/>
        <v/>
      </c>
      <c r="AI16" s="15">
        <f>IF(S16=1,IF(COUNTIFS($R$2:R16,R16,$S$2:S16,1)=1,1,0),0)</f>
        <v>0</v>
      </c>
      <c r="AJ16" s="15">
        <f>SUM($AI$2:AI16)</f>
        <v>2</v>
      </c>
    </row>
    <row r="17" spans="1:36">
      <c r="A17" t="s">
        <v>82</v>
      </c>
      <c r="B17" t="s">
        <v>35</v>
      </c>
      <c r="C17">
        <v>19.61</v>
      </c>
      <c r="D17" s="27">
        <v>46282</v>
      </c>
      <c r="E17" s="28">
        <v>0.39861111111111114</v>
      </c>
      <c r="F17" s="28"/>
      <c r="G17" s="28">
        <v>0.56805555555555554</v>
      </c>
      <c r="H17">
        <v>4.03</v>
      </c>
      <c r="I17">
        <v>0</v>
      </c>
      <c r="J17">
        <v>0</v>
      </c>
      <c r="L17">
        <v>0.17</v>
      </c>
      <c r="M17">
        <v>0.03</v>
      </c>
      <c r="N17">
        <v>4.03</v>
      </c>
      <c r="O17">
        <v>276</v>
      </c>
      <c r="P17">
        <v>20.32</v>
      </c>
      <c r="Q17">
        <v>0</v>
      </c>
      <c r="R17" s="15" t="str">
        <f t="shared" si="7"/>
        <v>Tessa Andrascik</v>
      </c>
      <c r="S17" s="15">
        <f t="shared" si="0"/>
        <v>1</v>
      </c>
      <c r="T17" s="16">
        <f>IF(S17=1, DATE(YEAR(Settings!$B$3), MONTH(D17), DAY(D17)), "")</f>
        <v>46282</v>
      </c>
      <c r="U17" s="15" t="str">
        <f>IF(S17=1,IFERROR(INDEX(Settings!$B$12:$B$41,MATCH($B17,Settings!$A$12:$A$41,0)),"N"),"")</f>
        <v>N</v>
      </c>
      <c r="V17" s="15" t="str">
        <f>IF(S17=1,IFERROR(INDEX(Settings!$C$12:$C$41,MATCH($B17,Settings!$A$12:$A$41,0)),""),"")</f>
        <v>% of Tips</v>
      </c>
      <c r="W17" s="17">
        <f>IF(S17=1,IFERROR(INDEX(Settings!$D$12:$D$41,MATCH($B17,Settings!$A$12:$A$41,0)),0),0)</f>
        <v>0</v>
      </c>
      <c r="X17" s="18">
        <f t="shared" si="1"/>
        <v>0</v>
      </c>
      <c r="Y17" s="18">
        <f t="shared" si="2"/>
        <v>20.32</v>
      </c>
      <c r="Z17" s="15" t="str">
        <f>IF(S17=1,IFERROR(INDEX(Settings!$E$12:$E$41,MATCH($B17,Settings!$A$12:$A$41,0)),"N"),"")</f>
        <v>Y</v>
      </c>
      <c r="AA17" s="17">
        <f>IF(S17=1,IFERROR(INDEX(Settings!$F$12:$F$41,MATCH($B17,Settings!$A$12:$A$41,0)),0),0)</f>
        <v>1</v>
      </c>
      <c r="AB17" s="15">
        <f>IF(S17=1,IFERROR(INDEX(Settings!$G$12:$G$41,MATCH($B17,Settings!$A$12:$A$41,0)),0),0)</f>
        <v>1</v>
      </c>
      <c r="AC17" s="18">
        <f t="shared" si="3"/>
        <v>72.78</v>
      </c>
      <c r="AD17" s="15">
        <f t="shared" si="4"/>
        <v>8.07</v>
      </c>
      <c r="AE17" s="15">
        <f t="shared" si="8"/>
        <v>8.07</v>
      </c>
      <c r="AF17" s="15">
        <f t="shared" si="5"/>
        <v>8.07</v>
      </c>
      <c r="AG17" s="18">
        <f>IF(AND(S17=1,Z17="Y"),IF(Settings!$B$6="Percentage",IF(AD17=0,0,AC17*AA17*(N17/AD17)),IF(Settings!$B$6="Points",IF(AF17=0,0,AC17*(N17*AB17)/AF17),IF(Settings!$B$6="Equally",IF(AE17=0,0,AC17*N17/AE17),0))),0)</f>
        <v>36.344907063197027</v>
      </c>
      <c r="AH17" s="18">
        <f t="shared" si="6"/>
        <v>56.664907063197028</v>
      </c>
      <c r="AI17" s="15">
        <f>IF(S17=1,IF(COUNTIFS($R$2:R17,R17,$S$2:S17,1)=1,1,0),0)</f>
        <v>1</v>
      </c>
      <c r="AJ17" s="15">
        <f>SUM($AI$2:AI17)</f>
        <v>3</v>
      </c>
    </row>
    <row r="18" spans="1:36">
      <c r="B18" t="s">
        <v>35</v>
      </c>
      <c r="C18">
        <v>19.61</v>
      </c>
      <c r="D18" s="27">
        <v>46283</v>
      </c>
      <c r="E18" s="28">
        <v>0.47986111111111113</v>
      </c>
      <c r="F18" s="28"/>
      <c r="G18" s="28">
        <v>0.625</v>
      </c>
      <c r="H18">
        <v>3.49</v>
      </c>
      <c r="I18">
        <v>0</v>
      </c>
      <c r="J18">
        <v>0</v>
      </c>
      <c r="L18">
        <v>0.17</v>
      </c>
      <c r="M18">
        <v>0</v>
      </c>
      <c r="N18">
        <v>3.49</v>
      </c>
      <c r="O18">
        <v>509</v>
      </c>
      <c r="P18">
        <v>40.15</v>
      </c>
      <c r="Q18">
        <v>0</v>
      </c>
      <c r="R18" s="15" t="str">
        <f t="shared" si="7"/>
        <v>Tessa Andrascik</v>
      </c>
      <c r="S18" s="15">
        <f t="shared" si="0"/>
        <v>1</v>
      </c>
      <c r="T18" s="16">
        <f>IF(S18=1, DATE(YEAR(Settings!$B$3), MONTH(D18), DAY(D18)), "")</f>
        <v>46283</v>
      </c>
      <c r="U18" s="15" t="str">
        <f>IF(S18=1,IFERROR(INDEX(Settings!$B$12:$B$41,MATCH($B18,Settings!$A$12:$A$41,0)),"N"),"")</f>
        <v>N</v>
      </c>
      <c r="V18" s="15" t="str">
        <f>IF(S18=1,IFERROR(INDEX(Settings!$C$12:$C$41,MATCH($B18,Settings!$A$12:$A$41,0)),""),"")</f>
        <v>% of Tips</v>
      </c>
      <c r="W18" s="17">
        <f>IF(S18=1,IFERROR(INDEX(Settings!$D$12:$D$41,MATCH($B18,Settings!$A$12:$A$41,0)),0),0)</f>
        <v>0</v>
      </c>
      <c r="X18" s="18">
        <f t="shared" si="1"/>
        <v>0</v>
      </c>
      <c r="Y18" s="18">
        <f t="shared" si="2"/>
        <v>40.15</v>
      </c>
      <c r="Z18" s="15" t="str">
        <f>IF(S18=1,IFERROR(INDEX(Settings!$E$12:$E$41,MATCH($B18,Settings!$A$12:$A$41,0)),"N"),"")</f>
        <v>Y</v>
      </c>
      <c r="AA18" s="17">
        <f>IF(S18=1,IFERROR(INDEX(Settings!$F$12:$F$41,MATCH($B18,Settings!$A$12:$A$41,0)),0),0)</f>
        <v>1</v>
      </c>
      <c r="AB18" s="15">
        <f>IF(S18=1,IFERROR(INDEX(Settings!$G$12:$G$41,MATCH($B18,Settings!$A$12:$A$41,0)),0),0)</f>
        <v>1</v>
      </c>
      <c r="AC18" s="18">
        <f t="shared" si="3"/>
        <v>84.09</v>
      </c>
      <c r="AD18" s="15">
        <f t="shared" si="4"/>
        <v>12.5</v>
      </c>
      <c r="AE18" s="15">
        <f t="shared" si="8"/>
        <v>12.5</v>
      </c>
      <c r="AF18" s="15">
        <f t="shared" si="5"/>
        <v>12.5</v>
      </c>
      <c r="AG18" s="18">
        <f>IF(AND(S18=1,Z18="Y"),IF(Settings!$B$6="Percentage",IF(AD18=0,0,AC18*AA18*(N18/AD18)),IF(Settings!$B$6="Points",IF(AF18=0,0,AC18*(N18*AB18)/AF18),IF(Settings!$B$6="Equally",IF(AE18=0,0,AC18*N18/AE18),0))),0)</f>
        <v>23.477928000000002</v>
      </c>
      <c r="AH18" s="18">
        <f t="shared" si="6"/>
        <v>63.627927999999997</v>
      </c>
      <c r="AI18" s="15">
        <f>IF(S18=1,IF(COUNTIFS($R$2:R18,R18,$S$2:S18,1)=1,1,0),0)</f>
        <v>0</v>
      </c>
      <c r="AJ18" s="15">
        <f>SUM($AI$2:AI18)</f>
        <v>3</v>
      </c>
    </row>
    <row r="19" spans="1:36">
      <c r="A19" t="s">
        <v>80</v>
      </c>
      <c r="H19">
        <v>7.52</v>
      </c>
      <c r="I19">
        <v>0</v>
      </c>
      <c r="J19">
        <v>0</v>
      </c>
      <c r="K19">
        <v>0</v>
      </c>
      <c r="L19">
        <v>0.34</v>
      </c>
      <c r="M19">
        <v>0.03</v>
      </c>
      <c r="N19">
        <v>7.52</v>
      </c>
      <c r="O19">
        <v>785</v>
      </c>
      <c r="P19">
        <v>60.47</v>
      </c>
      <c r="Q19">
        <v>0</v>
      </c>
      <c r="R19" s="15" t="str">
        <f t="shared" si="7"/>
        <v/>
      </c>
      <c r="S19" s="15">
        <f t="shared" si="0"/>
        <v>0</v>
      </c>
      <c r="T19" s="16" t="str">
        <f>IF(S19=1, DATE(YEAR(Settings!$B$3), MONTH(D19), DAY(D19)), "")</f>
        <v/>
      </c>
      <c r="U19" s="15" t="str">
        <f>IF(S19=1,IFERROR(INDEX(Settings!$B$12:$B$41,MATCH($B19,Settings!$A$12:$A$41,0)),"N"),"")</f>
        <v/>
      </c>
      <c r="V19" s="15" t="str">
        <f>IF(S19=1,IFERROR(INDEX(Settings!$C$12:$C$41,MATCH($B19,Settings!$A$12:$A$41,0)),""),"")</f>
        <v/>
      </c>
      <c r="W19" s="17">
        <f>IF(S19=1,IFERROR(INDEX(Settings!$D$12:$D$41,MATCH($B19,Settings!$A$12:$A$41,0)),0),0)</f>
        <v>0</v>
      </c>
      <c r="X19" s="18">
        <f t="shared" si="1"/>
        <v>0</v>
      </c>
      <c r="Y19" s="18" t="str">
        <f t="shared" si="2"/>
        <v/>
      </c>
      <c r="Z19" s="15" t="str">
        <f>IF(S19=1,IFERROR(INDEX(Settings!$E$12:$E$41,MATCH($B19,Settings!$A$12:$A$41,0)),"N"),"")</f>
        <v/>
      </c>
      <c r="AA19" s="17">
        <f>IF(S19=1,IFERROR(INDEX(Settings!$F$12:$F$41,MATCH($B19,Settings!$A$12:$A$41,0)),0),0)</f>
        <v>0</v>
      </c>
      <c r="AB19" s="15">
        <f>IF(S19=1,IFERROR(INDEX(Settings!$G$12:$G$41,MATCH($B19,Settings!$A$12:$A$41,0)),0),0)</f>
        <v>0</v>
      </c>
      <c r="AC19" s="18" t="str">
        <f t="shared" si="3"/>
        <v/>
      </c>
      <c r="AD19" s="15" t="str">
        <f t="shared" si="4"/>
        <v/>
      </c>
      <c r="AE19" s="15" t="str">
        <f t="shared" si="8"/>
        <v/>
      </c>
      <c r="AF19" s="15" t="str">
        <f t="shared" si="5"/>
        <v/>
      </c>
      <c r="AG19" s="18">
        <f>IF(AND(S19=1,Z19="Y"),IF(Settings!$B$6="Percentage",IF(AD19=0,0,AC19*AA19*(N19/AD19)),IF(Settings!$B$6="Points",IF(AF19=0,0,AC19*(N19*AB19)/AF19),IF(Settings!$B$6="Equally",IF(AE19=0,0,AC19*N19/AE19),0))),0)</f>
        <v>0</v>
      </c>
      <c r="AH19" s="18" t="str">
        <f t="shared" si="6"/>
        <v/>
      </c>
      <c r="AI19" s="15">
        <f>IF(S19=1,IF(COUNTIFS($R$2:R19,R19,$S$2:S19,1)=1,1,0),0)</f>
        <v>0</v>
      </c>
      <c r="AJ19" s="15">
        <f>SUM($AI$2:AI19)</f>
        <v>3</v>
      </c>
    </row>
    <row r="20" spans="1:36">
      <c r="R20" s="15" t="str">
        <f t="shared" si="7"/>
        <v/>
      </c>
      <c r="S20" s="15">
        <f t="shared" si="0"/>
        <v>0</v>
      </c>
      <c r="T20" s="16" t="str">
        <f>IF(S20=1, DATE(YEAR(Settings!$B$3), MONTH(D20), DAY(D20)), "")</f>
        <v/>
      </c>
      <c r="U20" s="15" t="str">
        <f>IF(S20=1,IFERROR(INDEX(Settings!$B$12:$B$41,MATCH($B20,Settings!$A$12:$A$41,0)),"N"),"")</f>
        <v/>
      </c>
      <c r="V20" s="15" t="str">
        <f>IF(S20=1,IFERROR(INDEX(Settings!$C$12:$C$41,MATCH($B20,Settings!$A$12:$A$41,0)),""),"")</f>
        <v/>
      </c>
      <c r="W20" s="17">
        <f>IF(S20=1,IFERROR(INDEX(Settings!$D$12:$D$41,MATCH($B20,Settings!$A$12:$A$41,0)),0),0)</f>
        <v>0</v>
      </c>
      <c r="X20" s="18">
        <f t="shared" si="1"/>
        <v>0</v>
      </c>
      <c r="Y20" s="18" t="str">
        <f t="shared" si="2"/>
        <v/>
      </c>
      <c r="Z20" s="15" t="str">
        <f>IF(S20=1,IFERROR(INDEX(Settings!$E$12:$E$41,MATCH($B20,Settings!$A$12:$A$41,0)),"N"),"")</f>
        <v/>
      </c>
      <c r="AA20" s="17">
        <f>IF(S20=1,IFERROR(INDEX(Settings!$F$12:$F$41,MATCH($B20,Settings!$A$12:$A$41,0)),0),0)</f>
        <v>0</v>
      </c>
      <c r="AB20" s="15">
        <f>IF(S20=1,IFERROR(INDEX(Settings!$G$12:$G$41,MATCH($B20,Settings!$A$12:$A$41,0)),0),0)</f>
        <v>0</v>
      </c>
      <c r="AC20" s="18" t="str">
        <f t="shared" si="3"/>
        <v/>
      </c>
      <c r="AD20" s="15" t="str">
        <f t="shared" si="4"/>
        <v/>
      </c>
      <c r="AE20" s="15" t="str">
        <f t="shared" si="8"/>
        <v/>
      </c>
      <c r="AF20" s="15" t="str">
        <f t="shared" si="5"/>
        <v/>
      </c>
      <c r="AG20" s="18">
        <f>IF(AND(S20=1,Z20="Y"),IF(Settings!$B$6="Percentage",IF(AD20=0,0,AC20*AA20*(N20/AD20)),IF(Settings!$B$6="Points",IF(AF20=0,0,AC20*(N20*AB20)/AF20),IF(Settings!$B$6="Equally",IF(AE20=0,0,AC20*N20/AE20),0))),0)</f>
        <v>0</v>
      </c>
      <c r="AH20" s="18" t="str">
        <f t="shared" si="6"/>
        <v/>
      </c>
      <c r="AI20" s="15">
        <f>IF(S20=1,IF(COUNTIFS($R$2:R20,R20,$S$2:S20,1)=1,1,0),0)</f>
        <v>0</v>
      </c>
      <c r="AJ20" s="15">
        <f>SUM($AI$2:AI20)</f>
        <v>3</v>
      </c>
    </row>
    <row r="21" spans="1:36">
      <c r="A21" t="s">
        <v>83</v>
      </c>
      <c r="B21" t="s">
        <v>35</v>
      </c>
      <c r="C21">
        <v>19.61</v>
      </c>
      <c r="D21" s="27">
        <v>46272</v>
      </c>
      <c r="E21" s="28">
        <v>0.49583333333333335</v>
      </c>
      <c r="F21" s="28"/>
      <c r="G21" s="28">
        <v>0.73263888888888884</v>
      </c>
      <c r="H21">
        <v>5.67</v>
      </c>
      <c r="I21">
        <v>0</v>
      </c>
      <c r="J21">
        <v>0</v>
      </c>
      <c r="L21">
        <v>0.17</v>
      </c>
      <c r="M21">
        <v>0.01</v>
      </c>
      <c r="N21">
        <v>5.67</v>
      </c>
      <c r="O21">
        <v>0</v>
      </c>
      <c r="P21">
        <v>0</v>
      </c>
      <c r="Q21">
        <v>0</v>
      </c>
      <c r="R21" s="15" t="str">
        <f t="shared" si="7"/>
        <v>Anthony Zhang</v>
      </c>
      <c r="S21" s="15">
        <f t="shared" si="0"/>
        <v>1</v>
      </c>
      <c r="T21" s="16">
        <f>IF(S21=1, DATE(YEAR(Settings!$B$3), MONTH(D21), DAY(D21)), "")</f>
        <v>46272</v>
      </c>
      <c r="U21" s="15" t="str">
        <f>IF(S21=1,IFERROR(INDEX(Settings!$B$12:$B$41,MATCH($B21,Settings!$A$12:$A$41,0)),"N"),"")</f>
        <v>N</v>
      </c>
      <c r="V21" s="15" t="str">
        <f>IF(S21=1,IFERROR(INDEX(Settings!$C$12:$C$41,MATCH($B21,Settings!$A$12:$A$41,0)),""),"")</f>
        <v>% of Tips</v>
      </c>
      <c r="W21" s="17">
        <f>IF(S21=1,IFERROR(INDEX(Settings!$D$12:$D$41,MATCH($B21,Settings!$A$12:$A$41,0)),0),0)</f>
        <v>0</v>
      </c>
      <c r="X21" s="18">
        <f t="shared" si="1"/>
        <v>0</v>
      </c>
      <c r="Y21" s="18">
        <f t="shared" si="2"/>
        <v>0</v>
      </c>
      <c r="Z21" s="15" t="str">
        <f>IF(S21=1,IFERROR(INDEX(Settings!$E$12:$E$41,MATCH($B21,Settings!$A$12:$A$41,0)),"N"),"")</f>
        <v>Y</v>
      </c>
      <c r="AA21" s="17">
        <f>IF(S21=1,IFERROR(INDEX(Settings!$F$12:$F$41,MATCH($B21,Settings!$A$12:$A$41,0)),0),0)</f>
        <v>1</v>
      </c>
      <c r="AB21" s="15">
        <f>IF(S21=1,IFERROR(INDEX(Settings!$G$12:$G$41,MATCH($B21,Settings!$A$12:$A$41,0)),0),0)</f>
        <v>1</v>
      </c>
      <c r="AC21" s="18">
        <f t="shared" si="3"/>
        <v>303.99</v>
      </c>
      <c r="AD21" s="15">
        <f t="shared" si="4"/>
        <v>25.299999999999997</v>
      </c>
      <c r="AE21" s="15">
        <f t="shared" si="8"/>
        <v>25.299999999999997</v>
      </c>
      <c r="AF21" s="15">
        <f t="shared" si="5"/>
        <v>25.299999999999997</v>
      </c>
      <c r="AG21" s="18">
        <f>IF(AND(S21=1,Z21="Y"),IF(Settings!$B$6="Percentage",IF(AD21=0,0,AC21*AA21*(N21/AD21)),IF(Settings!$B$6="Points",IF(AF21=0,0,AC21*(N21*AB21)/AF21),IF(Settings!$B$6="Equally",IF(AE21=0,0,AC21*N21/AE21),0))),0)</f>
        <v>68.127403162055344</v>
      </c>
      <c r="AH21" s="18">
        <f t="shared" si="6"/>
        <v>68.127403162055344</v>
      </c>
      <c r="AI21" s="15">
        <f>IF(S21=1,IF(COUNTIFS($R$2:R21,R21,$S$2:S21,1)=1,1,0),0)</f>
        <v>1</v>
      </c>
      <c r="AJ21" s="15">
        <f>SUM($AI$2:AI21)</f>
        <v>4</v>
      </c>
    </row>
    <row r="22" spans="1:36">
      <c r="B22" t="s">
        <v>35</v>
      </c>
      <c r="C22">
        <v>19.61</v>
      </c>
      <c r="D22" s="27">
        <v>46276</v>
      </c>
      <c r="E22" s="28">
        <v>0.44791666666666669</v>
      </c>
      <c r="F22" s="28"/>
      <c r="G22" s="28">
        <v>0.66249999999999998</v>
      </c>
      <c r="H22">
        <v>5.14</v>
      </c>
      <c r="I22">
        <v>0</v>
      </c>
      <c r="J22">
        <v>0</v>
      </c>
      <c r="L22">
        <v>0.31</v>
      </c>
      <c r="M22">
        <v>0.02</v>
      </c>
      <c r="N22">
        <v>5.14</v>
      </c>
      <c r="O22">
        <v>226.56</v>
      </c>
      <c r="P22">
        <v>19.77</v>
      </c>
      <c r="Q22">
        <v>0</v>
      </c>
      <c r="R22" s="15" t="str">
        <f t="shared" si="7"/>
        <v>Anthony Zhang</v>
      </c>
      <c r="S22" s="15">
        <f t="shared" si="0"/>
        <v>1</v>
      </c>
      <c r="T22" s="16">
        <f>IF(S22=1, DATE(YEAR(Settings!$B$3), MONTH(D22), DAY(D22)), "")</f>
        <v>46276</v>
      </c>
      <c r="U22" s="15" t="str">
        <f>IF(S22=1,IFERROR(INDEX(Settings!$B$12:$B$41,MATCH($B22,Settings!$A$12:$A$41,0)),"N"),"")</f>
        <v>N</v>
      </c>
      <c r="V22" s="15" t="str">
        <f>IF(S22=1,IFERROR(INDEX(Settings!$C$12:$C$41,MATCH($B22,Settings!$A$12:$A$41,0)),""),"")</f>
        <v>% of Tips</v>
      </c>
      <c r="W22" s="17">
        <f>IF(S22=1,IFERROR(INDEX(Settings!$D$12:$D$41,MATCH($B22,Settings!$A$12:$A$41,0)),0),0)</f>
        <v>0</v>
      </c>
      <c r="X22" s="18">
        <f t="shared" si="1"/>
        <v>0</v>
      </c>
      <c r="Y22" s="18">
        <f t="shared" si="2"/>
        <v>19.77</v>
      </c>
      <c r="Z22" s="15" t="str">
        <f>IF(S22=1,IFERROR(INDEX(Settings!$E$12:$E$41,MATCH($B22,Settings!$A$12:$A$41,0)),"N"),"")</f>
        <v>Y</v>
      </c>
      <c r="AA22" s="17">
        <f>IF(S22=1,IFERROR(INDEX(Settings!$F$12:$F$41,MATCH($B22,Settings!$A$12:$A$41,0)),0),0)</f>
        <v>1</v>
      </c>
      <c r="AB22" s="15">
        <f>IF(S22=1,IFERROR(INDEX(Settings!$G$12:$G$41,MATCH($B22,Settings!$A$12:$A$41,0)),0),0)</f>
        <v>1</v>
      </c>
      <c r="AC22" s="18">
        <f t="shared" si="3"/>
        <v>87.710000000000008</v>
      </c>
      <c r="AD22" s="15">
        <f t="shared" si="4"/>
        <v>15.739999999999998</v>
      </c>
      <c r="AE22" s="15">
        <f t="shared" si="8"/>
        <v>15.739999999999998</v>
      </c>
      <c r="AF22" s="15">
        <f t="shared" si="5"/>
        <v>15.739999999999998</v>
      </c>
      <c r="AG22" s="18">
        <f>IF(AND(S22=1,Z22="Y"),IF(Settings!$B$6="Percentage",IF(AD22=0,0,AC22*AA22*(N22/AD22)),IF(Settings!$B$6="Points",IF(AF22=0,0,AC22*(N22*AB22)/AF22),IF(Settings!$B$6="Equally",IF(AE22=0,0,AC22*N22/AE22),0))),0)</f>
        <v>28.64227445997459</v>
      </c>
      <c r="AH22" s="18">
        <f t="shared" si="6"/>
        <v>48.41227445997459</v>
      </c>
      <c r="AI22" s="15">
        <f>IF(S22=1,IF(COUNTIFS($R$2:R22,R22,$S$2:S22,1)=1,1,0),0)</f>
        <v>0</v>
      </c>
      <c r="AJ22" s="15">
        <f>SUM($AI$2:AI22)</f>
        <v>4</v>
      </c>
    </row>
    <row r="23" spans="1:36">
      <c r="B23" t="s">
        <v>35</v>
      </c>
      <c r="C23">
        <v>19.61</v>
      </c>
      <c r="D23" s="27">
        <v>46277</v>
      </c>
      <c r="E23" s="28">
        <v>0.45069444444444445</v>
      </c>
      <c r="F23" s="28"/>
      <c r="G23" s="28">
        <v>0.75763888888888886</v>
      </c>
      <c r="H23">
        <v>7.37</v>
      </c>
      <c r="I23">
        <v>0</v>
      </c>
      <c r="J23">
        <v>0</v>
      </c>
      <c r="L23">
        <v>0.32</v>
      </c>
      <c r="M23">
        <v>0</v>
      </c>
      <c r="N23">
        <v>7.37</v>
      </c>
      <c r="O23">
        <v>36</v>
      </c>
      <c r="P23">
        <v>3.13</v>
      </c>
      <c r="Q23">
        <v>0</v>
      </c>
      <c r="R23" s="15" t="str">
        <f t="shared" si="7"/>
        <v>Anthony Zhang</v>
      </c>
      <c r="S23" s="15">
        <f t="shared" si="0"/>
        <v>1</v>
      </c>
      <c r="T23" s="16">
        <f>IF(S23=1, DATE(YEAR(Settings!$B$3), MONTH(D23), DAY(D23)), "")</f>
        <v>46277</v>
      </c>
      <c r="U23" s="15" t="str">
        <f>IF(S23=1,IFERROR(INDEX(Settings!$B$12:$B$41,MATCH($B23,Settings!$A$12:$A$41,0)),"N"),"")</f>
        <v>N</v>
      </c>
      <c r="V23" s="15" t="str">
        <f>IF(S23=1,IFERROR(INDEX(Settings!$C$12:$C$41,MATCH($B23,Settings!$A$12:$A$41,0)),""),"")</f>
        <v>% of Tips</v>
      </c>
      <c r="W23" s="17">
        <f>IF(S23=1,IFERROR(INDEX(Settings!$D$12:$D$41,MATCH($B23,Settings!$A$12:$A$41,0)),0),0)</f>
        <v>0</v>
      </c>
      <c r="X23" s="18">
        <f t="shared" si="1"/>
        <v>0</v>
      </c>
      <c r="Y23" s="18">
        <f t="shared" si="2"/>
        <v>3.13</v>
      </c>
      <c r="Z23" s="15" t="str">
        <f>IF(S23=1,IFERROR(INDEX(Settings!$E$12:$E$41,MATCH($B23,Settings!$A$12:$A$41,0)),"N"),"")</f>
        <v>Y</v>
      </c>
      <c r="AA23" s="17">
        <f>IF(S23=1,IFERROR(INDEX(Settings!$F$12:$F$41,MATCH($B23,Settings!$A$12:$A$41,0)),0),0)</f>
        <v>1</v>
      </c>
      <c r="AB23" s="15">
        <f>IF(S23=1,IFERROR(INDEX(Settings!$G$12:$G$41,MATCH($B23,Settings!$A$12:$A$41,0)),0),0)</f>
        <v>1</v>
      </c>
      <c r="AC23" s="18">
        <f t="shared" si="3"/>
        <v>220.79</v>
      </c>
      <c r="AD23" s="15">
        <f t="shared" si="4"/>
        <v>24.11</v>
      </c>
      <c r="AE23" s="15">
        <f t="shared" si="8"/>
        <v>24.11</v>
      </c>
      <c r="AF23" s="15">
        <f t="shared" si="5"/>
        <v>24.11</v>
      </c>
      <c r="AG23" s="18">
        <f>IF(AND(S23=1,Z23="Y"),IF(Settings!$B$6="Percentage",IF(AD23=0,0,AC23*AA23*(N23/AD23)),IF(Settings!$B$6="Points",IF(AF23=0,0,AC23*(N23*AB23)/AF23),IF(Settings!$B$6="Equally",IF(AE23=0,0,AC23*N23/AE23),0))),0)</f>
        <v>67.491592700124428</v>
      </c>
      <c r="AH23" s="18">
        <f t="shared" si="6"/>
        <v>70.621592700124424</v>
      </c>
      <c r="AI23" s="15">
        <f>IF(S23=1,IF(COUNTIFS($R$2:R23,R23,$S$2:S23,1)=1,1,0),0)</f>
        <v>0</v>
      </c>
      <c r="AJ23" s="15">
        <f>SUM($AI$2:AI23)</f>
        <v>4</v>
      </c>
    </row>
    <row r="24" spans="1:36">
      <c r="B24" t="s">
        <v>35</v>
      </c>
      <c r="C24">
        <v>19.61</v>
      </c>
      <c r="D24" s="27">
        <v>46284</v>
      </c>
      <c r="E24" s="28">
        <v>0.54652777777777772</v>
      </c>
      <c r="F24" s="28"/>
      <c r="G24" s="28">
        <v>0.75902777777777775</v>
      </c>
      <c r="H24">
        <v>5.08</v>
      </c>
      <c r="I24">
        <v>0</v>
      </c>
      <c r="J24">
        <v>0</v>
      </c>
      <c r="L24">
        <v>0.34</v>
      </c>
      <c r="M24">
        <v>0.03</v>
      </c>
      <c r="N24">
        <v>5.08</v>
      </c>
      <c r="O24">
        <v>37.6</v>
      </c>
      <c r="P24">
        <v>2.31</v>
      </c>
      <c r="Q24">
        <v>0</v>
      </c>
      <c r="R24" s="15" t="str">
        <f t="shared" si="7"/>
        <v>Anthony Zhang</v>
      </c>
      <c r="S24" s="15">
        <f t="shared" si="0"/>
        <v>1</v>
      </c>
      <c r="T24" s="16">
        <f>IF(S24=1, DATE(YEAR(Settings!$B$3), MONTH(D24), DAY(D24)), "")</f>
        <v>46284</v>
      </c>
      <c r="U24" s="15" t="str">
        <f>IF(S24=1,IFERROR(INDEX(Settings!$B$12:$B$41,MATCH($B24,Settings!$A$12:$A$41,0)),"N"),"")</f>
        <v>N</v>
      </c>
      <c r="V24" s="15" t="str">
        <f>IF(S24=1,IFERROR(INDEX(Settings!$C$12:$C$41,MATCH($B24,Settings!$A$12:$A$41,0)),""),"")</f>
        <v>% of Tips</v>
      </c>
      <c r="W24" s="17">
        <f>IF(S24=1,IFERROR(INDEX(Settings!$D$12:$D$41,MATCH($B24,Settings!$A$12:$A$41,0)),0),0)</f>
        <v>0</v>
      </c>
      <c r="X24" s="18">
        <f t="shared" si="1"/>
        <v>0</v>
      </c>
      <c r="Y24" s="18">
        <f t="shared" si="2"/>
        <v>2.31</v>
      </c>
      <c r="Z24" s="15" t="str">
        <f>IF(S24=1,IFERROR(INDEX(Settings!$E$12:$E$41,MATCH($B24,Settings!$A$12:$A$41,0)),"N"),"")</f>
        <v>Y</v>
      </c>
      <c r="AA24" s="17">
        <f>IF(S24=1,IFERROR(INDEX(Settings!$F$12:$F$41,MATCH($B24,Settings!$A$12:$A$41,0)),0),0)</f>
        <v>1</v>
      </c>
      <c r="AB24" s="15">
        <f>IF(S24=1,IFERROR(INDEX(Settings!$G$12:$G$41,MATCH($B24,Settings!$A$12:$A$41,0)),0),0)</f>
        <v>1</v>
      </c>
      <c r="AC24" s="18">
        <f t="shared" si="3"/>
        <v>190.57</v>
      </c>
      <c r="AD24" s="15">
        <f t="shared" si="4"/>
        <v>28</v>
      </c>
      <c r="AE24" s="15">
        <f t="shared" si="8"/>
        <v>28</v>
      </c>
      <c r="AF24" s="15">
        <f t="shared" si="5"/>
        <v>28</v>
      </c>
      <c r="AG24" s="18">
        <f>IF(AND(S24=1,Z24="Y"),IF(Settings!$B$6="Percentage",IF(AD24=0,0,AC24*AA24*(N24/AD24)),IF(Settings!$B$6="Points",IF(AF24=0,0,AC24*(N24*AB24)/AF24),IF(Settings!$B$6="Equally",IF(AE24=0,0,AC24*N24/AE24),0))),0)</f>
        <v>34.574842857142855</v>
      </c>
      <c r="AH24" s="18">
        <f t="shared" si="6"/>
        <v>36.884842857142857</v>
      </c>
      <c r="AI24" s="15">
        <f>IF(S24=1,IF(COUNTIFS($R$2:R24,R24,$S$2:S24,1)=1,1,0),0)</f>
        <v>0</v>
      </c>
      <c r="AJ24" s="15">
        <f>SUM($AI$2:AI24)</f>
        <v>4</v>
      </c>
    </row>
    <row r="25" spans="1:36">
      <c r="B25" t="s">
        <v>35</v>
      </c>
      <c r="C25">
        <v>19.61</v>
      </c>
      <c r="D25" s="27">
        <v>46285</v>
      </c>
      <c r="E25" s="28">
        <v>0.54236111111111107</v>
      </c>
      <c r="F25" s="28"/>
      <c r="G25" s="28">
        <v>0.76180555555555551</v>
      </c>
      <c r="H25">
        <v>5.21</v>
      </c>
      <c r="I25">
        <v>0</v>
      </c>
      <c r="J25">
        <v>0</v>
      </c>
      <c r="L25">
        <v>0.3</v>
      </c>
      <c r="M25">
        <v>0.06</v>
      </c>
      <c r="N25">
        <v>5.21</v>
      </c>
      <c r="O25">
        <v>165.25</v>
      </c>
      <c r="P25">
        <v>10.29</v>
      </c>
      <c r="Q25">
        <v>0</v>
      </c>
      <c r="R25" s="15" t="str">
        <f t="shared" si="7"/>
        <v>Anthony Zhang</v>
      </c>
      <c r="S25" s="15">
        <f t="shared" si="0"/>
        <v>1</v>
      </c>
      <c r="T25" s="16">
        <f>IF(S25=1, DATE(YEAR(Settings!$B$3), MONTH(D25), DAY(D25)), "")</f>
        <v>46285</v>
      </c>
      <c r="U25" s="15" t="str">
        <f>IF(S25=1,IFERROR(INDEX(Settings!$B$12:$B$41,MATCH($B25,Settings!$A$12:$A$41,0)),"N"),"")</f>
        <v>N</v>
      </c>
      <c r="V25" s="15" t="str">
        <f>IF(S25=1,IFERROR(INDEX(Settings!$C$12:$C$41,MATCH($B25,Settings!$A$12:$A$41,0)),""),"")</f>
        <v>% of Tips</v>
      </c>
      <c r="W25" s="17">
        <f>IF(S25=1,IFERROR(INDEX(Settings!$D$12:$D$41,MATCH($B25,Settings!$A$12:$A$41,0)),0),0)</f>
        <v>0</v>
      </c>
      <c r="X25" s="18">
        <f t="shared" si="1"/>
        <v>0</v>
      </c>
      <c r="Y25" s="18">
        <f t="shared" si="2"/>
        <v>10.29</v>
      </c>
      <c r="Z25" s="15" t="str">
        <f>IF(S25=1,IFERROR(INDEX(Settings!$E$12:$E$41,MATCH($B25,Settings!$A$12:$A$41,0)),"N"),"")</f>
        <v>Y</v>
      </c>
      <c r="AA25" s="17">
        <f>IF(S25=1,IFERROR(INDEX(Settings!$F$12:$F$41,MATCH($B25,Settings!$A$12:$A$41,0)),0),0)</f>
        <v>1</v>
      </c>
      <c r="AB25" s="15">
        <f>IF(S25=1,IFERROR(INDEX(Settings!$G$12:$G$41,MATCH($B25,Settings!$A$12:$A$41,0)),0),0)</f>
        <v>1</v>
      </c>
      <c r="AC25" s="18">
        <f t="shared" si="3"/>
        <v>146.5</v>
      </c>
      <c r="AD25" s="15">
        <f t="shared" si="4"/>
        <v>22.34</v>
      </c>
      <c r="AE25" s="15">
        <f t="shared" si="8"/>
        <v>22.34</v>
      </c>
      <c r="AF25" s="15">
        <f t="shared" si="5"/>
        <v>22.34</v>
      </c>
      <c r="AG25" s="18">
        <f>IF(AND(S25=1,Z25="Y"),IF(Settings!$B$6="Percentage",IF(AD25=0,0,AC25*AA25*(N25/AD25)),IF(Settings!$B$6="Points",IF(AF25=0,0,AC25*(N25*AB25)/AF25),IF(Settings!$B$6="Equally",IF(AE25=0,0,AC25*N25/AE25),0))),0)</f>
        <v>34.165846016114592</v>
      </c>
      <c r="AH25" s="18">
        <f t="shared" si="6"/>
        <v>44.455846016114592</v>
      </c>
      <c r="AI25" s="15">
        <f>IF(S25=1,IF(COUNTIFS($R$2:R25,R25,$S$2:S25,1)=1,1,0),0)</f>
        <v>0</v>
      </c>
      <c r="AJ25" s="15">
        <f>SUM($AI$2:AI25)</f>
        <v>4</v>
      </c>
    </row>
    <row r="26" spans="1:36">
      <c r="A26" t="s">
        <v>80</v>
      </c>
      <c r="H26">
        <v>28.47</v>
      </c>
      <c r="I26">
        <v>0</v>
      </c>
      <c r="J26">
        <v>0</v>
      </c>
      <c r="K26">
        <v>0</v>
      </c>
      <c r="L26">
        <v>1.44</v>
      </c>
      <c r="M26">
        <v>0.12</v>
      </c>
      <c r="N26">
        <v>28.47</v>
      </c>
      <c r="O26">
        <v>465.41</v>
      </c>
      <c r="P26">
        <v>35.5</v>
      </c>
      <c r="Q26">
        <v>0</v>
      </c>
      <c r="R26" s="15" t="str">
        <f t="shared" si="7"/>
        <v/>
      </c>
      <c r="S26" s="15">
        <f t="shared" si="0"/>
        <v>0</v>
      </c>
      <c r="T26" s="16" t="str">
        <f>IF(S26=1, DATE(YEAR(Settings!$B$3), MONTH(D26), DAY(D26)), "")</f>
        <v/>
      </c>
      <c r="U26" s="15" t="str">
        <f>IF(S26=1,IFERROR(INDEX(Settings!$B$12:$B$41,MATCH($B26,Settings!$A$12:$A$41,0)),"N"),"")</f>
        <v/>
      </c>
      <c r="V26" s="15" t="str">
        <f>IF(S26=1,IFERROR(INDEX(Settings!$C$12:$C$41,MATCH($B26,Settings!$A$12:$A$41,0)),""),"")</f>
        <v/>
      </c>
      <c r="W26" s="17">
        <f>IF(S26=1,IFERROR(INDEX(Settings!$D$12:$D$41,MATCH($B26,Settings!$A$12:$A$41,0)),0),0)</f>
        <v>0</v>
      </c>
      <c r="X26" s="18">
        <f t="shared" si="1"/>
        <v>0</v>
      </c>
      <c r="Y26" s="18" t="str">
        <f t="shared" si="2"/>
        <v/>
      </c>
      <c r="Z26" s="15" t="str">
        <f>IF(S26=1,IFERROR(INDEX(Settings!$E$12:$E$41,MATCH($B26,Settings!$A$12:$A$41,0)),"N"),"")</f>
        <v/>
      </c>
      <c r="AA26" s="17">
        <f>IF(S26=1,IFERROR(INDEX(Settings!$F$12:$F$41,MATCH($B26,Settings!$A$12:$A$41,0)),0),0)</f>
        <v>0</v>
      </c>
      <c r="AB26" s="15">
        <f>IF(S26=1,IFERROR(INDEX(Settings!$G$12:$G$41,MATCH($B26,Settings!$A$12:$A$41,0)),0),0)</f>
        <v>0</v>
      </c>
      <c r="AC26" s="18" t="str">
        <f t="shared" si="3"/>
        <v/>
      </c>
      <c r="AD26" s="15" t="str">
        <f t="shared" si="4"/>
        <v/>
      </c>
      <c r="AE26" s="15" t="str">
        <f t="shared" si="8"/>
        <v/>
      </c>
      <c r="AF26" s="15" t="str">
        <f t="shared" si="5"/>
        <v/>
      </c>
      <c r="AG26" s="18">
        <f>IF(AND(S26=1,Z26="Y"),IF(Settings!$B$6="Percentage",IF(AD26=0,0,AC26*AA26*(N26/AD26)),IF(Settings!$B$6="Points",IF(AF26=0,0,AC26*(N26*AB26)/AF26),IF(Settings!$B$6="Equally",IF(AE26=0,0,AC26*N26/AE26),0))),0)</f>
        <v>0</v>
      </c>
      <c r="AH26" s="18" t="str">
        <f t="shared" si="6"/>
        <v/>
      </c>
      <c r="AI26" s="15">
        <f>IF(S26=1,IF(COUNTIFS($R$2:R26,R26,$S$2:S26,1)=1,1,0),0)</f>
        <v>0</v>
      </c>
      <c r="AJ26" s="15">
        <f>SUM($AI$2:AI26)</f>
        <v>4</v>
      </c>
    </row>
    <row r="27" spans="1:36">
      <c r="R27" s="15" t="str">
        <f t="shared" si="7"/>
        <v/>
      </c>
      <c r="S27" s="15">
        <f t="shared" si="0"/>
        <v>0</v>
      </c>
      <c r="T27" s="16" t="str">
        <f>IF(S27=1, DATE(YEAR(Settings!$B$3), MONTH(D27), DAY(D27)), "")</f>
        <v/>
      </c>
      <c r="U27" s="15" t="str">
        <f>IF(S27=1,IFERROR(INDEX(Settings!$B$12:$B$41,MATCH($B27,Settings!$A$12:$A$41,0)),"N"),"")</f>
        <v/>
      </c>
      <c r="V27" s="15" t="str">
        <f>IF(S27=1,IFERROR(INDEX(Settings!$C$12:$C$41,MATCH($B27,Settings!$A$12:$A$41,0)),""),"")</f>
        <v/>
      </c>
      <c r="W27" s="17">
        <f>IF(S27=1,IFERROR(INDEX(Settings!$D$12:$D$41,MATCH($B27,Settings!$A$12:$A$41,0)),0),0)</f>
        <v>0</v>
      </c>
      <c r="X27" s="18">
        <f t="shared" si="1"/>
        <v>0</v>
      </c>
      <c r="Y27" s="18" t="str">
        <f t="shared" si="2"/>
        <v/>
      </c>
      <c r="Z27" s="15" t="str">
        <f>IF(S27=1,IFERROR(INDEX(Settings!$E$12:$E$41,MATCH($B27,Settings!$A$12:$A$41,0)),"N"),"")</f>
        <v/>
      </c>
      <c r="AA27" s="17">
        <f>IF(S27=1,IFERROR(INDEX(Settings!$F$12:$F$41,MATCH($B27,Settings!$A$12:$A$41,0)),0),0)</f>
        <v>0</v>
      </c>
      <c r="AB27" s="15">
        <f>IF(S27=1,IFERROR(INDEX(Settings!$G$12:$G$41,MATCH($B27,Settings!$A$12:$A$41,0)),0),0)</f>
        <v>0</v>
      </c>
      <c r="AC27" s="18" t="str">
        <f t="shared" si="3"/>
        <v/>
      </c>
      <c r="AD27" s="15" t="str">
        <f t="shared" si="4"/>
        <v/>
      </c>
      <c r="AE27" s="15" t="str">
        <f t="shared" si="8"/>
        <v/>
      </c>
      <c r="AF27" s="15" t="str">
        <f t="shared" si="5"/>
        <v/>
      </c>
      <c r="AG27" s="18">
        <f>IF(AND(S27=1,Z27="Y"),IF(Settings!$B$6="Percentage",IF(AD27=0,0,AC27*AA27*(N27/AD27)),IF(Settings!$B$6="Points",IF(AF27=0,0,AC27*(N27*AB27)/AF27),IF(Settings!$B$6="Equally",IF(AE27=0,0,AC27*N27/AE27),0))),0)</f>
        <v>0</v>
      </c>
      <c r="AH27" s="18" t="str">
        <f t="shared" si="6"/>
        <v/>
      </c>
      <c r="AI27" s="15">
        <f>IF(S27=1,IF(COUNTIFS($R$2:R27,R27,$S$2:S27,1)=1,1,0),0)</f>
        <v>0</v>
      </c>
      <c r="AJ27" s="15">
        <f>SUM($AI$2:AI27)</f>
        <v>4</v>
      </c>
    </row>
    <row r="28" spans="1:36">
      <c r="A28" t="s">
        <v>84</v>
      </c>
      <c r="B28" t="s">
        <v>35</v>
      </c>
      <c r="C28">
        <v>19.61</v>
      </c>
      <c r="D28" s="27">
        <v>46272</v>
      </c>
      <c r="E28" s="28">
        <v>0.5444444444444444</v>
      </c>
      <c r="F28" s="28"/>
      <c r="G28" s="28">
        <v>0.77083333333333337</v>
      </c>
      <c r="H28">
        <v>5.42</v>
      </c>
      <c r="I28">
        <v>0</v>
      </c>
      <c r="J28">
        <v>0</v>
      </c>
      <c r="L28">
        <v>0.17</v>
      </c>
      <c r="M28">
        <v>0</v>
      </c>
      <c r="N28">
        <v>5.42</v>
      </c>
      <c r="O28">
        <v>0</v>
      </c>
      <c r="P28">
        <v>0</v>
      </c>
      <c r="Q28">
        <v>0</v>
      </c>
      <c r="R28" s="15" t="str">
        <f t="shared" si="7"/>
        <v>Fatimah Mahmoud</v>
      </c>
      <c r="S28" s="15">
        <f t="shared" si="0"/>
        <v>1</v>
      </c>
      <c r="T28" s="16">
        <f>IF(S28=1, DATE(YEAR(Settings!$B$3), MONTH(D28), DAY(D28)), "")</f>
        <v>46272</v>
      </c>
      <c r="U28" s="15" t="str">
        <f>IF(S28=1,IFERROR(INDEX(Settings!$B$12:$B$41,MATCH($B28,Settings!$A$12:$A$41,0)),"N"),"")</f>
        <v>N</v>
      </c>
      <c r="V28" s="15" t="str">
        <f>IF(S28=1,IFERROR(INDEX(Settings!$C$12:$C$41,MATCH($B28,Settings!$A$12:$A$41,0)),""),"")</f>
        <v>% of Tips</v>
      </c>
      <c r="W28" s="17">
        <f>IF(S28=1,IFERROR(INDEX(Settings!$D$12:$D$41,MATCH($B28,Settings!$A$12:$A$41,0)),0),0)</f>
        <v>0</v>
      </c>
      <c r="X28" s="18">
        <f t="shared" si="1"/>
        <v>0</v>
      </c>
      <c r="Y28" s="18">
        <f t="shared" si="2"/>
        <v>0</v>
      </c>
      <c r="Z28" s="15" t="str">
        <f>IF(S28=1,IFERROR(INDEX(Settings!$E$12:$E$41,MATCH($B28,Settings!$A$12:$A$41,0)),"N"),"")</f>
        <v>Y</v>
      </c>
      <c r="AA28" s="17">
        <f>IF(S28=1,IFERROR(INDEX(Settings!$F$12:$F$41,MATCH($B28,Settings!$A$12:$A$41,0)),0),0)</f>
        <v>1</v>
      </c>
      <c r="AB28" s="15">
        <f>IF(S28=1,IFERROR(INDEX(Settings!$G$12:$G$41,MATCH($B28,Settings!$A$12:$A$41,0)),0),0)</f>
        <v>1</v>
      </c>
      <c r="AC28" s="18">
        <f t="shared" si="3"/>
        <v>303.99</v>
      </c>
      <c r="AD28" s="15">
        <f t="shared" si="4"/>
        <v>25.299999999999997</v>
      </c>
      <c r="AE28" s="15">
        <f t="shared" si="8"/>
        <v>25.299999999999997</v>
      </c>
      <c r="AF28" s="15">
        <f t="shared" si="5"/>
        <v>25.299999999999997</v>
      </c>
      <c r="AG28" s="18">
        <f>IF(AND(S28=1,Z28="Y"),IF(Settings!$B$6="Percentage",IF(AD28=0,0,AC28*AA28*(N28/AD28)),IF(Settings!$B$6="Points",IF(AF28=0,0,AC28*(N28*AB28)/AF28),IF(Settings!$B$6="Equally",IF(AE28=0,0,AC28*N28/AE28),0))),0)</f>
        <v>65.123549407114638</v>
      </c>
      <c r="AH28" s="18">
        <f t="shared" si="6"/>
        <v>65.123549407114638</v>
      </c>
      <c r="AI28" s="15">
        <f>IF(S28=1,IF(COUNTIFS($R$2:R28,R28,$S$2:S28,1)=1,1,0),0)</f>
        <v>1</v>
      </c>
      <c r="AJ28" s="15">
        <f>SUM($AI$2:AI28)</f>
        <v>5</v>
      </c>
    </row>
    <row r="29" spans="1:36">
      <c r="B29" t="s">
        <v>35</v>
      </c>
      <c r="C29">
        <v>19.61</v>
      </c>
      <c r="D29" s="27">
        <v>46278</v>
      </c>
      <c r="E29" s="28">
        <v>0.54791666666666672</v>
      </c>
      <c r="F29" s="28"/>
      <c r="G29" s="28">
        <v>0.77430555555555558</v>
      </c>
      <c r="H29">
        <v>5.43</v>
      </c>
      <c r="I29">
        <v>0</v>
      </c>
      <c r="J29">
        <v>0</v>
      </c>
      <c r="L29">
        <v>0.12</v>
      </c>
      <c r="M29">
        <v>0</v>
      </c>
      <c r="N29">
        <v>5.43</v>
      </c>
      <c r="O29">
        <v>733.6</v>
      </c>
      <c r="P29">
        <v>60.27</v>
      </c>
      <c r="Q29">
        <v>0</v>
      </c>
      <c r="R29" s="15" t="str">
        <f t="shared" si="7"/>
        <v>Fatimah Mahmoud</v>
      </c>
      <c r="S29" s="15">
        <f t="shared" si="0"/>
        <v>1</v>
      </c>
      <c r="T29" s="16">
        <f>IF(S29=1, DATE(YEAR(Settings!$B$3), MONTH(D29), DAY(D29)), "")</f>
        <v>46278</v>
      </c>
      <c r="U29" s="15" t="str">
        <f>IF(S29=1,IFERROR(INDEX(Settings!$B$12:$B$41,MATCH($B29,Settings!$A$12:$A$41,0)),"N"),"")</f>
        <v>N</v>
      </c>
      <c r="V29" s="15" t="str">
        <f>IF(S29=1,IFERROR(INDEX(Settings!$C$12:$C$41,MATCH($B29,Settings!$A$12:$A$41,0)),""),"")</f>
        <v>% of Tips</v>
      </c>
      <c r="W29" s="17">
        <f>IF(S29=1,IFERROR(INDEX(Settings!$D$12:$D$41,MATCH($B29,Settings!$A$12:$A$41,0)),0),0)</f>
        <v>0</v>
      </c>
      <c r="X29" s="18">
        <f t="shared" si="1"/>
        <v>0</v>
      </c>
      <c r="Y29" s="18">
        <f t="shared" si="2"/>
        <v>60.27</v>
      </c>
      <c r="Z29" s="15" t="str">
        <f>IF(S29=1,IFERROR(INDEX(Settings!$E$12:$E$41,MATCH($B29,Settings!$A$12:$A$41,0)),"N"),"")</f>
        <v>Y</v>
      </c>
      <c r="AA29" s="17">
        <f>IF(S29=1,IFERROR(INDEX(Settings!$F$12:$F$41,MATCH($B29,Settings!$A$12:$A$41,0)),0),0)</f>
        <v>1</v>
      </c>
      <c r="AB29" s="15">
        <f>IF(S29=1,IFERROR(INDEX(Settings!$G$12:$G$41,MATCH($B29,Settings!$A$12:$A$41,0)),0),0)</f>
        <v>1</v>
      </c>
      <c r="AC29" s="18">
        <f t="shared" si="3"/>
        <v>242.76</v>
      </c>
      <c r="AD29" s="15">
        <f t="shared" si="4"/>
        <v>20.37</v>
      </c>
      <c r="AE29" s="15">
        <f t="shared" si="8"/>
        <v>20.37</v>
      </c>
      <c r="AF29" s="15">
        <f t="shared" si="5"/>
        <v>20.37</v>
      </c>
      <c r="AG29" s="18">
        <f>IF(AND(S29=1,Z29="Y"),IF(Settings!$B$6="Percentage",IF(AD29=0,0,AC29*AA29*(N29/AD29)),IF(Settings!$B$6="Points",IF(AF29=0,0,AC29*(N29*AB29)/AF29),IF(Settings!$B$6="Equally",IF(AE29=0,0,AC29*N29/AE29),0))),0)</f>
        <v>64.712164948453605</v>
      </c>
      <c r="AH29" s="18">
        <f t="shared" si="6"/>
        <v>124.9821649484536</v>
      </c>
      <c r="AI29" s="15">
        <f>IF(S29=1,IF(COUNTIFS($R$2:R29,R29,$S$2:S29,1)=1,1,0),0)</f>
        <v>0</v>
      </c>
      <c r="AJ29" s="15">
        <f>SUM($AI$2:AI29)</f>
        <v>5</v>
      </c>
    </row>
    <row r="30" spans="1:36">
      <c r="A30" t="s">
        <v>80</v>
      </c>
      <c r="H30">
        <v>10.85</v>
      </c>
      <c r="I30">
        <v>0</v>
      </c>
      <c r="J30">
        <v>0</v>
      </c>
      <c r="K30">
        <v>0</v>
      </c>
      <c r="L30">
        <v>0.28999999999999998</v>
      </c>
      <c r="M30">
        <v>0</v>
      </c>
      <c r="N30">
        <v>10.85</v>
      </c>
      <c r="O30">
        <v>733.6</v>
      </c>
      <c r="P30">
        <v>60.27</v>
      </c>
      <c r="Q30">
        <v>0</v>
      </c>
      <c r="R30" s="15" t="str">
        <f t="shared" si="7"/>
        <v/>
      </c>
      <c r="S30" s="15">
        <f t="shared" si="0"/>
        <v>0</v>
      </c>
      <c r="T30" s="16" t="str">
        <f>IF(S30=1, DATE(YEAR(Settings!$B$3), MONTH(D30), DAY(D30)), "")</f>
        <v/>
      </c>
      <c r="U30" s="15" t="str">
        <f>IF(S30=1,IFERROR(INDEX(Settings!$B$12:$B$41,MATCH($B30,Settings!$A$12:$A$41,0)),"N"),"")</f>
        <v/>
      </c>
      <c r="V30" s="15" t="str">
        <f>IF(S30=1,IFERROR(INDEX(Settings!$C$12:$C$41,MATCH($B30,Settings!$A$12:$A$41,0)),""),"")</f>
        <v/>
      </c>
      <c r="W30" s="17">
        <f>IF(S30=1,IFERROR(INDEX(Settings!$D$12:$D$41,MATCH($B30,Settings!$A$12:$A$41,0)),0),0)</f>
        <v>0</v>
      </c>
      <c r="X30" s="18">
        <f t="shared" si="1"/>
        <v>0</v>
      </c>
      <c r="Y30" s="18" t="str">
        <f t="shared" si="2"/>
        <v/>
      </c>
      <c r="Z30" s="15" t="str">
        <f>IF(S30=1,IFERROR(INDEX(Settings!$E$12:$E$41,MATCH($B30,Settings!$A$12:$A$41,0)),"N"),"")</f>
        <v/>
      </c>
      <c r="AA30" s="17">
        <f>IF(S30=1,IFERROR(INDEX(Settings!$F$12:$F$41,MATCH($B30,Settings!$A$12:$A$41,0)),0),0)</f>
        <v>0</v>
      </c>
      <c r="AB30" s="15">
        <f>IF(S30=1,IFERROR(INDEX(Settings!$G$12:$G$41,MATCH($B30,Settings!$A$12:$A$41,0)),0),0)</f>
        <v>0</v>
      </c>
      <c r="AC30" s="18" t="str">
        <f t="shared" si="3"/>
        <v/>
      </c>
      <c r="AD30" s="15" t="str">
        <f t="shared" si="4"/>
        <v/>
      </c>
      <c r="AE30" s="15" t="str">
        <f t="shared" si="8"/>
        <v/>
      </c>
      <c r="AF30" s="15" t="str">
        <f t="shared" si="5"/>
        <v/>
      </c>
      <c r="AG30" s="18">
        <f>IF(AND(S30=1,Z30="Y"),IF(Settings!$B$6="Percentage",IF(AD30=0,0,AC30*AA30*(N30/AD30)),IF(Settings!$B$6="Points",IF(AF30=0,0,AC30*(N30*AB30)/AF30),IF(Settings!$B$6="Equally",IF(AE30=0,0,AC30*N30/AE30),0))),0)</f>
        <v>0</v>
      </c>
      <c r="AH30" s="18" t="str">
        <f t="shared" si="6"/>
        <v/>
      </c>
      <c r="AI30" s="15">
        <f>IF(S30=1,IF(COUNTIFS($R$2:R30,R30,$S$2:S30,1)=1,1,0),0)</f>
        <v>0</v>
      </c>
      <c r="AJ30" s="15">
        <f>SUM($AI$2:AI30)</f>
        <v>5</v>
      </c>
    </row>
    <row r="31" spans="1:36">
      <c r="R31" s="15" t="str">
        <f t="shared" si="7"/>
        <v/>
      </c>
      <c r="S31" s="15">
        <f t="shared" si="0"/>
        <v>0</v>
      </c>
      <c r="T31" s="16" t="str">
        <f>IF(S31=1, DATE(YEAR(Settings!$B$3), MONTH(D31), DAY(D31)), "")</f>
        <v/>
      </c>
      <c r="U31" s="15" t="str">
        <f>IF(S31=1,IFERROR(INDEX(Settings!$B$12:$B$41,MATCH($B31,Settings!$A$12:$A$41,0)),"N"),"")</f>
        <v/>
      </c>
      <c r="V31" s="15" t="str">
        <f>IF(S31=1,IFERROR(INDEX(Settings!$C$12:$C$41,MATCH($B31,Settings!$A$12:$A$41,0)),""),"")</f>
        <v/>
      </c>
      <c r="W31" s="17">
        <f>IF(S31=1,IFERROR(INDEX(Settings!$D$12:$D$41,MATCH($B31,Settings!$A$12:$A$41,0)),0),0)</f>
        <v>0</v>
      </c>
      <c r="X31" s="18">
        <f t="shared" si="1"/>
        <v>0</v>
      </c>
      <c r="Y31" s="18" t="str">
        <f t="shared" si="2"/>
        <v/>
      </c>
      <c r="Z31" s="15" t="str">
        <f>IF(S31=1,IFERROR(INDEX(Settings!$E$12:$E$41,MATCH($B31,Settings!$A$12:$A$41,0)),"N"),"")</f>
        <v/>
      </c>
      <c r="AA31" s="17">
        <f>IF(S31=1,IFERROR(INDEX(Settings!$F$12:$F$41,MATCH($B31,Settings!$A$12:$A$41,0)),0),0)</f>
        <v>0</v>
      </c>
      <c r="AB31" s="15">
        <f>IF(S31=1,IFERROR(INDEX(Settings!$G$12:$G$41,MATCH($B31,Settings!$A$12:$A$41,0)),0),0)</f>
        <v>0</v>
      </c>
      <c r="AC31" s="18" t="str">
        <f t="shared" si="3"/>
        <v/>
      </c>
      <c r="AD31" s="15" t="str">
        <f t="shared" si="4"/>
        <v/>
      </c>
      <c r="AE31" s="15" t="str">
        <f t="shared" si="8"/>
        <v/>
      </c>
      <c r="AF31" s="15" t="str">
        <f t="shared" si="5"/>
        <v/>
      </c>
      <c r="AG31" s="18">
        <f>IF(AND(S31=1,Z31="Y"),IF(Settings!$B$6="Percentage",IF(AD31=0,0,AC31*AA31*(N31/AD31)),IF(Settings!$B$6="Points",IF(AF31=0,0,AC31*(N31*AB31)/AF31),IF(Settings!$B$6="Equally",IF(AE31=0,0,AC31*N31/AE31),0))),0)</f>
        <v>0</v>
      </c>
      <c r="AH31" s="18" t="str">
        <f t="shared" si="6"/>
        <v/>
      </c>
      <c r="AI31" s="15">
        <f>IF(S31=1,IF(COUNTIFS($R$2:R31,R31,$S$2:S31,1)=1,1,0),0)</f>
        <v>0</v>
      </c>
      <c r="AJ31" s="15">
        <f>SUM($AI$2:AI31)</f>
        <v>5</v>
      </c>
    </row>
    <row r="32" spans="1:36">
      <c r="A32" t="s">
        <v>85</v>
      </c>
      <c r="B32" t="s">
        <v>35</v>
      </c>
      <c r="C32">
        <v>19.61</v>
      </c>
      <c r="D32" s="27">
        <v>46274</v>
      </c>
      <c r="E32" s="28">
        <v>0.39583333333333331</v>
      </c>
      <c r="F32" s="28"/>
      <c r="G32" s="28">
        <v>0.58611111111111114</v>
      </c>
      <c r="H32">
        <v>4.57</v>
      </c>
      <c r="I32">
        <v>0</v>
      </c>
      <c r="J32">
        <v>0</v>
      </c>
      <c r="L32">
        <v>0.17</v>
      </c>
      <c r="M32">
        <v>0</v>
      </c>
      <c r="N32">
        <v>4.57</v>
      </c>
      <c r="O32">
        <v>121.58</v>
      </c>
      <c r="P32">
        <v>10.34</v>
      </c>
      <c r="Q32">
        <v>0</v>
      </c>
      <c r="R32" s="15" t="str">
        <f t="shared" si="7"/>
        <v>Ryan Chan</v>
      </c>
      <c r="S32" s="15">
        <f t="shared" si="0"/>
        <v>1</v>
      </c>
      <c r="T32" s="16">
        <f>IF(S32=1, DATE(YEAR(Settings!$B$3), MONTH(D32), DAY(D32)), "")</f>
        <v>46274</v>
      </c>
      <c r="U32" s="15" t="str">
        <f>IF(S32=1,IFERROR(INDEX(Settings!$B$12:$B$41,MATCH($B32,Settings!$A$12:$A$41,0)),"N"),"")</f>
        <v>N</v>
      </c>
      <c r="V32" s="15" t="str">
        <f>IF(S32=1,IFERROR(INDEX(Settings!$C$12:$C$41,MATCH($B32,Settings!$A$12:$A$41,0)),""),"")</f>
        <v>% of Tips</v>
      </c>
      <c r="W32" s="17">
        <f>IF(S32=1,IFERROR(INDEX(Settings!$D$12:$D$41,MATCH($B32,Settings!$A$12:$A$41,0)),0),0)</f>
        <v>0</v>
      </c>
      <c r="X32" s="18">
        <f t="shared" si="1"/>
        <v>0</v>
      </c>
      <c r="Y32" s="18">
        <f t="shared" si="2"/>
        <v>10.34</v>
      </c>
      <c r="Z32" s="15" t="str">
        <f>IF(S32=1,IFERROR(INDEX(Settings!$E$12:$E$41,MATCH($B32,Settings!$A$12:$A$41,0)),"N"),"")</f>
        <v>Y</v>
      </c>
      <c r="AA32" s="17">
        <f>IF(S32=1,IFERROR(INDEX(Settings!$F$12:$F$41,MATCH($B32,Settings!$A$12:$A$41,0)),0),0)</f>
        <v>1</v>
      </c>
      <c r="AB32" s="15">
        <f>IF(S32=1,IFERROR(INDEX(Settings!$G$12:$G$41,MATCH($B32,Settings!$A$12:$A$41,0)),0),0)</f>
        <v>1</v>
      </c>
      <c r="AC32" s="18">
        <f t="shared" si="3"/>
        <v>104.42</v>
      </c>
      <c r="AD32" s="15">
        <f t="shared" si="4"/>
        <v>10.98</v>
      </c>
      <c r="AE32" s="15">
        <f t="shared" si="8"/>
        <v>10.98</v>
      </c>
      <c r="AF32" s="15">
        <f t="shared" si="5"/>
        <v>10.98</v>
      </c>
      <c r="AG32" s="18">
        <f>IF(AND(S32=1,Z32="Y"),IF(Settings!$B$6="Percentage",IF(AD32=0,0,AC32*AA32*(N32/AD32)),IF(Settings!$B$6="Points",IF(AF32=0,0,AC32*(N32*AB32)/AF32),IF(Settings!$B$6="Equally",IF(AE32=0,0,AC32*N32/AE32),0))),0)</f>
        <v>43.46078324225865</v>
      </c>
      <c r="AH32" s="18">
        <f t="shared" si="6"/>
        <v>53.800783242258646</v>
      </c>
      <c r="AI32" s="15">
        <f>IF(S32=1,IF(COUNTIFS($R$2:R32,R32,$S$2:S32,1)=1,1,0),0)</f>
        <v>1</v>
      </c>
      <c r="AJ32" s="15">
        <f>SUM($AI$2:AI32)</f>
        <v>6</v>
      </c>
    </row>
    <row r="33" spans="1:36">
      <c r="B33" t="s">
        <v>35</v>
      </c>
      <c r="C33">
        <v>19.61</v>
      </c>
      <c r="D33" s="27">
        <v>46275</v>
      </c>
      <c r="E33" s="28">
        <v>0.42916666666666664</v>
      </c>
      <c r="F33" s="28"/>
      <c r="G33" s="28">
        <v>0.73263888888888884</v>
      </c>
      <c r="H33">
        <v>6.79</v>
      </c>
      <c r="I33">
        <v>0</v>
      </c>
      <c r="J33">
        <v>0</v>
      </c>
      <c r="L33">
        <v>0.17</v>
      </c>
      <c r="M33">
        <v>0.5</v>
      </c>
      <c r="N33">
        <v>6.79</v>
      </c>
      <c r="O33">
        <v>588.30999999999995</v>
      </c>
      <c r="P33">
        <v>41.39</v>
      </c>
      <c r="Q33">
        <v>0</v>
      </c>
      <c r="R33" s="15" t="str">
        <f t="shared" si="7"/>
        <v>Ryan Chan</v>
      </c>
      <c r="S33" s="15">
        <f t="shared" si="0"/>
        <v>1</v>
      </c>
      <c r="T33" s="16">
        <f>IF(S33=1, DATE(YEAR(Settings!$B$3), MONTH(D33), DAY(D33)), "")</f>
        <v>46275</v>
      </c>
      <c r="U33" s="15" t="str">
        <f>IF(S33=1,IFERROR(INDEX(Settings!$B$12:$B$41,MATCH($B33,Settings!$A$12:$A$41,0)),"N"),"")</f>
        <v>N</v>
      </c>
      <c r="V33" s="15" t="str">
        <f>IF(S33=1,IFERROR(INDEX(Settings!$C$12:$C$41,MATCH($B33,Settings!$A$12:$A$41,0)),""),"")</f>
        <v>% of Tips</v>
      </c>
      <c r="W33" s="17">
        <f>IF(S33=1,IFERROR(INDEX(Settings!$D$12:$D$41,MATCH($B33,Settings!$A$12:$A$41,0)),0),0)</f>
        <v>0</v>
      </c>
      <c r="X33" s="18">
        <f t="shared" si="1"/>
        <v>0</v>
      </c>
      <c r="Y33" s="18">
        <f t="shared" si="2"/>
        <v>41.39</v>
      </c>
      <c r="Z33" s="15" t="str">
        <f>IF(S33=1,IFERROR(INDEX(Settings!$E$12:$E$41,MATCH($B33,Settings!$A$12:$A$41,0)),"N"),"")</f>
        <v>Y</v>
      </c>
      <c r="AA33" s="17">
        <f>IF(S33=1,IFERROR(INDEX(Settings!$F$12:$F$41,MATCH($B33,Settings!$A$12:$A$41,0)),0),0)</f>
        <v>1</v>
      </c>
      <c r="AB33" s="15">
        <f>IF(S33=1,IFERROR(INDEX(Settings!$G$12:$G$41,MATCH($B33,Settings!$A$12:$A$41,0)),0),0)</f>
        <v>1</v>
      </c>
      <c r="AC33" s="18">
        <f t="shared" si="3"/>
        <v>54.83</v>
      </c>
      <c r="AD33" s="15">
        <f t="shared" si="4"/>
        <v>6.79</v>
      </c>
      <c r="AE33" s="15">
        <f t="shared" si="8"/>
        <v>6.79</v>
      </c>
      <c r="AF33" s="15">
        <f t="shared" si="5"/>
        <v>6.79</v>
      </c>
      <c r="AG33" s="18">
        <f>IF(AND(S33=1,Z33="Y"),IF(Settings!$B$6="Percentage",IF(AD33=0,0,AC33*AA33*(N33/AD33)),IF(Settings!$B$6="Points",IF(AF33=0,0,AC33*(N33*AB33)/AF33),IF(Settings!$B$6="Equally",IF(AE33=0,0,AC33*N33/AE33),0))),0)</f>
        <v>54.83</v>
      </c>
      <c r="AH33" s="18">
        <f t="shared" si="6"/>
        <v>96.22</v>
      </c>
      <c r="AI33" s="15">
        <f>IF(S33=1,IF(COUNTIFS($R$2:R33,R33,$S$2:S33,1)=1,1,0),0)</f>
        <v>0</v>
      </c>
      <c r="AJ33" s="15">
        <f>SUM($AI$2:AI33)</f>
        <v>6</v>
      </c>
    </row>
    <row r="34" spans="1:36">
      <c r="B34" t="s">
        <v>35</v>
      </c>
      <c r="C34">
        <v>19.61</v>
      </c>
      <c r="D34" s="27">
        <v>46276</v>
      </c>
      <c r="E34" s="28">
        <v>0.38263888888888886</v>
      </c>
      <c r="F34" s="28"/>
      <c r="G34" s="28">
        <v>0.625</v>
      </c>
      <c r="H34">
        <v>5.3</v>
      </c>
      <c r="I34">
        <v>0</v>
      </c>
      <c r="J34">
        <v>0</v>
      </c>
      <c r="L34">
        <v>0.17</v>
      </c>
      <c r="M34">
        <v>0.52</v>
      </c>
      <c r="N34">
        <v>5.3</v>
      </c>
      <c r="O34">
        <v>437.11</v>
      </c>
      <c r="P34">
        <v>32.450000000000003</v>
      </c>
      <c r="Q34">
        <v>0</v>
      </c>
      <c r="R34" s="15" t="str">
        <f t="shared" si="7"/>
        <v>Ryan Chan</v>
      </c>
      <c r="S34" s="15">
        <f t="shared" si="0"/>
        <v>1</v>
      </c>
      <c r="T34" s="16">
        <f>IF(S34=1, DATE(YEAR(Settings!$B$3), MONTH(D34), DAY(D34)), "")</f>
        <v>46276</v>
      </c>
      <c r="U34" s="15" t="str">
        <f>IF(S34=1,IFERROR(INDEX(Settings!$B$12:$B$41,MATCH($B34,Settings!$A$12:$A$41,0)),"N"),"")</f>
        <v>N</v>
      </c>
      <c r="V34" s="15" t="str">
        <f>IF(S34=1,IFERROR(INDEX(Settings!$C$12:$C$41,MATCH($B34,Settings!$A$12:$A$41,0)),""),"")</f>
        <v>% of Tips</v>
      </c>
      <c r="W34" s="17">
        <f>IF(S34=1,IFERROR(INDEX(Settings!$D$12:$D$41,MATCH($B34,Settings!$A$12:$A$41,0)),0),0)</f>
        <v>0</v>
      </c>
      <c r="X34" s="18">
        <f t="shared" si="1"/>
        <v>0</v>
      </c>
      <c r="Y34" s="18">
        <f t="shared" si="2"/>
        <v>32.450000000000003</v>
      </c>
      <c r="Z34" s="15" t="str">
        <f>IF(S34=1,IFERROR(INDEX(Settings!$E$12:$E$41,MATCH($B34,Settings!$A$12:$A$41,0)),"N"),"")</f>
        <v>Y</v>
      </c>
      <c r="AA34" s="17">
        <f>IF(S34=1,IFERROR(INDEX(Settings!$F$12:$F$41,MATCH($B34,Settings!$A$12:$A$41,0)),0),0)</f>
        <v>1</v>
      </c>
      <c r="AB34" s="15">
        <f>IF(S34=1,IFERROR(INDEX(Settings!$G$12:$G$41,MATCH($B34,Settings!$A$12:$A$41,0)),0),0)</f>
        <v>1</v>
      </c>
      <c r="AC34" s="18">
        <f t="shared" si="3"/>
        <v>87.710000000000008</v>
      </c>
      <c r="AD34" s="15">
        <f t="shared" si="4"/>
        <v>15.739999999999998</v>
      </c>
      <c r="AE34" s="15">
        <f t="shared" si="8"/>
        <v>15.739999999999998</v>
      </c>
      <c r="AF34" s="15">
        <f t="shared" si="5"/>
        <v>15.739999999999998</v>
      </c>
      <c r="AG34" s="18">
        <f>IF(AND(S34=1,Z34="Y"),IF(Settings!$B$6="Percentage",IF(AD34=0,0,AC34*AA34*(N34/AD34)),IF(Settings!$B$6="Points",IF(AF34=0,0,AC34*(N34*AB34)/AF34),IF(Settings!$B$6="Equally",IF(AE34=0,0,AC34*N34/AE34),0))),0)</f>
        <v>29.533862770012711</v>
      </c>
      <c r="AH34" s="18">
        <f t="shared" si="6"/>
        <v>61.983862770012713</v>
      </c>
      <c r="AI34" s="15">
        <f>IF(S34=1,IF(COUNTIFS($R$2:R34,R34,$S$2:S34,1)=1,1,0),0)</f>
        <v>0</v>
      </c>
      <c r="AJ34" s="15">
        <f>SUM($AI$2:AI34)</f>
        <v>6</v>
      </c>
    </row>
    <row r="35" spans="1:36">
      <c r="B35" t="s">
        <v>35</v>
      </c>
      <c r="C35">
        <v>19.61</v>
      </c>
      <c r="D35" s="27">
        <v>46277</v>
      </c>
      <c r="E35" s="28">
        <v>0.38958333333333334</v>
      </c>
      <c r="F35" s="28"/>
      <c r="G35" s="28">
        <v>0.70138888888888884</v>
      </c>
      <c r="H35">
        <v>7</v>
      </c>
      <c r="I35">
        <v>0</v>
      </c>
      <c r="J35">
        <v>0</v>
      </c>
      <c r="L35">
        <v>0.34</v>
      </c>
      <c r="M35">
        <v>0.5</v>
      </c>
      <c r="N35">
        <v>7</v>
      </c>
      <c r="O35">
        <v>967.35</v>
      </c>
      <c r="P35">
        <v>74.31</v>
      </c>
      <c r="Q35">
        <v>0</v>
      </c>
      <c r="R35" s="15" t="str">
        <f t="shared" si="7"/>
        <v>Ryan Chan</v>
      </c>
      <c r="S35" s="15">
        <f t="shared" si="0"/>
        <v>1</v>
      </c>
      <c r="T35" s="16">
        <f>IF(S35=1, DATE(YEAR(Settings!$B$3), MONTH(D35), DAY(D35)), "")</f>
        <v>46277</v>
      </c>
      <c r="U35" s="15" t="str">
        <f>IF(S35=1,IFERROR(INDEX(Settings!$B$12:$B$41,MATCH($B35,Settings!$A$12:$A$41,0)),"N"),"")</f>
        <v>N</v>
      </c>
      <c r="V35" s="15" t="str">
        <f>IF(S35=1,IFERROR(INDEX(Settings!$C$12:$C$41,MATCH($B35,Settings!$A$12:$A$41,0)),""),"")</f>
        <v>% of Tips</v>
      </c>
      <c r="W35" s="17">
        <f>IF(S35=1,IFERROR(INDEX(Settings!$D$12:$D$41,MATCH($B35,Settings!$A$12:$A$41,0)),0),0)</f>
        <v>0</v>
      </c>
      <c r="X35" s="18">
        <f t="shared" si="1"/>
        <v>0</v>
      </c>
      <c r="Y35" s="18">
        <f t="shared" si="2"/>
        <v>74.31</v>
      </c>
      <c r="Z35" s="15" t="str">
        <f>IF(S35=1,IFERROR(INDEX(Settings!$E$12:$E$41,MATCH($B35,Settings!$A$12:$A$41,0)),"N"),"")</f>
        <v>Y</v>
      </c>
      <c r="AA35" s="17">
        <f>IF(S35=1,IFERROR(INDEX(Settings!$F$12:$F$41,MATCH($B35,Settings!$A$12:$A$41,0)),0),0)</f>
        <v>1</v>
      </c>
      <c r="AB35" s="15">
        <f>IF(S35=1,IFERROR(INDEX(Settings!$G$12:$G$41,MATCH($B35,Settings!$A$12:$A$41,0)),0),0)</f>
        <v>1</v>
      </c>
      <c r="AC35" s="18">
        <f t="shared" si="3"/>
        <v>220.79</v>
      </c>
      <c r="AD35" s="15">
        <f t="shared" si="4"/>
        <v>24.11</v>
      </c>
      <c r="AE35" s="15">
        <f t="shared" si="8"/>
        <v>24.11</v>
      </c>
      <c r="AF35" s="15">
        <f t="shared" si="5"/>
        <v>24.11</v>
      </c>
      <c r="AG35" s="18">
        <f>IF(AND(S35=1,Z35="Y"),IF(Settings!$B$6="Percentage",IF(AD35=0,0,AC35*AA35*(N35/AD35)),IF(Settings!$B$6="Points",IF(AF35=0,0,AC35*(N35*AB35)/AF35),IF(Settings!$B$6="Equally",IF(AE35=0,0,AC35*N35/AE35),0))),0)</f>
        <v>64.103276648693495</v>
      </c>
      <c r="AH35" s="18">
        <f t="shared" si="6"/>
        <v>138.41327664869351</v>
      </c>
      <c r="AI35" s="15">
        <f>IF(S35=1,IF(COUNTIFS($R$2:R35,R35,$S$2:S35,1)=1,1,0),0)</f>
        <v>0</v>
      </c>
      <c r="AJ35" s="15">
        <f>SUM($AI$2:AI35)</f>
        <v>6</v>
      </c>
    </row>
    <row r="36" spans="1:36">
      <c r="B36" t="s">
        <v>35</v>
      </c>
      <c r="C36">
        <v>19.61</v>
      </c>
      <c r="D36" s="27">
        <v>46278</v>
      </c>
      <c r="E36" s="28">
        <v>0.375</v>
      </c>
      <c r="F36" s="28"/>
      <c r="G36" s="28">
        <v>0.5854166666666667</v>
      </c>
      <c r="H36">
        <v>5.0599999999999996</v>
      </c>
      <c r="I36">
        <v>0</v>
      </c>
      <c r="J36">
        <v>0</v>
      </c>
      <c r="L36">
        <v>0.17</v>
      </c>
      <c r="M36">
        <v>0</v>
      </c>
      <c r="N36">
        <v>5.0599999999999996</v>
      </c>
      <c r="O36">
        <v>0</v>
      </c>
      <c r="P36">
        <v>0</v>
      </c>
      <c r="Q36">
        <v>0</v>
      </c>
      <c r="R36" s="15" t="str">
        <f t="shared" si="7"/>
        <v>Ryan Chan</v>
      </c>
      <c r="S36" s="15">
        <f t="shared" si="0"/>
        <v>1</v>
      </c>
      <c r="T36" s="16">
        <f>IF(S36=1, DATE(YEAR(Settings!$B$3), MONTH(D36), DAY(D36)), "")</f>
        <v>46278</v>
      </c>
      <c r="U36" s="15" t="str">
        <f>IF(S36=1,IFERROR(INDEX(Settings!$B$12:$B$41,MATCH($B36,Settings!$A$12:$A$41,0)),"N"),"")</f>
        <v>N</v>
      </c>
      <c r="V36" s="15" t="str">
        <f>IF(S36=1,IFERROR(INDEX(Settings!$C$12:$C$41,MATCH($B36,Settings!$A$12:$A$41,0)),""),"")</f>
        <v>% of Tips</v>
      </c>
      <c r="W36" s="17">
        <f>IF(S36=1,IFERROR(INDEX(Settings!$D$12:$D$41,MATCH($B36,Settings!$A$12:$A$41,0)),0),0)</f>
        <v>0</v>
      </c>
      <c r="X36" s="18">
        <f t="shared" si="1"/>
        <v>0</v>
      </c>
      <c r="Y36" s="18">
        <f t="shared" si="2"/>
        <v>0</v>
      </c>
      <c r="Z36" s="15" t="str">
        <f>IF(S36=1,IFERROR(INDEX(Settings!$E$12:$E$41,MATCH($B36,Settings!$A$12:$A$41,0)),"N"),"")</f>
        <v>Y</v>
      </c>
      <c r="AA36" s="17">
        <f>IF(S36=1,IFERROR(INDEX(Settings!$F$12:$F$41,MATCH($B36,Settings!$A$12:$A$41,0)),0),0)</f>
        <v>1</v>
      </c>
      <c r="AB36" s="15">
        <f>IF(S36=1,IFERROR(INDEX(Settings!$G$12:$G$41,MATCH($B36,Settings!$A$12:$A$41,0)),0),0)</f>
        <v>1</v>
      </c>
      <c r="AC36" s="18">
        <f t="shared" si="3"/>
        <v>242.76</v>
      </c>
      <c r="AD36" s="15">
        <f t="shared" si="4"/>
        <v>20.37</v>
      </c>
      <c r="AE36" s="15">
        <f t="shared" si="8"/>
        <v>20.37</v>
      </c>
      <c r="AF36" s="15">
        <f t="shared" si="5"/>
        <v>20.37</v>
      </c>
      <c r="AG36" s="18">
        <f>IF(AND(S36=1,Z36="Y"),IF(Settings!$B$6="Percentage",IF(AD36=0,0,AC36*AA36*(N36/AD36)),IF(Settings!$B$6="Points",IF(AF36=0,0,AC36*(N36*AB36)/AF36),IF(Settings!$B$6="Equally",IF(AE36=0,0,AC36*N36/AE36),0))),0)</f>
        <v>60.302680412371124</v>
      </c>
      <c r="AH36" s="18">
        <f t="shared" si="6"/>
        <v>60.302680412371124</v>
      </c>
      <c r="AI36" s="15">
        <f>IF(S36=1,IF(COUNTIFS($R$2:R36,R36,$S$2:S36,1)=1,1,0),0)</f>
        <v>0</v>
      </c>
      <c r="AJ36" s="15">
        <f>SUM($AI$2:AI36)</f>
        <v>6</v>
      </c>
    </row>
    <row r="37" spans="1:36">
      <c r="B37" t="s">
        <v>35</v>
      </c>
      <c r="C37">
        <v>19.61</v>
      </c>
      <c r="D37" s="27">
        <v>46281</v>
      </c>
      <c r="E37" s="28">
        <v>0.38819444444444445</v>
      </c>
      <c r="F37" s="28"/>
      <c r="G37" s="28">
        <v>0.56944444444444442</v>
      </c>
      <c r="H37">
        <v>4.3499999999999996</v>
      </c>
      <c r="I37">
        <v>0</v>
      </c>
      <c r="J37">
        <v>0</v>
      </c>
      <c r="L37">
        <v>0.17</v>
      </c>
      <c r="M37">
        <v>0</v>
      </c>
      <c r="N37">
        <v>4.3499999999999996</v>
      </c>
      <c r="O37">
        <v>355.5</v>
      </c>
      <c r="P37">
        <v>23.99</v>
      </c>
      <c r="Q37">
        <v>0</v>
      </c>
      <c r="R37" s="15" t="str">
        <f t="shared" si="7"/>
        <v>Ryan Chan</v>
      </c>
      <c r="S37" s="15">
        <f t="shared" si="0"/>
        <v>1</v>
      </c>
      <c r="T37" s="16">
        <f>IF(S37=1, DATE(YEAR(Settings!$B$3), MONTH(D37), DAY(D37)), "")</f>
        <v>46281</v>
      </c>
      <c r="U37" s="15" t="str">
        <f>IF(S37=1,IFERROR(INDEX(Settings!$B$12:$B$41,MATCH($B37,Settings!$A$12:$A$41,0)),"N"),"")</f>
        <v>N</v>
      </c>
      <c r="V37" s="15" t="str">
        <f>IF(S37=1,IFERROR(INDEX(Settings!$C$12:$C$41,MATCH($B37,Settings!$A$12:$A$41,0)),""),"")</f>
        <v>% of Tips</v>
      </c>
      <c r="W37" s="17">
        <f>IF(S37=1,IFERROR(INDEX(Settings!$D$12:$D$41,MATCH($B37,Settings!$A$12:$A$41,0)),0),0)</f>
        <v>0</v>
      </c>
      <c r="X37" s="18">
        <f t="shared" si="1"/>
        <v>0</v>
      </c>
      <c r="Y37" s="18">
        <f t="shared" si="2"/>
        <v>23.99</v>
      </c>
      <c r="Z37" s="15" t="str">
        <f>IF(S37=1,IFERROR(INDEX(Settings!$E$12:$E$41,MATCH($B37,Settings!$A$12:$A$41,0)),"N"),"")</f>
        <v>Y</v>
      </c>
      <c r="AA37" s="17">
        <f>IF(S37=1,IFERROR(INDEX(Settings!$F$12:$F$41,MATCH($B37,Settings!$A$12:$A$41,0)),0),0)</f>
        <v>1</v>
      </c>
      <c r="AB37" s="15">
        <f>IF(S37=1,IFERROR(INDEX(Settings!$G$12:$G$41,MATCH($B37,Settings!$A$12:$A$41,0)),0),0)</f>
        <v>1</v>
      </c>
      <c r="AC37" s="18">
        <f t="shared" si="3"/>
        <v>81.58</v>
      </c>
      <c r="AD37" s="15">
        <f t="shared" si="4"/>
        <v>8.6499999999999986</v>
      </c>
      <c r="AE37" s="15">
        <f t="shared" si="8"/>
        <v>8.6499999999999986</v>
      </c>
      <c r="AF37" s="15">
        <f t="shared" si="5"/>
        <v>8.6499999999999986</v>
      </c>
      <c r="AG37" s="18">
        <f>IF(AND(S37=1,Z37="Y"),IF(Settings!$B$6="Percentage",IF(AD37=0,0,AC37*AA37*(N37/AD37)),IF(Settings!$B$6="Points",IF(AF37=0,0,AC37*(N37*AB37)/AF37),IF(Settings!$B$6="Equally",IF(AE37=0,0,AC37*N37/AE37),0))),0)</f>
        <v>41.025780346820817</v>
      </c>
      <c r="AH37" s="18">
        <f t="shared" si="6"/>
        <v>65.015780346820819</v>
      </c>
      <c r="AI37" s="15">
        <f>IF(S37=1,IF(COUNTIFS($R$2:R37,R37,$S$2:S37,1)=1,1,0),0)</f>
        <v>0</v>
      </c>
      <c r="AJ37" s="15">
        <f>SUM($AI$2:AI37)</f>
        <v>6</v>
      </c>
    </row>
    <row r="38" spans="1:36">
      <c r="B38" t="s">
        <v>35</v>
      </c>
      <c r="C38">
        <v>19.61</v>
      </c>
      <c r="D38" s="27">
        <v>46282</v>
      </c>
      <c r="E38" s="28">
        <v>0.5625</v>
      </c>
      <c r="F38" s="28"/>
      <c r="G38" s="28">
        <v>0.73055555555555551</v>
      </c>
      <c r="H38">
        <v>4.04</v>
      </c>
      <c r="I38">
        <v>0</v>
      </c>
      <c r="J38">
        <v>0</v>
      </c>
      <c r="L38">
        <v>0.17</v>
      </c>
      <c r="M38">
        <v>0</v>
      </c>
      <c r="N38">
        <v>4.04</v>
      </c>
      <c r="O38">
        <v>311.23</v>
      </c>
      <c r="P38">
        <v>14.09</v>
      </c>
      <c r="Q38">
        <v>0</v>
      </c>
      <c r="R38" s="15" t="str">
        <f t="shared" si="7"/>
        <v>Ryan Chan</v>
      </c>
      <c r="S38" s="15">
        <f t="shared" si="0"/>
        <v>1</v>
      </c>
      <c r="T38" s="16">
        <f>IF(S38=1, DATE(YEAR(Settings!$B$3), MONTH(D38), DAY(D38)), "")</f>
        <v>46282</v>
      </c>
      <c r="U38" s="15" t="str">
        <f>IF(S38=1,IFERROR(INDEX(Settings!$B$12:$B$41,MATCH($B38,Settings!$A$12:$A$41,0)),"N"),"")</f>
        <v>N</v>
      </c>
      <c r="V38" s="15" t="str">
        <f>IF(S38=1,IFERROR(INDEX(Settings!$C$12:$C$41,MATCH($B38,Settings!$A$12:$A$41,0)),""),"")</f>
        <v>% of Tips</v>
      </c>
      <c r="W38" s="17">
        <f>IF(S38=1,IFERROR(INDEX(Settings!$D$12:$D$41,MATCH($B38,Settings!$A$12:$A$41,0)),0),0)</f>
        <v>0</v>
      </c>
      <c r="X38" s="18">
        <f t="shared" si="1"/>
        <v>0</v>
      </c>
      <c r="Y38" s="18">
        <f t="shared" si="2"/>
        <v>14.09</v>
      </c>
      <c r="Z38" s="15" t="str">
        <f>IF(S38=1,IFERROR(INDEX(Settings!$E$12:$E$41,MATCH($B38,Settings!$A$12:$A$41,0)),"N"),"")</f>
        <v>Y</v>
      </c>
      <c r="AA38" s="17">
        <f>IF(S38=1,IFERROR(INDEX(Settings!$F$12:$F$41,MATCH($B38,Settings!$A$12:$A$41,0)),0),0)</f>
        <v>1</v>
      </c>
      <c r="AB38" s="15">
        <f>IF(S38=1,IFERROR(INDEX(Settings!$G$12:$G$41,MATCH($B38,Settings!$A$12:$A$41,0)),0),0)</f>
        <v>1</v>
      </c>
      <c r="AC38" s="18">
        <f t="shared" si="3"/>
        <v>72.78</v>
      </c>
      <c r="AD38" s="15">
        <f t="shared" si="4"/>
        <v>8.07</v>
      </c>
      <c r="AE38" s="15">
        <f t="shared" si="8"/>
        <v>8.07</v>
      </c>
      <c r="AF38" s="15">
        <f t="shared" si="5"/>
        <v>8.07</v>
      </c>
      <c r="AG38" s="18">
        <f>IF(AND(S38=1,Z38="Y"),IF(Settings!$B$6="Percentage",IF(AD38=0,0,AC38*AA38*(N38/AD38)),IF(Settings!$B$6="Points",IF(AF38=0,0,AC38*(N38*AB38)/AF38),IF(Settings!$B$6="Equally",IF(AE38=0,0,AC38*N38/AE38),0))),0)</f>
        <v>36.435092936802974</v>
      </c>
      <c r="AH38" s="18">
        <f t="shared" si="6"/>
        <v>50.525092936802977</v>
      </c>
      <c r="AI38" s="15">
        <f>IF(S38=1,IF(COUNTIFS($R$2:R38,R38,$S$2:S38,1)=1,1,0),0)</f>
        <v>0</v>
      </c>
      <c r="AJ38" s="15">
        <f>SUM($AI$2:AI38)</f>
        <v>6</v>
      </c>
    </row>
    <row r="39" spans="1:36">
      <c r="B39" t="s">
        <v>35</v>
      </c>
      <c r="C39">
        <v>19.61</v>
      </c>
      <c r="D39" s="27">
        <v>46283</v>
      </c>
      <c r="E39" s="28">
        <v>0.39305555555555555</v>
      </c>
      <c r="F39" s="28"/>
      <c r="G39" s="28">
        <v>0.58472222222222225</v>
      </c>
      <c r="H39">
        <v>4.58</v>
      </c>
      <c r="I39">
        <v>0</v>
      </c>
      <c r="J39">
        <v>0</v>
      </c>
      <c r="L39">
        <v>0.17</v>
      </c>
      <c r="M39">
        <v>0.02</v>
      </c>
      <c r="N39">
        <v>4.58</v>
      </c>
      <c r="O39">
        <v>141.05000000000001</v>
      </c>
      <c r="P39">
        <v>8.6</v>
      </c>
      <c r="Q39">
        <v>0</v>
      </c>
      <c r="R39" s="15" t="str">
        <f t="shared" si="7"/>
        <v>Ryan Chan</v>
      </c>
      <c r="S39" s="15">
        <f t="shared" si="0"/>
        <v>1</v>
      </c>
      <c r="T39" s="16">
        <f>IF(S39=1, DATE(YEAR(Settings!$B$3), MONTH(D39), DAY(D39)), "")</f>
        <v>46283</v>
      </c>
      <c r="U39" s="15" t="str">
        <f>IF(S39=1,IFERROR(INDEX(Settings!$B$12:$B$41,MATCH($B39,Settings!$A$12:$A$41,0)),"N"),"")</f>
        <v>N</v>
      </c>
      <c r="V39" s="15" t="str">
        <f>IF(S39=1,IFERROR(INDEX(Settings!$C$12:$C$41,MATCH($B39,Settings!$A$12:$A$41,0)),""),"")</f>
        <v>% of Tips</v>
      </c>
      <c r="W39" s="17">
        <f>IF(S39=1,IFERROR(INDEX(Settings!$D$12:$D$41,MATCH($B39,Settings!$A$12:$A$41,0)),0),0)</f>
        <v>0</v>
      </c>
      <c r="X39" s="18">
        <f t="shared" si="1"/>
        <v>0</v>
      </c>
      <c r="Y39" s="18">
        <f t="shared" si="2"/>
        <v>8.6</v>
      </c>
      <c r="Z39" s="15" t="str">
        <f>IF(S39=1,IFERROR(INDEX(Settings!$E$12:$E$41,MATCH($B39,Settings!$A$12:$A$41,0)),"N"),"")</f>
        <v>Y</v>
      </c>
      <c r="AA39" s="17">
        <f>IF(S39=1,IFERROR(INDEX(Settings!$F$12:$F$41,MATCH($B39,Settings!$A$12:$A$41,0)),0),0)</f>
        <v>1</v>
      </c>
      <c r="AB39" s="15">
        <f>IF(S39=1,IFERROR(INDEX(Settings!$G$12:$G$41,MATCH($B39,Settings!$A$12:$A$41,0)),0),0)</f>
        <v>1</v>
      </c>
      <c r="AC39" s="18">
        <f t="shared" si="3"/>
        <v>84.09</v>
      </c>
      <c r="AD39" s="15">
        <f t="shared" si="4"/>
        <v>12.5</v>
      </c>
      <c r="AE39" s="15">
        <f t="shared" si="8"/>
        <v>12.5</v>
      </c>
      <c r="AF39" s="15">
        <f t="shared" si="5"/>
        <v>12.5</v>
      </c>
      <c r="AG39" s="18">
        <f>IF(AND(S39=1,Z39="Y"),IF(Settings!$B$6="Percentage",IF(AD39=0,0,AC39*AA39*(N39/AD39)),IF(Settings!$B$6="Points",IF(AF39=0,0,AC39*(N39*AB39)/AF39),IF(Settings!$B$6="Equally",IF(AE39=0,0,AC39*N39/AE39),0))),0)</f>
        <v>30.810576000000001</v>
      </c>
      <c r="AH39" s="18">
        <f t="shared" si="6"/>
        <v>39.410575999999999</v>
      </c>
      <c r="AI39" s="15">
        <f>IF(S39=1,IF(COUNTIFS($R$2:R39,R39,$S$2:S39,1)=1,1,0),0)</f>
        <v>0</v>
      </c>
      <c r="AJ39" s="15">
        <f>SUM($AI$2:AI39)</f>
        <v>6</v>
      </c>
    </row>
    <row r="40" spans="1:36">
      <c r="B40" t="s">
        <v>35</v>
      </c>
      <c r="C40">
        <v>19.61</v>
      </c>
      <c r="D40" s="27">
        <v>46285</v>
      </c>
      <c r="E40" s="28">
        <v>0.39930555555555558</v>
      </c>
      <c r="F40" s="28"/>
      <c r="G40" s="28">
        <v>0.58333333333333337</v>
      </c>
      <c r="H40">
        <v>4.42</v>
      </c>
      <c r="I40">
        <v>0</v>
      </c>
      <c r="J40">
        <v>0</v>
      </c>
      <c r="L40">
        <v>0.17</v>
      </c>
      <c r="M40">
        <v>0</v>
      </c>
      <c r="N40">
        <v>4.42</v>
      </c>
      <c r="O40">
        <v>0</v>
      </c>
      <c r="P40">
        <v>0</v>
      </c>
      <c r="Q40">
        <v>0</v>
      </c>
      <c r="R40" s="15" t="str">
        <f t="shared" si="7"/>
        <v>Ryan Chan</v>
      </c>
      <c r="S40" s="15">
        <f t="shared" si="0"/>
        <v>1</v>
      </c>
      <c r="T40" s="16">
        <f>IF(S40=1, DATE(YEAR(Settings!$B$3), MONTH(D40), DAY(D40)), "")</f>
        <v>46285</v>
      </c>
      <c r="U40" s="15" t="str">
        <f>IF(S40=1,IFERROR(INDEX(Settings!$B$12:$B$41,MATCH($B40,Settings!$A$12:$A$41,0)),"N"),"")</f>
        <v>N</v>
      </c>
      <c r="V40" s="15" t="str">
        <f>IF(S40=1,IFERROR(INDEX(Settings!$C$12:$C$41,MATCH($B40,Settings!$A$12:$A$41,0)),""),"")</f>
        <v>% of Tips</v>
      </c>
      <c r="W40" s="17">
        <f>IF(S40=1,IFERROR(INDEX(Settings!$D$12:$D$41,MATCH($B40,Settings!$A$12:$A$41,0)),0),0)</f>
        <v>0</v>
      </c>
      <c r="X40" s="18">
        <f t="shared" si="1"/>
        <v>0</v>
      </c>
      <c r="Y40" s="18">
        <f t="shared" si="2"/>
        <v>0</v>
      </c>
      <c r="Z40" s="15" t="str">
        <f>IF(S40=1,IFERROR(INDEX(Settings!$E$12:$E$41,MATCH($B40,Settings!$A$12:$A$41,0)),"N"),"")</f>
        <v>Y</v>
      </c>
      <c r="AA40" s="17">
        <f>IF(S40=1,IFERROR(INDEX(Settings!$F$12:$F$41,MATCH($B40,Settings!$A$12:$A$41,0)),0),0)</f>
        <v>1</v>
      </c>
      <c r="AB40" s="15">
        <f>IF(S40=1,IFERROR(INDEX(Settings!$G$12:$G$41,MATCH($B40,Settings!$A$12:$A$41,0)),0),0)</f>
        <v>1</v>
      </c>
      <c r="AC40" s="18">
        <f t="shared" si="3"/>
        <v>146.5</v>
      </c>
      <c r="AD40" s="15">
        <f t="shared" si="4"/>
        <v>22.34</v>
      </c>
      <c r="AE40" s="15">
        <f t="shared" si="8"/>
        <v>22.34</v>
      </c>
      <c r="AF40" s="15">
        <f t="shared" si="5"/>
        <v>22.34</v>
      </c>
      <c r="AG40" s="18">
        <f>IF(AND(S40=1,Z40="Y"),IF(Settings!$B$6="Percentage",IF(AD40=0,0,AC40*AA40*(N40/AD40)),IF(Settings!$B$6="Points",IF(AF40=0,0,AC40*(N40*AB40)/AF40),IF(Settings!$B$6="Equally",IF(AE40=0,0,AC40*N40/AE40),0))),0)</f>
        <v>28.985228290062668</v>
      </c>
      <c r="AH40" s="18">
        <f t="shared" si="6"/>
        <v>28.985228290062668</v>
      </c>
      <c r="AI40" s="15">
        <f>IF(S40=1,IF(COUNTIFS($R$2:R40,R40,$S$2:S40,1)=1,1,0),0)</f>
        <v>0</v>
      </c>
      <c r="AJ40" s="15">
        <f>SUM($AI$2:AI40)</f>
        <v>6</v>
      </c>
    </row>
    <row r="41" spans="1:36">
      <c r="A41" t="s">
        <v>80</v>
      </c>
      <c r="H41">
        <v>46.11</v>
      </c>
      <c r="I41">
        <v>0</v>
      </c>
      <c r="J41">
        <v>0</v>
      </c>
      <c r="K41">
        <v>0</v>
      </c>
      <c r="L41">
        <v>1.7</v>
      </c>
      <c r="M41">
        <v>1.54</v>
      </c>
      <c r="N41">
        <v>46.11</v>
      </c>
      <c r="O41">
        <v>2922.13</v>
      </c>
      <c r="P41">
        <v>205.17</v>
      </c>
      <c r="Q41">
        <v>0</v>
      </c>
      <c r="R41" s="15" t="str">
        <f t="shared" si="7"/>
        <v/>
      </c>
      <c r="S41" s="15">
        <f t="shared" si="0"/>
        <v>0</v>
      </c>
      <c r="T41" s="16" t="str">
        <f>IF(S41=1, DATE(YEAR(Settings!$B$3), MONTH(D41), DAY(D41)), "")</f>
        <v/>
      </c>
      <c r="U41" s="15" t="str">
        <f>IF(S41=1,IFERROR(INDEX(Settings!$B$12:$B$41,MATCH($B41,Settings!$A$12:$A$41,0)),"N"),"")</f>
        <v/>
      </c>
      <c r="V41" s="15" t="str">
        <f>IF(S41=1,IFERROR(INDEX(Settings!$C$12:$C$41,MATCH($B41,Settings!$A$12:$A$41,0)),""),"")</f>
        <v/>
      </c>
      <c r="W41" s="17">
        <f>IF(S41=1,IFERROR(INDEX(Settings!$D$12:$D$41,MATCH($B41,Settings!$A$12:$A$41,0)),0),0)</f>
        <v>0</v>
      </c>
      <c r="X41" s="18">
        <f t="shared" si="1"/>
        <v>0</v>
      </c>
      <c r="Y41" s="18" t="str">
        <f t="shared" si="2"/>
        <v/>
      </c>
      <c r="Z41" s="15" t="str">
        <f>IF(S41=1,IFERROR(INDEX(Settings!$E$12:$E$41,MATCH($B41,Settings!$A$12:$A$41,0)),"N"),"")</f>
        <v/>
      </c>
      <c r="AA41" s="17">
        <f>IF(S41=1,IFERROR(INDEX(Settings!$F$12:$F$41,MATCH($B41,Settings!$A$12:$A$41,0)),0),0)</f>
        <v>0</v>
      </c>
      <c r="AB41" s="15">
        <f>IF(S41=1,IFERROR(INDEX(Settings!$G$12:$G$41,MATCH($B41,Settings!$A$12:$A$41,0)),0),0)</f>
        <v>0</v>
      </c>
      <c r="AC41" s="18" t="str">
        <f t="shared" si="3"/>
        <v/>
      </c>
      <c r="AD41" s="15" t="str">
        <f t="shared" si="4"/>
        <v/>
      </c>
      <c r="AE41" s="15" t="str">
        <f t="shared" si="8"/>
        <v/>
      </c>
      <c r="AF41" s="15" t="str">
        <f t="shared" si="5"/>
        <v/>
      </c>
      <c r="AG41" s="18">
        <f>IF(AND(S41=1,Z41="Y"),IF(Settings!$B$6="Percentage",IF(AD41=0,0,AC41*AA41*(N41/AD41)),IF(Settings!$B$6="Points",IF(AF41=0,0,AC41*(N41*AB41)/AF41),IF(Settings!$B$6="Equally",IF(AE41=0,0,AC41*N41/AE41),0))),0)</f>
        <v>0</v>
      </c>
      <c r="AH41" s="18" t="str">
        <f t="shared" si="6"/>
        <v/>
      </c>
      <c r="AI41" s="15">
        <f>IF(S41=1,IF(COUNTIFS($R$2:R41,R41,$S$2:S41,1)=1,1,0),0)</f>
        <v>0</v>
      </c>
      <c r="AJ41" s="15">
        <f>SUM($AI$2:AI41)</f>
        <v>6</v>
      </c>
    </row>
    <row r="42" spans="1:36">
      <c r="R42" s="15" t="str">
        <f t="shared" si="7"/>
        <v/>
      </c>
      <c r="S42" s="15">
        <f t="shared" si="0"/>
        <v>0</v>
      </c>
      <c r="T42" s="16" t="str">
        <f>IF(S42=1, DATE(YEAR(Settings!$B$3), MONTH(D42), DAY(D42)), "")</f>
        <v/>
      </c>
      <c r="U42" s="15" t="str">
        <f>IF(S42=1,IFERROR(INDEX(Settings!$B$12:$B$41,MATCH($B42,Settings!$A$12:$A$41,0)),"N"),"")</f>
        <v/>
      </c>
      <c r="V42" s="15" t="str">
        <f>IF(S42=1,IFERROR(INDEX(Settings!$C$12:$C$41,MATCH($B42,Settings!$A$12:$A$41,0)),""),"")</f>
        <v/>
      </c>
      <c r="W42" s="17">
        <f>IF(S42=1,IFERROR(INDEX(Settings!$D$12:$D$41,MATCH($B42,Settings!$A$12:$A$41,0)),0),0)</f>
        <v>0</v>
      </c>
      <c r="X42" s="18">
        <f t="shared" si="1"/>
        <v>0</v>
      </c>
      <c r="Y42" s="18" t="str">
        <f t="shared" si="2"/>
        <v/>
      </c>
      <c r="Z42" s="15" t="str">
        <f>IF(S42=1,IFERROR(INDEX(Settings!$E$12:$E$41,MATCH($B42,Settings!$A$12:$A$41,0)),"N"),"")</f>
        <v/>
      </c>
      <c r="AA42" s="17">
        <f>IF(S42=1,IFERROR(INDEX(Settings!$F$12:$F$41,MATCH($B42,Settings!$A$12:$A$41,0)),0),0)</f>
        <v>0</v>
      </c>
      <c r="AB42" s="15">
        <f>IF(S42=1,IFERROR(INDEX(Settings!$G$12:$G$41,MATCH($B42,Settings!$A$12:$A$41,0)),0),0)</f>
        <v>0</v>
      </c>
      <c r="AC42" s="18" t="str">
        <f t="shared" si="3"/>
        <v/>
      </c>
      <c r="AD42" s="15" t="str">
        <f t="shared" si="4"/>
        <v/>
      </c>
      <c r="AE42" s="15" t="str">
        <f t="shared" si="8"/>
        <v/>
      </c>
      <c r="AF42" s="15" t="str">
        <f t="shared" si="5"/>
        <v/>
      </c>
      <c r="AG42" s="18">
        <f>IF(AND(S42=1,Z42="Y"),IF(Settings!$B$6="Percentage",IF(AD42=0,0,AC42*AA42*(N42/AD42)),IF(Settings!$B$6="Points",IF(AF42=0,0,AC42*(N42*AB42)/AF42),IF(Settings!$B$6="Equally",IF(AE42=0,0,AC42*N42/AE42),0))),0)</f>
        <v>0</v>
      </c>
      <c r="AH42" s="18" t="str">
        <f t="shared" si="6"/>
        <v/>
      </c>
      <c r="AI42" s="15">
        <f>IF(S42=1,IF(COUNTIFS($R$2:R42,R42,$S$2:S42,1)=1,1,0),0)</f>
        <v>0</v>
      </c>
      <c r="AJ42" s="15">
        <f>SUM($AI$2:AI42)</f>
        <v>6</v>
      </c>
    </row>
    <row r="43" spans="1:36">
      <c r="A43" t="s">
        <v>86</v>
      </c>
      <c r="B43" t="s">
        <v>35</v>
      </c>
      <c r="C43">
        <v>19.61</v>
      </c>
      <c r="D43" s="27">
        <v>46277</v>
      </c>
      <c r="E43" s="28">
        <v>0.52847222222222223</v>
      </c>
      <c r="F43" s="28"/>
      <c r="G43" s="28">
        <v>0.7583333333333333</v>
      </c>
      <c r="H43">
        <v>5.0199999999999996</v>
      </c>
      <c r="I43">
        <v>0</v>
      </c>
      <c r="J43">
        <v>0</v>
      </c>
      <c r="L43">
        <v>0.17</v>
      </c>
      <c r="M43">
        <v>0.5</v>
      </c>
      <c r="N43">
        <v>5.0199999999999996</v>
      </c>
      <c r="O43">
        <v>0</v>
      </c>
      <c r="P43">
        <v>0</v>
      </c>
      <c r="Q43">
        <v>0</v>
      </c>
      <c r="R43" s="15" t="str">
        <f t="shared" si="7"/>
        <v>Xiao Lan Wen</v>
      </c>
      <c r="S43" s="15">
        <f t="shared" si="0"/>
        <v>1</v>
      </c>
      <c r="T43" s="16">
        <f>IF(S43=1, DATE(YEAR(Settings!$B$3), MONTH(D43), DAY(D43)), "")</f>
        <v>46277</v>
      </c>
      <c r="U43" s="15" t="str">
        <f>IF(S43=1,IFERROR(INDEX(Settings!$B$12:$B$41,MATCH($B43,Settings!$A$12:$A$41,0)),"N"),"")</f>
        <v>N</v>
      </c>
      <c r="V43" s="15" t="str">
        <f>IF(S43=1,IFERROR(INDEX(Settings!$C$12:$C$41,MATCH($B43,Settings!$A$12:$A$41,0)),""),"")</f>
        <v>% of Tips</v>
      </c>
      <c r="W43" s="17">
        <f>IF(S43=1,IFERROR(INDEX(Settings!$D$12:$D$41,MATCH($B43,Settings!$A$12:$A$41,0)),0),0)</f>
        <v>0</v>
      </c>
      <c r="X43" s="18">
        <f t="shared" si="1"/>
        <v>0</v>
      </c>
      <c r="Y43" s="18">
        <f t="shared" si="2"/>
        <v>0</v>
      </c>
      <c r="Z43" s="15" t="str">
        <f>IF(S43=1,IFERROR(INDEX(Settings!$E$12:$E$41,MATCH($B43,Settings!$A$12:$A$41,0)),"N"),"")</f>
        <v>Y</v>
      </c>
      <c r="AA43" s="17">
        <f>IF(S43=1,IFERROR(INDEX(Settings!$F$12:$F$41,MATCH($B43,Settings!$A$12:$A$41,0)),0),0)</f>
        <v>1</v>
      </c>
      <c r="AB43" s="15">
        <f>IF(S43=1,IFERROR(INDEX(Settings!$G$12:$G$41,MATCH($B43,Settings!$A$12:$A$41,0)),0),0)</f>
        <v>1</v>
      </c>
      <c r="AC43" s="18">
        <f t="shared" si="3"/>
        <v>220.79</v>
      </c>
      <c r="AD43" s="15">
        <f t="shared" si="4"/>
        <v>24.11</v>
      </c>
      <c r="AE43" s="15">
        <f t="shared" si="8"/>
        <v>24.11</v>
      </c>
      <c r="AF43" s="15">
        <f t="shared" si="5"/>
        <v>24.11</v>
      </c>
      <c r="AG43" s="18">
        <f>IF(AND(S43=1,Z43="Y"),IF(Settings!$B$6="Percentage",IF(AD43=0,0,AC43*AA43*(N43/AD43)),IF(Settings!$B$6="Points",IF(AF43=0,0,AC43*(N43*AB43)/AF43),IF(Settings!$B$6="Equally",IF(AE43=0,0,AC43*N43/AE43),0))),0)</f>
        <v>45.971206968063036</v>
      </c>
      <c r="AH43" s="18">
        <f t="shared" si="6"/>
        <v>45.971206968063036</v>
      </c>
      <c r="AI43" s="15">
        <f>IF(S43=1,IF(COUNTIFS($R$2:R43,R43,$S$2:S43,1)=1,1,0),0)</f>
        <v>1</v>
      </c>
      <c r="AJ43" s="15">
        <f>SUM($AI$2:AI43)</f>
        <v>7</v>
      </c>
    </row>
    <row r="44" spans="1:36">
      <c r="B44" t="s">
        <v>35</v>
      </c>
      <c r="C44">
        <v>19.61</v>
      </c>
      <c r="D44" s="27">
        <v>46284</v>
      </c>
      <c r="E44" s="28">
        <v>0.52083333333333337</v>
      </c>
      <c r="F44" s="28"/>
      <c r="G44" s="28">
        <v>0.75972222222222219</v>
      </c>
      <c r="H44">
        <v>5.74</v>
      </c>
      <c r="I44">
        <v>0</v>
      </c>
      <c r="J44">
        <v>0</v>
      </c>
      <c r="L44">
        <v>0.34</v>
      </c>
      <c r="M44">
        <v>0</v>
      </c>
      <c r="N44">
        <v>5.74</v>
      </c>
      <c r="O44">
        <v>0</v>
      </c>
      <c r="P44">
        <v>0</v>
      </c>
      <c r="Q44">
        <v>0</v>
      </c>
      <c r="R44" s="15" t="str">
        <f t="shared" si="7"/>
        <v>Xiao Lan Wen</v>
      </c>
      <c r="S44" s="15">
        <f t="shared" si="0"/>
        <v>1</v>
      </c>
      <c r="T44" s="16">
        <f>IF(S44=1, DATE(YEAR(Settings!$B$3), MONTH(D44), DAY(D44)), "")</f>
        <v>46284</v>
      </c>
      <c r="U44" s="15" t="str">
        <f>IF(S44=1,IFERROR(INDEX(Settings!$B$12:$B$41,MATCH($B44,Settings!$A$12:$A$41,0)),"N"),"")</f>
        <v>N</v>
      </c>
      <c r="V44" s="15" t="str">
        <f>IF(S44=1,IFERROR(INDEX(Settings!$C$12:$C$41,MATCH($B44,Settings!$A$12:$A$41,0)),""),"")</f>
        <v>% of Tips</v>
      </c>
      <c r="W44" s="17">
        <f>IF(S44=1,IFERROR(INDEX(Settings!$D$12:$D$41,MATCH($B44,Settings!$A$12:$A$41,0)),0),0)</f>
        <v>0</v>
      </c>
      <c r="X44" s="18">
        <f t="shared" si="1"/>
        <v>0</v>
      </c>
      <c r="Y44" s="18">
        <f t="shared" si="2"/>
        <v>0</v>
      </c>
      <c r="Z44" s="15" t="str">
        <f>IF(S44=1,IFERROR(INDEX(Settings!$E$12:$E$41,MATCH($B44,Settings!$A$12:$A$41,0)),"N"),"")</f>
        <v>Y</v>
      </c>
      <c r="AA44" s="17">
        <f>IF(S44=1,IFERROR(INDEX(Settings!$F$12:$F$41,MATCH($B44,Settings!$A$12:$A$41,0)),0),0)</f>
        <v>1</v>
      </c>
      <c r="AB44" s="15">
        <f>IF(S44=1,IFERROR(INDEX(Settings!$G$12:$G$41,MATCH($B44,Settings!$A$12:$A$41,0)),0),0)</f>
        <v>1</v>
      </c>
      <c r="AC44" s="18">
        <f t="shared" si="3"/>
        <v>190.57</v>
      </c>
      <c r="AD44" s="15">
        <f t="shared" si="4"/>
        <v>28</v>
      </c>
      <c r="AE44" s="15">
        <f t="shared" si="8"/>
        <v>28</v>
      </c>
      <c r="AF44" s="15">
        <f t="shared" si="5"/>
        <v>28</v>
      </c>
      <c r="AG44" s="18">
        <f>IF(AND(S44=1,Z44="Y"),IF(Settings!$B$6="Percentage",IF(AD44=0,0,AC44*AA44*(N44/AD44)),IF(Settings!$B$6="Points",IF(AF44=0,0,AC44*(N44*AB44)/AF44),IF(Settings!$B$6="Equally",IF(AE44=0,0,AC44*N44/AE44),0))),0)</f>
        <v>39.066849999999995</v>
      </c>
      <c r="AH44" s="18">
        <f t="shared" si="6"/>
        <v>39.066849999999995</v>
      </c>
      <c r="AI44" s="15">
        <f>IF(S44=1,IF(COUNTIFS($R$2:R44,R44,$S$2:S44,1)=1,1,0),0)</f>
        <v>0</v>
      </c>
      <c r="AJ44" s="15">
        <f>SUM($AI$2:AI44)</f>
        <v>7</v>
      </c>
    </row>
    <row r="45" spans="1:36">
      <c r="A45" t="s">
        <v>80</v>
      </c>
      <c r="H45">
        <v>10.76</v>
      </c>
      <c r="I45">
        <v>0</v>
      </c>
      <c r="J45">
        <v>0</v>
      </c>
      <c r="K45">
        <v>0</v>
      </c>
      <c r="L45">
        <v>0.51</v>
      </c>
      <c r="M45">
        <v>0.5</v>
      </c>
      <c r="N45">
        <v>10.76</v>
      </c>
      <c r="O45">
        <v>0</v>
      </c>
      <c r="P45">
        <v>0</v>
      </c>
      <c r="Q45">
        <v>0</v>
      </c>
      <c r="R45" s="15" t="str">
        <f t="shared" si="7"/>
        <v/>
      </c>
      <c r="S45" s="15">
        <f t="shared" si="0"/>
        <v>0</v>
      </c>
      <c r="T45" s="16" t="str">
        <f>IF(S45=1, DATE(YEAR(Settings!$B$3), MONTH(D45), DAY(D45)), "")</f>
        <v/>
      </c>
      <c r="U45" s="15" t="str">
        <f>IF(S45=1,IFERROR(INDEX(Settings!$B$12:$B$41,MATCH($B45,Settings!$A$12:$A$41,0)),"N"),"")</f>
        <v/>
      </c>
      <c r="V45" s="15" t="str">
        <f>IF(S45=1,IFERROR(INDEX(Settings!$C$12:$C$41,MATCH($B45,Settings!$A$12:$A$41,0)),""),"")</f>
        <v/>
      </c>
      <c r="W45" s="17">
        <f>IF(S45=1,IFERROR(INDEX(Settings!$D$12:$D$41,MATCH($B45,Settings!$A$12:$A$41,0)),0),0)</f>
        <v>0</v>
      </c>
      <c r="X45" s="18">
        <f t="shared" si="1"/>
        <v>0</v>
      </c>
      <c r="Y45" s="18" t="str">
        <f t="shared" si="2"/>
        <v/>
      </c>
      <c r="Z45" s="15" t="str">
        <f>IF(S45=1,IFERROR(INDEX(Settings!$E$12:$E$41,MATCH($B45,Settings!$A$12:$A$41,0)),"N"),"")</f>
        <v/>
      </c>
      <c r="AA45" s="17">
        <f>IF(S45=1,IFERROR(INDEX(Settings!$F$12:$F$41,MATCH($B45,Settings!$A$12:$A$41,0)),0),0)</f>
        <v>0</v>
      </c>
      <c r="AB45" s="15">
        <f>IF(S45=1,IFERROR(INDEX(Settings!$G$12:$G$41,MATCH($B45,Settings!$A$12:$A$41,0)),0),0)</f>
        <v>0</v>
      </c>
      <c r="AC45" s="18" t="str">
        <f t="shared" si="3"/>
        <v/>
      </c>
      <c r="AD45" s="15" t="str">
        <f t="shared" si="4"/>
        <v/>
      </c>
      <c r="AE45" s="15" t="str">
        <f t="shared" si="8"/>
        <v/>
      </c>
      <c r="AF45" s="15" t="str">
        <f t="shared" si="5"/>
        <v/>
      </c>
      <c r="AG45" s="18">
        <f>IF(AND(S45=1,Z45="Y"),IF(Settings!$B$6="Percentage",IF(AD45=0,0,AC45*AA45*(N45/AD45)),IF(Settings!$B$6="Points",IF(AF45=0,0,AC45*(N45*AB45)/AF45),IF(Settings!$B$6="Equally",IF(AE45=0,0,AC45*N45/AE45),0))),0)</f>
        <v>0</v>
      </c>
      <c r="AH45" s="18" t="str">
        <f t="shared" si="6"/>
        <v/>
      </c>
      <c r="AI45" s="15">
        <f>IF(S45=1,IF(COUNTIFS($R$2:R45,R45,$S$2:S45,1)=1,1,0),0)</f>
        <v>0</v>
      </c>
      <c r="AJ45" s="15">
        <f>SUM($AI$2:AI45)</f>
        <v>7</v>
      </c>
    </row>
    <row r="46" spans="1:36">
      <c r="R46" s="15" t="str">
        <f t="shared" si="7"/>
        <v/>
      </c>
      <c r="S46" s="15">
        <f t="shared" si="0"/>
        <v>0</v>
      </c>
      <c r="T46" s="16" t="str">
        <f>IF(S46=1, DATE(YEAR(Settings!$B$3), MONTH(D46), DAY(D46)), "")</f>
        <v/>
      </c>
      <c r="U46" s="15" t="str">
        <f>IF(S46=1,IFERROR(INDEX(Settings!$B$12:$B$41,MATCH($B46,Settings!$A$12:$A$41,0)),"N"),"")</f>
        <v/>
      </c>
      <c r="V46" s="15" t="str">
        <f>IF(S46=1,IFERROR(INDEX(Settings!$C$12:$C$41,MATCH($B46,Settings!$A$12:$A$41,0)),""),"")</f>
        <v/>
      </c>
      <c r="W46" s="17">
        <f>IF(S46=1,IFERROR(INDEX(Settings!$D$12:$D$41,MATCH($B46,Settings!$A$12:$A$41,0)),0),0)</f>
        <v>0</v>
      </c>
      <c r="X46" s="18">
        <f t="shared" si="1"/>
        <v>0</v>
      </c>
      <c r="Y46" s="18" t="str">
        <f t="shared" si="2"/>
        <v/>
      </c>
      <c r="Z46" s="15" t="str">
        <f>IF(S46=1,IFERROR(INDEX(Settings!$E$12:$E$41,MATCH($B46,Settings!$A$12:$A$41,0)),"N"),"")</f>
        <v/>
      </c>
      <c r="AA46" s="17">
        <f>IF(S46=1,IFERROR(INDEX(Settings!$F$12:$F$41,MATCH($B46,Settings!$A$12:$A$41,0)),0),0)</f>
        <v>0</v>
      </c>
      <c r="AB46" s="15">
        <f>IF(S46=1,IFERROR(INDEX(Settings!$G$12:$G$41,MATCH($B46,Settings!$A$12:$A$41,0)),0),0)</f>
        <v>0</v>
      </c>
      <c r="AC46" s="18" t="str">
        <f t="shared" si="3"/>
        <v/>
      </c>
      <c r="AD46" s="15" t="str">
        <f t="shared" si="4"/>
        <v/>
      </c>
      <c r="AE46" s="15" t="str">
        <f t="shared" si="8"/>
        <v/>
      </c>
      <c r="AF46" s="15" t="str">
        <f t="shared" si="5"/>
        <v/>
      </c>
      <c r="AG46" s="18">
        <f>IF(AND(S46=1,Z46="Y"),IF(Settings!$B$6="Percentage",IF(AD46=0,0,AC46*AA46*(N46/AD46)),IF(Settings!$B$6="Points",IF(AF46=0,0,AC46*(N46*AB46)/AF46),IF(Settings!$B$6="Equally",IF(AE46=0,0,AC46*N46/AE46),0))),0)</f>
        <v>0</v>
      </c>
      <c r="AH46" s="18" t="str">
        <f t="shared" si="6"/>
        <v/>
      </c>
      <c r="AI46" s="15">
        <f>IF(S46=1,IF(COUNTIFS($R$2:R46,R46,$S$2:S46,1)=1,1,0),0)</f>
        <v>0</v>
      </c>
      <c r="AJ46" s="15">
        <f>SUM($AI$2:AI46)</f>
        <v>7</v>
      </c>
    </row>
    <row r="47" spans="1:36">
      <c r="A47" t="s">
        <v>87</v>
      </c>
      <c r="B47" t="s">
        <v>35</v>
      </c>
      <c r="C47">
        <v>19.61</v>
      </c>
      <c r="D47" s="27">
        <v>46277</v>
      </c>
      <c r="E47" s="28">
        <v>0.46111111111111114</v>
      </c>
      <c r="F47" s="28"/>
      <c r="G47" s="28">
        <v>0.66874999999999996</v>
      </c>
      <c r="H47">
        <v>4.72</v>
      </c>
      <c r="I47">
        <v>0</v>
      </c>
      <c r="J47">
        <v>0</v>
      </c>
      <c r="L47">
        <v>0.17</v>
      </c>
      <c r="M47">
        <v>0.27</v>
      </c>
      <c r="N47">
        <v>4.72</v>
      </c>
      <c r="O47">
        <v>1175.45</v>
      </c>
      <c r="P47">
        <v>92.12</v>
      </c>
      <c r="Q47">
        <v>0</v>
      </c>
      <c r="R47" s="15" t="str">
        <f t="shared" si="7"/>
        <v>Chazilyn Cabigon</v>
      </c>
      <c r="S47" s="15">
        <f t="shared" si="0"/>
        <v>1</v>
      </c>
      <c r="T47" s="16">
        <f>IF(S47=1, DATE(YEAR(Settings!$B$3), MONTH(D47), DAY(D47)), "")</f>
        <v>46277</v>
      </c>
      <c r="U47" s="15" t="str">
        <f>IF(S47=1,IFERROR(INDEX(Settings!$B$12:$B$41,MATCH($B47,Settings!$A$12:$A$41,0)),"N"),"")</f>
        <v>N</v>
      </c>
      <c r="V47" s="15" t="str">
        <f>IF(S47=1,IFERROR(INDEX(Settings!$C$12:$C$41,MATCH($B47,Settings!$A$12:$A$41,0)),""),"")</f>
        <v>% of Tips</v>
      </c>
      <c r="W47" s="17">
        <f>IF(S47=1,IFERROR(INDEX(Settings!$D$12:$D$41,MATCH($B47,Settings!$A$12:$A$41,0)),0),0)</f>
        <v>0</v>
      </c>
      <c r="X47" s="18">
        <f t="shared" si="1"/>
        <v>0</v>
      </c>
      <c r="Y47" s="18">
        <f t="shared" si="2"/>
        <v>92.12</v>
      </c>
      <c r="Z47" s="15" t="str">
        <f>IF(S47=1,IFERROR(INDEX(Settings!$E$12:$E$41,MATCH($B47,Settings!$A$12:$A$41,0)),"N"),"")</f>
        <v>Y</v>
      </c>
      <c r="AA47" s="17">
        <f>IF(S47=1,IFERROR(INDEX(Settings!$F$12:$F$41,MATCH($B47,Settings!$A$12:$A$41,0)),0),0)</f>
        <v>1</v>
      </c>
      <c r="AB47" s="15">
        <f>IF(S47=1,IFERROR(INDEX(Settings!$G$12:$G$41,MATCH($B47,Settings!$A$12:$A$41,0)),0),0)</f>
        <v>1</v>
      </c>
      <c r="AC47" s="18">
        <f t="shared" si="3"/>
        <v>220.79</v>
      </c>
      <c r="AD47" s="15">
        <f t="shared" si="4"/>
        <v>24.11</v>
      </c>
      <c r="AE47" s="15">
        <f t="shared" si="8"/>
        <v>24.11</v>
      </c>
      <c r="AF47" s="15">
        <f t="shared" si="5"/>
        <v>24.11</v>
      </c>
      <c r="AG47" s="18">
        <f>IF(AND(S47=1,Z47="Y"),IF(Settings!$B$6="Percentage",IF(AD47=0,0,AC47*AA47*(N47/AD47)),IF(Settings!$B$6="Points",IF(AF47=0,0,AC47*(N47*AB47)/AF47),IF(Settings!$B$6="Equally",IF(AE47=0,0,AC47*N47/AE47),0))),0)</f>
        <v>43.22392368311904</v>
      </c>
      <c r="AH47" s="18">
        <f t="shared" si="6"/>
        <v>135.34392368311904</v>
      </c>
      <c r="AI47" s="15">
        <f>IF(S47=1,IF(COUNTIFS($R$2:R47,R47,$S$2:S47,1)=1,1,0),0)</f>
        <v>1</v>
      </c>
      <c r="AJ47" s="15">
        <f>SUM($AI$2:AI47)</f>
        <v>8</v>
      </c>
    </row>
    <row r="48" spans="1:36">
      <c r="B48" t="s">
        <v>35</v>
      </c>
      <c r="C48">
        <v>19.61</v>
      </c>
      <c r="D48" s="27">
        <v>46278</v>
      </c>
      <c r="E48" s="28">
        <v>0.47986111111111113</v>
      </c>
      <c r="F48" s="28"/>
      <c r="G48" s="28">
        <v>0.62430555555555556</v>
      </c>
      <c r="H48">
        <v>3.46</v>
      </c>
      <c r="I48">
        <v>0</v>
      </c>
      <c r="J48">
        <v>0</v>
      </c>
      <c r="L48">
        <v>0.17</v>
      </c>
      <c r="M48">
        <v>0.01</v>
      </c>
      <c r="N48">
        <v>3.46</v>
      </c>
      <c r="O48">
        <v>22.45</v>
      </c>
      <c r="P48">
        <v>2.44</v>
      </c>
      <c r="Q48">
        <v>0</v>
      </c>
      <c r="R48" s="15" t="str">
        <f t="shared" si="7"/>
        <v>Chazilyn Cabigon</v>
      </c>
      <c r="S48" s="15">
        <f t="shared" si="0"/>
        <v>1</v>
      </c>
      <c r="T48" s="16">
        <f>IF(S48=1, DATE(YEAR(Settings!$B$3), MONTH(D48), DAY(D48)), "")</f>
        <v>46278</v>
      </c>
      <c r="U48" s="15" t="str">
        <f>IF(S48=1,IFERROR(INDEX(Settings!$B$12:$B$41,MATCH($B48,Settings!$A$12:$A$41,0)),"N"),"")</f>
        <v>N</v>
      </c>
      <c r="V48" s="15" t="str">
        <f>IF(S48=1,IFERROR(INDEX(Settings!$C$12:$C$41,MATCH($B48,Settings!$A$12:$A$41,0)),""),"")</f>
        <v>% of Tips</v>
      </c>
      <c r="W48" s="17">
        <f>IF(S48=1,IFERROR(INDEX(Settings!$D$12:$D$41,MATCH($B48,Settings!$A$12:$A$41,0)),0),0)</f>
        <v>0</v>
      </c>
      <c r="X48" s="18">
        <f t="shared" si="1"/>
        <v>0</v>
      </c>
      <c r="Y48" s="18">
        <f t="shared" si="2"/>
        <v>2.44</v>
      </c>
      <c r="Z48" s="15" t="str">
        <f>IF(S48=1,IFERROR(INDEX(Settings!$E$12:$E$41,MATCH($B48,Settings!$A$12:$A$41,0)),"N"),"")</f>
        <v>Y</v>
      </c>
      <c r="AA48" s="17">
        <f>IF(S48=1,IFERROR(INDEX(Settings!$F$12:$F$41,MATCH($B48,Settings!$A$12:$A$41,0)),0),0)</f>
        <v>1</v>
      </c>
      <c r="AB48" s="15">
        <f>IF(S48=1,IFERROR(INDEX(Settings!$G$12:$G$41,MATCH($B48,Settings!$A$12:$A$41,0)),0),0)</f>
        <v>1</v>
      </c>
      <c r="AC48" s="18">
        <f t="shared" si="3"/>
        <v>242.76</v>
      </c>
      <c r="AD48" s="15">
        <f t="shared" si="4"/>
        <v>20.37</v>
      </c>
      <c r="AE48" s="15">
        <f t="shared" si="8"/>
        <v>20.37</v>
      </c>
      <c r="AF48" s="15">
        <f t="shared" si="5"/>
        <v>20.37</v>
      </c>
      <c r="AG48" s="18">
        <f>IF(AND(S48=1,Z48="Y"),IF(Settings!$B$6="Percentage",IF(AD48=0,0,AC48*AA48*(N48/AD48)),IF(Settings!$B$6="Points",IF(AF48=0,0,AC48*(N48*AB48)/AF48),IF(Settings!$B$6="Equally",IF(AE48=0,0,AC48*N48/AE48),0))),0)</f>
        <v>41.234639175257726</v>
      </c>
      <c r="AH48" s="18">
        <f t="shared" si="6"/>
        <v>43.674639175257724</v>
      </c>
      <c r="AI48" s="15">
        <f>IF(S48=1,IF(COUNTIFS($R$2:R48,R48,$S$2:S48,1)=1,1,0),0)</f>
        <v>0</v>
      </c>
      <c r="AJ48" s="15">
        <f>SUM($AI$2:AI48)</f>
        <v>8</v>
      </c>
    </row>
    <row r="49" spans="1:36">
      <c r="A49" t="s">
        <v>80</v>
      </c>
      <c r="H49">
        <v>8.18</v>
      </c>
      <c r="I49">
        <v>0</v>
      </c>
      <c r="J49">
        <v>0</v>
      </c>
      <c r="K49">
        <v>0</v>
      </c>
      <c r="L49">
        <v>0.34</v>
      </c>
      <c r="M49">
        <v>0.28000000000000003</v>
      </c>
      <c r="N49">
        <v>8.18</v>
      </c>
      <c r="O49">
        <v>1197.9000000000001</v>
      </c>
      <c r="P49">
        <v>94.56</v>
      </c>
      <c r="Q49">
        <v>0</v>
      </c>
      <c r="R49" s="15" t="str">
        <f t="shared" si="7"/>
        <v/>
      </c>
      <c r="S49" s="15">
        <f t="shared" si="0"/>
        <v>0</v>
      </c>
      <c r="T49" s="16" t="str">
        <f>IF(S49=1, DATE(YEAR(Settings!$B$3), MONTH(D49), DAY(D49)), "")</f>
        <v/>
      </c>
      <c r="U49" s="15" t="str">
        <f>IF(S49=1,IFERROR(INDEX(Settings!$B$12:$B$41,MATCH($B49,Settings!$A$12:$A$41,0)),"N"),"")</f>
        <v/>
      </c>
      <c r="V49" s="15" t="str">
        <f>IF(S49=1,IFERROR(INDEX(Settings!$C$12:$C$41,MATCH($B49,Settings!$A$12:$A$41,0)),""),"")</f>
        <v/>
      </c>
      <c r="W49" s="17">
        <f>IF(S49=1,IFERROR(INDEX(Settings!$D$12:$D$41,MATCH($B49,Settings!$A$12:$A$41,0)),0),0)</f>
        <v>0</v>
      </c>
      <c r="X49" s="18">
        <f t="shared" si="1"/>
        <v>0</v>
      </c>
      <c r="Y49" s="18" t="str">
        <f t="shared" si="2"/>
        <v/>
      </c>
      <c r="Z49" s="15" t="str">
        <f>IF(S49=1,IFERROR(INDEX(Settings!$E$12:$E$41,MATCH($B49,Settings!$A$12:$A$41,0)),"N"),"")</f>
        <v/>
      </c>
      <c r="AA49" s="17">
        <f>IF(S49=1,IFERROR(INDEX(Settings!$F$12:$F$41,MATCH($B49,Settings!$A$12:$A$41,0)),0),0)</f>
        <v>0</v>
      </c>
      <c r="AB49" s="15">
        <f>IF(S49=1,IFERROR(INDEX(Settings!$G$12:$G$41,MATCH($B49,Settings!$A$12:$A$41,0)),0),0)</f>
        <v>0</v>
      </c>
      <c r="AC49" s="18" t="str">
        <f t="shared" si="3"/>
        <v/>
      </c>
      <c r="AD49" s="15" t="str">
        <f t="shared" si="4"/>
        <v/>
      </c>
      <c r="AE49" s="15" t="str">
        <f t="shared" si="8"/>
        <v/>
      </c>
      <c r="AF49" s="15" t="str">
        <f t="shared" si="5"/>
        <v/>
      </c>
      <c r="AG49" s="18">
        <f>IF(AND(S49=1,Z49="Y"),IF(Settings!$B$6="Percentage",IF(AD49=0,0,AC49*AA49*(N49/AD49)),IF(Settings!$B$6="Points",IF(AF49=0,0,AC49*(N49*AB49)/AF49),IF(Settings!$B$6="Equally",IF(AE49=0,0,AC49*N49/AE49),0))),0)</f>
        <v>0</v>
      </c>
      <c r="AH49" s="18" t="str">
        <f t="shared" si="6"/>
        <v/>
      </c>
      <c r="AI49" s="15">
        <f>IF(S49=1,IF(COUNTIFS($R$2:R49,R49,$S$2:S49,1)=1,1,0),0)</f>
        <v>0</v>
      </c>
      <c r="AJ49" s="15">
        <f>SUM($AI$2:AI49)</f>
        <v>8</v>
      </c>
    </row>
    <row r="50" spans="1:36">
      <c r="R50" s="15" t="str">
        <f t="shared" si="7"/>
        <v/>
      </c>
      <c r="S50" s="15">
        <f t="shared" si="0"/>
        <v>0</v>
      </c>
      <c r="T50" s="16" t="str">
        <f>IF(S50=1, DATE(YEAR(Settings!$B$3), MONTH(D50), DAY(D50)), "")</f>
        <v/>
      </c>
      <c r="U50" s="15" t="str">
        <f>IF(S50=1,IFERROR(INDEX(Settings!$B$12:$B$41,MATCH($B50,Settings!$A$12:$A$41,0)),"N"),"")</f>
        <v/>
      </c>
      <c r="V50" s="15" t="str">
        <f>IF(S50=1,IFERROR(INDEX(Settings!$C$12:$C$41,MATCH($B50,Settings!$A$12:$A$41,0)),""),"")</f>
        <v/>
      </c>
      <c r="W50" s="17">
        <f>IF(S50=1,IFERROR(INDEX(Settings!$D$12:$D$41,MATCH($B50,Settings!$A$12:$A$41,0)),0),0)</f>
        <v>0</v>
      </c>
      <c r="X50" s="18">
        <f t="shared" si="1"/>
        <v>0</v>
      </c>
      <c r="Y50" s="18" t="str">
        <f t="shared" si="2"/>
        <v/>
      </c>
      <c r="Z50" s="15" t="str">
        <f>IF(S50=1,IFERROR(INDEX(Settings!$E$12:$E$41,MATCH($B50,Settings!$A$12:$A$41,0)),"N"),"")</f>
        <v/>
      </c>
      <c r="AA50" s="17">
        <f>IF(S50=1,IFERROR(INDEX(Settings!$F$12:$F$41,MATCH($B50,Settings!$A$12:$A$41,0)),0),0)</f>
        <v>0</v>
      </c>
      <c r="AB50" s="15">
        <f>IF(S50=1,IFERROR(INDEX(Settings!$G$12:$G$41,MATCH($B50,Settings!$A$12:$A$41,0)),0),0)</f>
        <v>0</v>
      </c>
      <c r="AC50" s="18" t="str">
        <f t="shared" si="3"/>
        <v/>
      </c>
      <c r="AD50" s="15" t="str">
        <f t="shared" si="4"/>
        <v/>
      </c>
      <c r="AE50" s="15" t="str">
        <f t="shared" si="8"/>
        <v/>
      </c>
      <c r="AF50" s="15" t="str">
        <f t="shared" si="5"/>
        <v/>
      </c>
      <c r="AG50" s="18">
        <f>IF(AND(S50=1,Z50="Y"),IF(Settings!$B$6="Percentage",IF(AD50=0,0,AC50*AA50*(N50/AD50)),IF(Settings!$B$6="Points",IF(AF50=0,0,AC50*(N50*AB50)/AF50),IF(Settings!$B$6="Equally",IF(AE50=0,0,AC50*N50/AE50),0))),0)</f>
        <v>0</v>
      </c>
      <c r="AH50" s="18" t="str">
        <f t="shared" si="6"/>
        <v/>
      </c>
      <c r="AI50" s="15">
        <f>IF(S50=1,IF(COUNTIFS($R$2:R50,R50,$S$2:S50,1)=1,1,0),0)</f>
        <v>0</v>
      </c>
      <c r="AJ50" s="15">
        <f>SUM($AI$2:AI50)</f>
        <v>8</v>
      </c>
    </row>
    <row r="51" spans="1:36">
      <c r="A51" t="s">
        <v>88</v>
      </c>
      <c r="B51" t="s">
        <v>35</v>
      </c>
      <c r="C51">
        <v>19.61</v>
      </c>
      <c r="D51" s="27">
        <v>46272</v>
      </c>
      <c r="E51" s="28">
        <v>0.42499999999999999</v>
      </c>
      <c r="F51" s="28"/>
      <c r="G51" s="28">
        <v>0.61319444444444449</v>
      </c>
      <c r="H51">
        <v>4.51</v>
      </c>
      <c r="I51">
        <v>0</v>
      </c>
      <c r="J51">
        <v>0</v>
      </c>
      <c r="L51">
        <v>0.17</v>
      </c>
      <c r="M51">
        <v>0</v>
      </c>
      <c r="N51">
        <v>4.51</v>
      </c>
      <c r="O51">
        <v>0</v>
      </c>
      <c r="P51">
        <v>0</v>
      </c>
      <c r="Q51">
        <v>0</v>
      </c>
      <c r="R51" s="15" t="str">
        <f t="shared" si="7"/>
        <v>Lisa Zhang</v>
      </c>
      <c r="S51" s="15">
        <f t="shared" si="0"/>
        <v>1</v>
      </c>
      <c r="T51" s="16">
        <f>IF(S51=1, DATE(YEAR(Settings!$B$3), MONTH(D51), DAY(D51)), "")</f>
        <v>46272</v>
      </c>
      <c r="U51" s="15" t="str">
        <f>IF(S51=1,IFERROR(INDEX(Settings!$B$12:$B$41,MATCH($B51,Settings!$A$12:$A$41,0)),"N"),"")</f>
        <v>N</v>
      </c>
      <c r="V51" s="15" t="str">
        <f>IF(S51=1,IFERROR(INDEX(Settings!$C$12:$C$41,MATCH($B51,Settings!$A$12:$A$41,0)),""),"")</f>
        <v>% of Tips</v>
      </c>
      <c r="W51" s="17">
        <f>IF(S51=1,IFERROR(INDEX(Settings!$D$12:$D$41,MATCH($B51,Settings!$A$12:$A$41,0)),0),0)</f>
        <v>0</v>
      </c>
      <c r="X51" s="18">
        <f t="shared" si="1"/>
        <v>0</v>
      </c>
      <c r="Y51" s="18">
        <f t="shared" si="2"/>
        <v>0</v>
      </c>
      <c r="Z51" s="15" t="str">
        <f>IF(S51=1,IFERROR(INDEX(Settings!$E$12:$E$41,MATCH($B51,Settings!$A$12:$A$41,0)),"N"),"")</f>
        <v>Y</v>
      </c>
      <c r="AA51" s="17">
        <f>IF(S51=1,IFERROR(INDEX(Settings!$F$12:$F$41,MATCH($B51,Settings!$A$12:$A$41,0)),0),0)</f>
        <v>1</v>
      </c>
      <c r="AB51" s="15">
        <f>IF(S51=1,IFERROR(INDEX(Settings!$G$12:$G$41,MATCH($B51,Settings!$A$12:$A$41,0)),0),0)</f>
        <v>1</v>
      </c>
      <c r="AC51" s="18">
        <f t="shared" si="3"/>
        <v>303.99</v>
      </c>
      <c r="AD51" s="15">
        <f t="shared" si="4"/>
        <v>25.299999999999997</v>
      </c>
      <c r="AE51" s="15">
        <f t="shared" si="8"/>
        <v>25.299999999999997</v>
      </c>
      <c r="AF51" s="15">
        <f t="shared" si="5"/>
        <v>25.299999999999997</v>
      </c>
      <c r="AG51" s="18">
        <f>IF(AND(S51=1,Z51="Y"),IF(Settings!$B$6="Percentage",IF(AD51=0,0,AC51*AA51*(N51/AD51)),IF(Settings!$B$6="Points",IF(AF51=0,0,AC51*(N51*AB51)/AF51),IF(Settings!$B$6="Equally",IF(AE51=0,0,AC51*N51/AE51),0))),0)</f>
        <v>54.189521739130434</v>
      </c>
      <c r="AH51" s="18">
        <f t="shared" si="6"/>
        <v>54.189521739130434</v>
      </c>
      <c r="AI51" s="15">
        <f>IF(S51=1,IF(COUNTIFS($R$2:R51,R51,$S$2:S51,1)=1,1,0),0)</f>
        <v>1</v>
      </c>
      <c r="AJ51" s="15">
        <f>SUM($AI$2:AI51)</f>
        <v>9</v>
      </c>
    </row>
    <row r="52" spans="1:36">
      <c r="B52" t="s">
        <v>35</v>
      </c>
      <c r="C52">
        <v>19.61</v>
      </c>
      <c r="D52" s="27">
        <v>46272</v>
      </c>
      <c r="E52" s="28">
        <v>0.61319444444444449</v>
      </c>
      <c r="F52" s="28"/>
      <c r="G52" s="28">
        <v>0.75277777777777777</v>
      </c>
      <c r="H52">
        <v>2.83</v>
      </c>
      <c r="I52">
        <v>0</v>
      </c>
      <c r="J52">
        <v>0</v>
      </c>
      <c r="L52">
        <v>0</v>
      </c>
      <c r="M52">
        <v>0.52</v>
      </c>
      <c r="N52">
        <v>2.83</v>
      </c>
      <c r="O52">
        <v>0</v>
      </c>
      <c r="P52">
        <v>0</v>
      </c>
      <c r="Q52">
        <v>0</v>
      </c>
      <c r="R52" s="15" t="str">
        <f t="shared" si="7"/>
        <v>Lisa Zhang</v>
      </c>
      <c r="S52" s="15">
        <f t="shared" si="0"/>
        <v>1</v>
      </c>
      <c r="T52" s="16">
        <f>IF(S52=1, DATE(YEAR(Settings!$B$3), MONTH(D52), DAY(D52)), "")</f>
        <v>46272</v>
      </c>
      <c r="U52" s="15" t="str">
        <f>IF(S52=1,IFERROR(INDEX(Settings!$B$12:$B$41,MATCH($B52,Settings!$A$12:$A$41,0)),"N"),"")</f>
        <v>N</v>
      </c>
      <c r="V52" s="15" t="str">
        <f>IF(S52=1,IFERROR(INDEX(Settings!$C$12:$C$41,MATCH($B52,Settings!$A$12:$A$41,0)),""),"")</f>
        <v>% of Tips</v>
      </c>
      <c r="W52" s="17">
        <f>IF(S52=1,IFERROR(INDEX(Settings!$D$12:$D$41,MATCH($B52,Settings!$A$12:$A$41,0)),0),0)</f>
        <v>0</v>
      </c>
      <c r="X52" s="18">
        <f t="shared" si="1"/>
        <v>0</v>
      </c>
      <c r="Y52" s="18">
        <f t="shared" si="2"/>
        <v>0</v>
      </c>
      <c r="Z52" s="15" t="str">
        <f>IF(S52=1,IFERROR(INDEX(Settings!$E$12:$E$41,MATCH($B52,Settings!$A$12:$A$41,0)),"N"),"")</f>
        <v>Y</v>
      </c>
      <c r="AA52" s="17">
        <f>IF(S52=1,IFERROR(INDEX(Settings!$F$12:$F$41,MATCH($B52,Settings!$A$12:$A$41,0)),0),0)</f>
        <v>1</v>
      </c>
      <c r="AB52" s="15">
        <f>IF(S52=1,IFERROR(INDEX(Settings!$G$12:$G$41,MATCH($B52,Settings!$A$12:$A$41,0)),0),0)</f>
        <v>1</v>
      </c>
      <c r="AC52" s="18">
        <f t="shared" si="3"/>
        <v>303.99</v>
      </c>
      <c r="AD52" s="15">
        <f t="shared" si="4"/>
        <v>25.299999999999997</v>
      </c>
      <c r="AE52" s="15">
        <f t="shared" si="8"/>
        <v>25.299999999999997</v>
      </c>
      <c r="AF52" s="15">
        <f t="shared" si="5"/>
        <v>25.299999999999997</v>
      </c>
      <c r="AG52" s="18">
        <f>IF(AND(S52=1,Z52="Y"),IF(Settings!$B$6="Percentage",IF(AD52=0,0,AC52*AA52*(N52/AD52)),IF(Settings!$B$6="Points",IF(AF52=0,0,AC52*(N52*AB52)/AF52),IF(Settings!$B$6="Equally",IF(AE52=0,0,AC52*N52/AE52),0))),0)</f>
        <v>34.003624505928855</v>
      </c>
      <c r="AH52" s="18">
        <f t="shared" si="6"/>
        <v>34.003624505928855</v>
      </c>
      <c r="AI52" s="15">
        <f>IF(S52=1,IF(COUNTIFS($R$2:R52,R52,$S$2:S52,1)=1,1,0),0)</f>
        <v>0</v>
      </c>
      <c r="AJ52" s="15">
        <f>SUM($AI$2:AI52)</f>
        <v>9</v>
      </c>
    </row>
    <row r="53" spans="1:36">
      <c r="B53" t="s">
        <v>35</v>
      </c>
      <c r="C53">
        <v>19.61</v>
      </c>
      <c r="D53" s="27">
        <v>46284</v>
      </c>
      <c r="E53" s="28">
        <v>0.42291666666666666</v>
      </c>
      <c r="F53" s="28"/>
      <c r="G53" s="28">
        <v>0.65763888888888888</v>
      </c>
      <c r="H53">
        <v>5.58</v>
      </c>
      <c r="I53">
        <v>0</v>
      </c>
      <c r="J53">
        <v>0</v>
      </c>
      <c r="L53">
        <v>0.17</v>
      </c>
      <c r="M53">
        <v>0.05</v>
      </c>
      <c r="N53">
        <v>5.58</v>
      </c>
      <c r="O53">
        <v>504.8</v>
      </c>
      <c r="P53">
        <v>43.61</v>
      </c>
      <c r="Q53">
        <v>0</v>
      </c>
      <c r="R53" s="15" t="str">
        <f t="shared" si="7"/>
        <v>Lisa Zhang</v>
      </c>
      <c r="S53" s="15">
        <f t="shared" si="0"/>
        <v>1</v>
      </c>
      <c r="T53" s="16">
        <f>IF(S53=1, DATE(YEAR(Settings!$B$3), MONTH(D53), DAY(D53)), "")</f>
        <v>46284</v>
      </c>
      <c r="U53" s="15" t="str">
        <f>IF(S53=1,IFERROR(INDEX(Settings!$B$12:$B$41,MATCH($B53,Settings!$A$12:$A$41,0)),"N"),"")</f>
        <v>N</v>
      </c>
      <c r="V53" s="15" t="str">
        <f>IF(S53=1,IFERROR(INDEX(Settings!$C$12:$C$41,MATCH($B53,Settings!$A$12:$A$41,0)),""),"")</f>
        <v>% of Tips</v>
      </c>
      <c r="W53" s="17">
        <f>IF(S53=1,IFERROR(INDEX(Settings!$D$12:$D$41,MATCH($B53,Settings!$A$12:$A$41,0)),0),0)</f>
        <v>0</v>
      </c>
      <c r="X53" s="18">
        <f t="shared" si="1"/>
        <v>0</v>
      </c>
      <c r="Y53" s="18">
        <f t="shared" si="2"/>
        <v>43.61</v>
      </c>
      <c r="Z53" s="15" t="str">
        <f>IF(S53=1,IFERROR(INDEX(Settings!$E$12:$E$41,MATCH($B53,Settings!$A$12:$A$41,0)),"N"),"")</f>
        <v>Y</v>
      </c>
      <c r="AA53" s="17">
        <f>IF(S53=1,IFERROR(INDEX(Settings!$F$12:$F$41,MATCH($B53,Settings!$A$12:$A$41,0)),0),0)</f>
        <v>1</v>
      </c>
      <c r="AB53" s="15">
        <f>IF(S53=1,IFERROR(INDEX(Settings!$G$12:$G$41,MATCH($B53,Settings!$A$12:$A$41,0)),0),0)</f>
        <v>1</v>
      </c>
      <c r="AC53" s="18">
        <f t="shared" si="3"/>
        <v>190.57</v>
      </c>
      <c r="AD53" s="15">
        <f t="shared" si="4"/>
        <v>28</v>
      </c>
      <c r="AE53" s="15">
        <f t="shared" si="8"/>
        <v>28</v>
      </c>
      <c r="AF53" s="15">
        <f t="shared" si="5"/>
        <v>28</v>
      </c>
      <c r="AG53" s="18">
        <f>IF(AND(S53=1,Z53="Y"),IF(Settings!$B$6="Percentage",IF(AD53=0,0,AC53*AA53*(N53/AD53)),IF(Settings!$B$6="Points",IF(AF53=0,0,AC53*(N53*AB53)/AF53),IF(Settings!$B$6="Equally",IF(AE53=0,0,AC53*N53/AE53),0))),0)</f>
        <v>37.977878571428569</v>
      </c>
      <c r="AH53" s="18">
        <f t="shared" si="6"/>
        <v>81.587878571428575</v>
      </c>
      <c r="AI53" s="15">
        <f>IF(S53=1,IF(COUNTIFS($R$2:R53,R53,$S$2:S53,1)=1,1,0),0)</f>
        <v>0</v>
      </c>
      <c r="AJ53" s="15">
        <f>SUM($AI$2:AI53)</f>
        <v>9</v>
      </c>
    </row>
    <row r="54" spans="1:36">
      <c r="B54" t="s">
        <v>35</v>
      </c>
      <c r="C54">
        <v>19.61</v>
      </c>
      <c r="D54" s="27">
        <v>46285</v>
      </c>
      <c r="E54" s="28">
        <v>0.41944444444444445</v>
      </c>
      <c r="F54" s="28"/>
      <c r="G54" s="28">
        <v>0.69236111111111109</v>
      </c>
      <c r="H54">
        <v>6.06</v>
      </c>
      <c r="I54">
        <v>0</v>
      </c>
      <c r="J54">
        <v>0</v>
      </c>
      <c r="L54">
        <v>0.17</v>
      </c>
      <c r="M54">
        <v>0.5</v>
      </c>
      <c r="N54">
        <v>6.06</v>
      </c>
      <c r="O54">
        <v>328.25</v>
      </c>
      <c r="P54">
        <v>27.79</v>
      </c>
      <c r="Q54">
        <v>0</v>
      </c>
      <c r="R54" s="15" t="str">
        <f t="shared" si="7"/>
        <v>Lisa Zhang</v>
      </c>
      <c r="S54" s="15">
        <f t="shared" si="0"/>
        <v>1</v>
      </c>
      <c r="T54" s="16">
        <f>IF(S54=1, DATE(YEAR(Settings!$B$3), MONTH(D54), DAY(D54)), "")</f>
        <v>46285</v>
      </c>
      <c r="U54" s="15" t="str">
        <f>IF(S54=1,IFERROR(INDEX(Settings!$B$12:$B$41,MATCH($B54,Settings!$A$12:$A$41,0)),"N"),"")</f>
        <v>N</v>
      </c>
      <c r="V54" s="15" t="str">
        <f>IF(S54=1,IFERROR(INDEX(Settings!$C$12:$C$41,MATCH($B54,Settings!$A$12:$A$41,0)),""),"")</f>
        <v>% of Tips</v>
      </c>
      <c r="W54" s="17">
        <f>IF(S54=1,IFERROR(INDEX(Settings!$D$12:$D$41,MATCH($B54,Settings!$A$12:$A$41,0)),0),0)</f>
        <v>0</v>
      </c>
      <c r="X54" s="18">
        <f t="shared" si="1"/>
        <v>0</v>
      </c>
      <c r="Y54" s="18">
        <f t="shared" si="2"/>
        <v>27.79</v>
      </c>
      <c r="Z54" s="15" t="str">
        <f>IF(S54=1,IFERROR(INDEX(Settings!$E$12:$E$41,MATCH($B54,Settings!$A$12:$A$41,0)),"N"),"")</f>
        <v>Y</v>
      </c>
      <c r="AA54" s="17">
        <f>IF(S54=1,IFERROR(INDEX(Settings!$F$12:$F$41,MATCH($B54,Settings!$A$12:$A$41,0)),0),0)</f>
        <v>1</v>
      </c>
      <c r="AB54" s="15">
        <f>IF(S54=1,IFERROR(INDEX(Settings!$G$12:$G$41,MATCH($B54,Settings!$A$12:$A$41,0)),0),0)</f>
        <v>1</v>
      </c>
      <c r="AC54" s="18">
        <f t="shared" si="3"/>
        <v>146.5</v>
      </c>
      <c r="AD54" s="15">
        <f t="shared" si="4"/>
        <v>22.34</v>
      </c>
      <c r="AE54" s="15">
        <f t="shared" si="8"/>
        <v>22.34</v>
      </c>
      <c r="AF54" s="15">
        <f t="shared" si="5"/>
        <v>22.34</v>
      </c>
      <c r="AG54" s="18">
        <f>IF(AND(S54=1,Z54="Y"),IF(Settings!$B$6="Percentage",IF(AD54=0,0,AC54*AA54*(N54/AD54)),IF(Settings!$B$6="Points",IF(AF54=0,0,AC54*(N54*AB54)/AF54),IF(Settings!$B$6="Equally",IF(AE54=0,0,AC54*N54/AE54),0))),0)</f>
        <v>39.739928379588179</v>
      </c>
      <c r="AH54" s="18">
        <f t="shared" si="6"/>
        <v>67.529928379588171</v>
      </c>
      <c r="AI54" s="15">
        <f>IF(S54=1,IF(COUNTIFS($R$2:R54,R54,$S$2:S54,1)=1,1,0),0)</f>
        <v>0</v>
      </c>
      <c r="AJ54" s="15">
        <f>SUM($AI$2:AI54)</f>
        <v>9</v>
      </c>
    </row>
    <row r="55" spans="1:36">
      <c r="A55" t="s">
        <v>80</v>
      </c>
      <c r="H55">
        <v>18.98</v>
      </c>
      <c r="I55">
        <v>0</v>
      </c>
      <c r="J55">
        <v>0</v>
      </c>
      <c r="K55">
        <v>0</v>
      </c>
      <c r="L55">
        <v>0.51</v>
      </c>
      <c r="M55">
        <v>1.07</v>
      </c>
      <c r="N55">
        <v>18.98</v>
      </c>
      <c r="O55">
        <v>833.05</v>
      </c>
      <c r="P55">
        <v>71.400000000000006</v>
      </c>
      <c r="Q55">
        <v>0</v>
      </c>
      <c r="R55" s="15" t="str">
        <f t="shared" si="7"/>
        <v/>
      </c>
      <c r="S55" s="15">
        <f t="shared" si="0"/>
        <v>0</v>
      </c>
      <c r="T55" s="16" t="str">
        <f>IF(S55=1, DATE(YEAR(Settings!$B$3), MONTH(D55), DAY(D55)), "")</f>
        <v/>
      </c>
      <c r="U55" s="15" t="str">
        <f>IF(S55=1,IFERROR(INDEX(Settings!$B$12:$B$41,MATCH($B55,Settings!$A$12:$A$41,0)),"N"),"")</f>
        <v/>
      </c>
      <c r="V55" s="15" t="str">
        <f>IF(S55=1,IFERROR(INDEX(Settings!$C$12:$C$41,MATCH($B55,Settings!$A$12:$A$41,0)),""),"")</f>
        <v/>
      </c>
      <c r="W55" s="17">
        <f>IF(S55=1,IFERROR(INDEX(Settings!$D$12:$D$41,MATCH($B55,Settings!$A$12:$A$41,0)),0),0)</f>
        <v>0</v>
      </c>
      <c r="X55" s="18">
        <f t="shared" si="1"/>
        <v>0</v>
      </c>
      <c r="Y55" s="18" t="str">
        <f t="shared" si="2"/>
        <v/>
      </c>
      <c r="Z55" s="15" t="str">
        <f>IF(S55=1,IFERROR(INDEX(Settings!$E$12:$E$41,MATCH($B55,Settings!$A$12:$A$41,0)),"N"),"")</f>
        <v/>
      </c>
      <c r="AA55" s="17">
        <f>IF(S55=1,IFERROR(INDEX(Settings!$F$12:$F$41,MATCH($B55,Settings!$A$12:$A$41,0)),0),0)</f>
        <v>0</v>
      </c>
      <c r="AB55" s="15">
        <f>IF(S55=1,IFERROR(INDEX(Settings!$G$12:$G$41,MATCH($B55,Settings!$A$12:$A$41,0)),0),0)</f>
        <v>0</v>
      </c>
      <c r="AC55" s="18" t="str">
        <f t="shared" si="3"/>
        <v/>
      </c>
      <c r="AD55" s="15" t="str">
        <f t="shared" si="4"/>
        <v/>
      </c>
      <c r="AE55" s="15" t="str">
        <f t="shared" si="8"/>
        <v/>
      </c>
      <c r="AF55" s="15" t="str">
        <f t="shared" si="5"/>
        <v/>
      </c>
      <c r="AG55" s="18">
        <f>IF(AND(S55=1,Z55="Y"),IF(Settings!$B$6="Percentage",IF(AD55=0,0,AC55*AA55*(N55/AD55)),IF(Settings!$B$6="Points",IF(AF55=0,0,AC55*(N55*AB55)/AF55),IF(Settings!$B$6="Equally",IF(AE55=0,0,AC55*N55/AE55),0))),0)</f>
        <v>0</v>
      </c>
      <c r="AH55" s="18" t="str">
        <f t="shared" si="6"/>
        <v/>
      </c>
      <c r="AI55" s="15">
        <f>IF(S55=1,IF(COUNTIFS($R$2:R55,R55,$S$2:S55,1)=1,1,0),0)</f>
        <v>0</v>
      </c>
      <c r="AJ55" s="15">
        <f>SUM($AI$2:AI55)</f>
        <v>9</v>
      </c>
    </row>
    <row r="56" spans="1:36">
      <c r="R56" s="15" t="str">
        <f t="shared" si="7"/>
        <v/>
      </c>
      <c r="S56" s="15">
        <f t="shared" si="0"/>
        <v>0</v>
      </c>
      <c r="T56" s="16" t="str">
        <f>IF(S56=1, DATE(YEAR(Settings!$B$3), MONTH(D56), DAY(D56)), "")</f>
        <v/>
      </c>
      <c r="U56" s="15" t="str">
        <f>IF(S56=1,IFERROR(INDEX(Settings!$B$12:$B$41,MATCH($B56,Settings!$A$12:$A$41,0)),"N"),"")</f>
        <v/>
      </c>
      <c r="V56" s="15" t="str">
        <f>IF(S56=1,IFERROR(INDEX(Settings!$C$12:$C$41,MATCH($B56,Settings!$A$12:$A$41,0)),""),"")</f>
        <v/>
      </c>
      <c r="W56" s="17">
        <f>IF(S56=1,IFERROR(INDEX(Settings!$D$12:$D$41,MATCH($B56,Settings!$A$12:$A$41,0)),0),0)</f>
        <v>0</v>
      </c>
      <c r="X56" s="18">
        <f t="shared" si="1"/>
        <v>0</v>
      </c>
      <c r="Y56" s="18" t="str">
        <f t="shared" si="2"/>
        <v/>
      </c>
      <c r="Z56" s="15" t="str">
        <f>IF(S56=1,IFERROR(INDEX(Settings!$E$12:$E$41,MATCH($B56,Settings!$A$12:$A$41,0)),"N"),"")</f>
        <v/>
      </c>
      <c r="AA56" s="17">
        <f>IF(S56=1,IFERROR(INDEX(Settings!$F$12:$F$41,MATCH($B56,Settings!$A$12:$A$41,0)),0),0)</f>
        <v>0</v>
      </c>
      <c r="AB56" s="15">
        <f>IF(S56=1,IFERROR(INDEX(Settings!$G$12:$G$41,MATCH($B56,Settings!$A$12:$A$41,0)),0),0)</f>
        <v>0</v>
      </c>
      <c r="AC56" s="18" t="str">
        <f t="shared" si="3"/>
        <v/>
      </c>
      <c r="AD56" s="15" t="str">
        <f t="shared" si="4"/>
        <v/>
      </c>
      <c r="AE56" s="15" t="str">
        <f t="shared" si="8"/>
        <v/>
      </c>
      <c r="AF56" s="15" t="str">
        <f t="shared" si="5"/>
        <v/>
      </c>
      <c r="AG56" s="18">
        <f>IF(AND(S56=1,Z56="Y"),IF(Settings!$B$6="Percentage",IF(AD56=0,0,AC56*AA56*(N56/AD56)),IF(Settings!$B$6="Points",IF(AF56=0,0,AC56*(N56*AB56)/AF56),IF(Settings!$B$6="Equally",IF(AE56=0,0,AC56*N56/AE56),0))),0)</f>
        <v>0</v>
      </c>
      <c r="AH56" s="18" t="str">
        <f t="shared" si="6"/>
        <v/>
      </c>
      <c r="AI56" s="15">
        <f>IF(S56=1,IF(COUNTIFS($R$2:R56,R56,$S$2:S56,1)=1,1,0),0)</f>
        <v>0</v>
      </c>
      <c r="AJ56" s="15">
        <f>SUM($AI$2:AI56)</f>
        <v>9</v>
      </c>
    </row>
    <row r="57" spans="1:36">
      <c r="A57" t="s">
        <v>89</v>
      </c>
      <c r="B57" t="s">
        <v>39</v>
      </c>
      <c r="C57">
        <v>19.61</v>
      </c>
      <c r="D57" s="27">
        <v>46272</v>
      </c>
      <c r="E57" s="28">
        <v>0.50277777777777777</v>
      </c>
      <c r="F57" s="28"/>
      <c r="G57" s="28">
        <v>0.70833333333333337</v>
      </c>
      <c r="H57">
        <v>4.93</v>
      </c>
      <c r="I57">
        <v>0</v>
      </c>
      <c r="J57">
        <v>0</v>
      </c>
      <c r="L57">
        <v>0.17</v>
      </c>
      <c r="M57">
        <v>0</v>
      </c>
      <c r="N57">
        <v>4.93</v>
      </c>
      <c r="O57">
        <v>1271.02</v>
      </c>
      <c r="P57">
        <v>97.32</v>
      </c>
      <c r="Q57">
        <v>0</v>
      </c>
      <c r="R57" s="15" t="str">
        <f t="shared" si="7"/>
        <v>Ryan Tiet</v>
      </c>
      <c r="S57" s="15">
        <f t="shared" si="0"/>
        <v>1</v>
      </c>
      <c r="T57" s="16">
        <f>IF(S57=1, DATE(YEAR(Settings!$B$3), MONTH(D57), DAY(D57)), "")</f>
        <v>46272</v>
      </c>
      <c r="U57" s="15" t="str">
        <f>IF(S57=1,IFERROR(INDEX(Settings!$B$12:$B$41,MATCH($B57,Settings!$A$12:$A$41,0)),"N"),"")</f>
        <v>N</v>
      </c>
      <c r="V57" s="15" t="str">
        <f>IF(S57=1,IFERROR(INDEX(Settings!$C$12:$C$41,MATCH($B57,Settings!$A$12:$A$41,0)),""),"")</f>
        <v>% of Tips</v>
      </c>
      <c r="W57" s="17">
        <f>IF(S57=1,IFERROR(INDEX(Settings!$D$12:$D$41,MATCH($B57,Settings!$A$12:$A$41,0)),0),0)</f>
        <v>0</v>
      </c>
      <c r="X57" s="18">
        <f t="shared" si="1"/>
        <v>0</v>
      </c>
      <c r="Y57" s="18">
        <f t="shared" si="2"/>
        <v>97.32</v>
      </c>
      <c r="Z57" s="15" t="str">
        <f>IF(S57=1,IFERROR(INDEX(Settings!$E$12:$E$41,MATCH($B57,Settings!$A$12:$A$41,0)),"N"),"")</f>
        <v>N</v>
      </c>
      <c r="AA57" s="17">
        <f>IF(S57=1,IFERROR(INDEX(Settings!$F$12:$F$41,MATCH($B57,Settings!$A$12:$A$41,0)),0),0)</f>
        <v>0</v>
      </c>
      <c r="AB57" s="15">
        <f>IF(S57=1,IFERROR(INDEX(Settings!$G$12:$G$41,MATCH($B57,Settings!$A$12:$A$41,0)),0),0)</f>
        <v>1</v>
      </c>
      <c r="AC57" s="18">
        <f t="shared" si="3"/>
        <v>303.99</v>
      </c>
      <c r="AD57" s="15">
        <f t="shared" si="4"/>
        <v>4.93</v>
      </c>
      <c r="AE57" s="15">
        <f t="shared" si="8"/>
        <v>25.299999999999997</v>
      </c>
      <c r="AF57" s="15">
        <f t="shared" si="5"/>
        <v>25.299999999999997</v>
      </c>
      <c r="AG57" s="18">
        <f>IF(AND(S57=1,Z57="Y"),IF(Settings!$B$6="Percentage",IF(AD57=0,0,AC57*AA57*(N57/AD57)),IF(Settings!$B$6="Points",IF(AF57=0,0,AC57*(N57*AB57)/AF57),IF(Settings!$B$6="Equally",IF(AE57=0,0,AC57*N57/AE57),0))),0)</f>
        <v>0</v>
      </c>
      <c r="AH57" s="18">
        <f t="shared" si="6"/>
        <v>97.32</v>
      </c>
      <c r="AI57" s="15">
        <f>IF(S57=1,IF(COUNTIFS($R$2:R57,R57,$S$2:S57,1)=1,1,0),0)</f>
        <v>1</v>
      </c>
      <c r="AJ57" s="15">
        <f>SUM($AI$2:AI57)</f>
        <v>10</v>
      </c>
    </row>
    <row r="58" spans="1:36">
      <c r="B58" t="s">
        <v>39</v>
      </c>
      <c r="C58">
        <v>19.61</v>
      </c>
      <c r="D58" s="27">
        <v>46275</v>
      </c>
      <c r="E58" s="28">
        <v>0.4201388888888889</v>
      </c>
      <c r="F58" s="28"/>
      <c r="G58" s="28">
        <v>0.45347222222222222</v>
      </c>
      <c r="H58">
        <v>0.8</v>
      </c>
      <c r="I58">
        <v>0</v>
      </c>
      <c r="J58">
        <v>0</v>
      </c>
      <c r="L58">
        <v>0</v>
      </c>
      <c r="M58">
        <v>0</v>
      </c>
      <c r="N58">
        <v>0.8</v>
      </c>
      <c r="O58">
        <v>20.9</v>
      </c>
      <c r="P58">
        <v>1.1399999999999999</v>
      </c>
      <c r="Q58">
        <v>0</v>
      </c>
      <c r="R58" s="15" t="str">
        <f t="shared" si="7"/>
        <v>Ryan Tiet</v>
      </c>
      <c r="S58" s="15">
        <f t="shared" si="0"/>
        <v>1</v>
      </c>
      <c r="T58" s="16">
        <f>IF(S58=1, DATE(YEAR(Settings!$B$3), MONTH(D58), DAY(D58)), "")</f>
        <v>46275</v>
      </c>
      <c r="U58" s="15" t="str">
        <f>IF(S58=1,IFERROR(INDEX(Settings!$B$12:$B$41,MATCH($B58,Settings!$A$12:$A$41,0)),"N"),"")</f>
        <v>N</v>
      </c>
      <c r="V58" s="15" t="str">
        <f>IF(S58=1,IFERROR(INDEX(Settings!$C$12:$C$41,MATCH($B58,Settings!$A$12:$A$41,0)),""),"")</f>
        <v>% of Tips</v>
      </c>
      <c r="W58" s="17">
        <f>IF(S58=1,IFERROR(INDEX(Settings!$D$12:$D$41,MATCH($B58,Settings!$A$12:$A$41,0)),0),0)</f>
        <v>0</v>
      </c>
      <c r="X58" s="18">
        <f t="shared" si="1"/>
        <v>0</v>
      </c>
      <c r="Y58" s="18">
        <f t="shared" si="2"/>
        <v>1.1399999999999999</v>
      </c>
      <c r="Z58" s="15" t="str">
        <f>IF(S58=1,IFERROR(INDEX(Settings!$E$12:$E$41,MATCH($B58,Settings!$A$12:$A$41,0)),"N"),"")</f>
        <v>N</v>
      </c>
      <c r="AA58" s="17">
        <f>IF(S58=1,IFERROR(INDEX(Settings!$F$12:$F$41,MATCH($B58,Settings!$A$12:$A$41,0)),0),0)</f>
        <v>0</v>
      </c>
      <c r="AB58" s="15">
        <f>IF(S58=1,IFERROR(INDEX(Settings!$G$12:$G$41,MATCH($B58,Settings!$A$12:$A$41,0)),0),0)</f>
        <v>1</v>
      </c>
      <c r="AC58" s="18">
        <f t="shared" si="3"/>
        <v>54.83</v>
      </c>
      <c r="AD58" s="15">
        <f t="shared" si="4"/>
        <v>1.3900000000000001</v>
      </c>
      <c r="AE58" s="15">
        <f t="shared" si="8"/>
        <v>6.79</v>
      </c>
      <c r="AF58" s="15">
        <f t="shared" si="5"/>
        <v>6.79</v>
      </c>
      <c r="AG58" s="18">
        <f>IF(AND(S58=1,Z58="Y"),IF(Settings!$B$6="Percentage",IF(AD58=0,0,AC58*AA58*(N58/AD58)),IF(Settings!$B$6="Points",IF(AF58=0,0,AC58*(N58*AB58)/AF58),IF(Settings!$B$6="Equally",IF(AE58=0,0,AC58*N58/AE58),0))),0)</f>
        <v>0</v>
      </c>
      <c r="AH58" s="18">
        <f t="shared" si="6"/>
        <v>1.1399999999999999</v>
      </c>
      <c r="AI58" s="15">
        <f>IF(S58=1,IF(COUNTIFS($R$2:R58,R58,$S$2:S58,1)=1,1,0),0)</f>
        <v>0</v>
      </c>
      <c r="AJ58" s="15">
        <f>SUM($AI$2:AI58)</f>
        <v>10</v>
      </c>
    </row>
    <row r="59" spans="1:36">
      <c r="B59" t="s">
        <v>39</v>
      </c>
      <c r="C59">
        <v>19.61</v>
      </c>
      <c r="D59" s="27">
        <v>46275</v>
      </c>
      <c r="E59" s="28">
        <v>0.53402777777777777</v>
      </c>
      <c r="F59" s="28"/>
      <c r="G59" s="28">
        <v>0.53680555555555554</v>
      </c>
      <c r="H59">
        <v>0.08</v>
      </c>
      <c r="I59">
        <v>0</v>
      </c>
      <c r="J59">
        <v>0</v>
      </c>
      <c r="L59">
        <v>0</v>
      </c>
      <c r="M59">
        <v>0</v>
      </c>
      <c r="N59">
        <v>0.08</v>
      </c>
      <c r="O59">
        <v>23.65</v>
      </c>
      <c r="P59">
        <v>1.78</v>
      </c>
      <c r="Q59">
        <v>0</v>
      </c>
      <c r="R59" s="15" t="str">
        <f t="shared" si="7"/>
        <v>Ryan Tiet</v>
      </c>
      <c r="S59" s="15">
        <f t="shared" si="0"/>
        <v>1</v>
      </c>
      <c r="T59" s="16">
        <f>IF(S59=1, DATE(YEAR(Settings!$B$3), MONTH(D59), DAY(D59)), "")</f>
        <v>46275</v>
      </c>
      <c r="U59" s="15" t="str">
        <f>IF(S59=1,IFERROR(INDEX(Settings!$B$12:$B$41,MATCH($B59,Settings!$A$12:$A$41,0)),"N"),"")</f>
        <v>N</v>
      </c>
      <c r="V59" s="15" t="str">
        <f>IF(S59=1,IFERROR(INDEX(Settings!$C$12:$C$41,MATCH($B59,Settings!$A$12:$A$41,0)),""),"")</f>
        <v>% of Tips</v>
      </c>
      <c r="W59" s="17">
        <f>IF(S59=1,IFERROR(INDEX(Settings!$D$12:$D$41,MATCH($B59,Settings!$A$12:$A$41,0)),0),0)</f>
        <v>0</v>
      </c>
      <c r="X59" s="18">
        <f t="shared" si="1"/>
        <v>0</v>
      </c>
      <c r="Y59" s="18">
        <f t="shared" si="2"/>
        <v>1.78</v>
      </c>
      <c r="Z59" s="15" t="str">
        <f>IF(S59=1,IFERROR(INDEX(Settings!$E$12:$E$41,MATCH($B59,Settings!$A$12:$A$41,0)),"N"),"")</f>
        <v>N</v>
      </c>
      <c r="AA59" s="17">
        <f>IF(S59=1,IFERROR(INDEX(Settings!$F$12:$F$41,MATCH($B59,Settings!$A$12:$A$41,0)),0),0)</f>
        <v>0</v>
      </c>
      <c r="AB59" s="15">
        <f>IF(S59=1,IFERROR(INDEX(Settings!$G$12:$G$41,MATCH($B59,Settings!$A$12:$A$41,0)),0),0)</f>
        <v>1</v>
      </c>
      <c r="AC59" s="18">
        <f t="shared" si="3"/>
        <v>54.83</v>
      </c>
      <c r="AD59" s="15">
        <f t="shared" si="4"/>
        <v>1.3900000000000001</v>
      </c>
      <c r="AE59" s="15">
        <f t="shared" si="8"/>
        <v>6.79</v>
      </c>
      <c r="AF59" s="15">
        <f t="shared" si="5"/>
        <v>6.79</v>
      </c>
      <c r="AG59" s="18">
        <f>IF(AND(S59=1,Z59="Y"),IF(Settings!$B$6="Percentage",IF(AD59=0,0,AC59*AA59*(N59/AD59)),IF(Settings!$B$6="Points",IF(AF59=0,0,AC59*(N59*AB59)/AF59),IF(Settings!$B$6="Equally",IF(AE59=0,0,AC59*N59/AE59),0))),0)</f>
        <v>0</v>
      </c>
      <c r="AH59" s="18">
        <f t="shared" si="6"/>
        <v>1.78</v>
      </c>
      <c r="AI59" s="15">
        <f>IF(S59=1,IF(COUNTIFS($R$2:R59,R59,$S$2:S59,1)=1,1,0),0)</f>
        <v>0</v>
      </c>
      <c r="AJ59" s="15">
        <f>SUM($AI$2:AI59)</f>
        <v>10</v>
      </c>
    </row>
    <row r="60" spans="1:36">
      <c r="B60" t="s">
        <v>39</v>
      </c>
      <c r="C60">
        <v>19.61</v>
      </c>
      <c r="D60" s="27">
        <v>46275</v>
      </c>
      <c r="E60" s="28">
        <v>0.59305555555555556</v>
      </c>
      <c r="F60" s="28"/>
      <c r="G60" s="28">
        <v>0.61388888888888893</v>
      </c>
      <c r="H60">
        <v>0.51</v>
      </c>
      <c r="I60">
        <v>0</v>
      </c>
      <c r="J60">
        <v>0</v>
      </c>
      <c r="L60">
        <v>0</v>
      </c>
      <c r="M60">
        <v>0</v>
      </c>
      <c r="N60">
        <v>0.51</v>
      </c>
      <c r="O60">
        <v>40.6</v>
      </c>
      <c r="P60">
        <v>4.42</v>
      </c>
      <c r="Q60">
        <v>0</v>
      </c>
      <c r="R60" s="15" t="str">
        <f t="shared" si="7"/>
        <v>Ryan Tiet</v>
      </c>
      <c r="S60" s="15">
        <f t="shared" si="0"/>
        <v>1</v>
      </c>
      <c r="T60" s="16">
        <f>IF(S60=1, DATE(YEAR(Settings!$B$3), MONTH(D60), DAY(D60)), "")</f>
        <v>46275</v>
      </c>
      <c r="U60" s="15" t="str">
        <f>IF(S60=1,IFERROR(INDEX(Settings!$B$12:$B$41,MATCH($B60,Settings!$A$12:$A$41,0)),"N"),"")</f>
        <v>N</v>
      </c>
      <c r="V60" s="15" t="str">
        <f>IF(S60=1,IFERROR(INDEX(Settings!$C$12:$C$41,MATCH($B60,Settings!$A$12:$A$41,0)),""),"")</f>
        <v>% of Tips</v>
      </c>
      <c r="W60" s="17">
        <f>IF(S60=1,IFERROR(INDEX(Settings!$D$12:$D$41,MATCH($B60,Settings!$A$12:$A$41,0)),0),0)</f>
        <v>0</v>
      </c>
      <c r="X60" s="18">
        <f t="shared" si="1"/>
        <v>0</v>
      </c>
      <c r="Y60" s="18">
        <f t="shared" si="2"/>
        <v>4.42</v>
      </c>
      <c r="Z60" s="15" t="str">
        <f>IF(S60=1,IFERROR(INDEX(Settings!$E$12:$E$41,MATCH($B60,Settings!$A$12:$A$41,0)),"N"),"")</f>
        <v>N</v>
      </c>
      <c r="AA60" s="17">
        <f>IF(S60=1,IFERROR(INDEX(Settings!$F$12:$F$41,MATCH($B60,Settings!$A$12:$A$41,0)),0),0)</f>
        <v>0</v>
      </c>
      <c r="AB60" s="15">
        <f>IF(S60=1,IFERROR(INDEX(Settings!$G$12:$G$41,MATCH($B60,Settings!$A$12:$A$41,0)),0),0)</f>
        <v>1</v>
      </c>
      <c r="AC60" s="18">
        <f t="shared" si="3"/>
        <v>54.83</v>
      </c>
      <c r="AD60" s="15">
        <f t="shared" si="4"/>
        <v>1.3900000000000001</v>
      </c>
      <c r="AE60" s="15">
        <f t="shared" si="8"/>
        <v>6.79</v>
      </c>
      <c r="AF60" s="15">
        <f t="shared" si="5"/>
        <v>6.79</v>
      </c>
      <c r="AG60" s="18">
        <f>IF(AND(S60=1,Z60="Y"),IF(Settings!$B$6="Percentage",IF(AD60=0,0,AC60*AA60*(N60/AD60)),IF(Settings!$B$6="Points",IF(AF60=0,0,AC60*(N60*AB60)/AF60),IF(Settings!$B$6="Equally",IF(AE60=0,0,AC60*N60/AE60),0))),0)</f>
        <v>0</v>
      </c>
      <c r="AH60" s="18">
        <f t="shared" si="6"/>
        <v>4.42</v>
      </c>
      <c r="AI60" s="15">
        <f>IF(S60=1,IF(COUNTIFS($R$2:R60,R60,$S$2:S60,1)=1,1,0),0)</f>
        <v>0</v>
      </c>
      <c r="AJ60" s="15">
        <f>SUM($AI$2:AI60)</f>
        <v>10</v>
      </c>
    </row>
    <row r="61" spans="1:36">
      <c r="B61" t="s">
        <v>39</v>
      </c>
      <c r="C61">
        <v>19.61</v>
      </c>
      <c r="D61" s="27">
        <v>46276</v>
      </c>
      <c r="E61" s="28">
        <v>0.41736111111111113</v>
      </c>
      <c r="F61" s="28"/>
      <c r="G61" s="28">
        <v>0.41875000000000001</v>
      </c>
      <c r="H61">
        <v>0.03</v>
      </c>
      <c r="I61">
        <v>0</v>
      </c>
      <c r="J61">
        <v>0</v>
      </c>
      <c r="L61">
        <v>0</v>
      </c>
      <c r="M61">
        <v>0</v>
      </c>
      <c r="N61">
        <v>0.03</v>
      </c>
      <c r="O61">
        <v>7.75</v>
      </c>
      <c r="P61">
        <v>0</v>
      </c>
      <c r="Q61">
        <v>0</v>
      </c>
      <c r="R61" s="15" t="str">
        <f t="shared" si="7"/>
        <v>Ryan Tiet</v>
      </c>
      <c r="S61" s="15">
        <f t="shared" si="0"/>
        <v>1</v>
      </c>
      <c r="T61" s="16">
        <f>IF(S61=1, DATE(YEAR(Settings!$B$3), MONTH(D61), DAY(D61)), "")</f>
        <v>46276</v>
      </c>
      <c r="U61" s="15" t="str">
        <f>IF(S61=1,IFERROR(INDEX(Settings!$B$12:$B$41,MATCH($B61,Settings!$A$12:$A$41,0)),"N"),"")</f>
        <v>N</v>
      </c>
      <c r="V61" s="15" t="str">
        <f>IF(S61=1,IFERROR(INDEX(Settings!$C$12:$C$41,MATCH($B61,Settings!$A$12:$A$41,0)),""),"")</f>
        <v>% of Tips</v>
      </c>
      <c r="W61" s="17">
        <f>IF(S61=1,IFERROR(INDEX(Settings!$D$12:$D$41,MATCH($B61,Settings!$A$12:$A$41,0)),0),0)</f>
        <v>0</v>
      </c>
      <c r="X61" s="18">
        <f t="shared" si="1"/>
        <v>0</v>
      </c>
      <c r="Y61" s="18">
        <f t="shared" si="2"/>
        <v>0</v>
      </c>
      <c r="Z61" s="15" t="str">
        <f>IF(S61=1,IFERROR(INDEX(Settings!$E$12:$E$41,MATCH($B61,Settings!$A$12:$A$41,0)),"N"),"")</f>
        <v>N</v>
      </c>
      <c r="AA61" s="17">
        <f>IF(S61=1,IFERROR(INDEX(Settings!$F$12:$F$41,MATCH($B61,Settings!$A$12:$A$41,0)),0),0)</f>
        <v>0</v>
      </c>
      <c r="AB61" s="15">
        <f>IF(S61=1,IFERROR(INDEX(Settings!$G$12:$G$41,MATCH($B61,Settings!$A$12:$A$41,0)),0),0)</f>
        <v>1</v>
      </c>
      <c r="AC61" s="18">
        <f t="shared" si="3"/>
        <v>87.710000000000008</v>
      </c>
      <c r="AD61" s="15">
        <f t="shared" si="4"/>
        <v>0.25</v>
      </c>
      <c r="AE61" s="15">
        <f t="shared" si="8"/>
        <v>15.739999999999998</v>
      </c>
      <c r="AF61" s="15">
        <f t="shared" si="5"/>
        <v>15.739999999999998</v>
      </c>
      <c r="AG61" s="18">
        <f>IF(AND(S61=1,Z61="Y"),IF(Settings!$B$6="Percentage",IF(AD61=0,0,AC61*AA61*(N61/AD61)),IF(Settings!$B$6="Points",IF(AF61=0,0,AC61*(N61*AB61)/AF61),IF(Settings!$B$6="Equally",IF(AE61=0,0,AC61*N61/AE61),0))),0)</f>
        <v>0</v>
      </c>
      <c r="AH61" s="18">
        <f t="shared" si="6"/>
        <v>0</v>
      </c>
      <c r="AI61" s="15">
        <f>IF(S61=1,IF(COUNTIFS($R$2:R61,R61,$S$2:S61,1)=1,1,0),0)</f>
        <v>0</v>
      </c>
      <c r="AJ61" s="15">
        <f>SUM($AI$2:AI61)</f>
        <v>10</v>
      </c>
    </row>
    <row r="62" spans="1:36">
      <c r="B62" t="s">
        <v>39</v>
      </c>
      <c r="C62">
        <v>19.61</v>
      </c>
      <c r="D62" s="27">
        <v>46276</v>
      </c>
      <c r="E62" s="28">
        <v>0.48055555555555557</v>
      </c>
      <c r="F62" s="28"/>
      <c r="G62" s="28">
        <v>0.48333333333333334</v>
      </c>
      <c r="H62">
        <v>0.06</v>
      </c>
      <c r="I62">
        <v>0</v>
      </c>
      <c r="J62">
        <v>0</v>
      </c>
      <c r="L62">
        <v>0</v>
      </c>
      <c r="M62">
        <v>0</v>
      </c>
      <c r="N62">
        <v>0.06</v>
      </c>
      <c r="O62">
        <v>14.5</v>
      </c>
      <c r="P62">
        <v>1.58</v>
      </c>
      <c r="Q62">
        <v>0</v>
      </c>
      <c r="R62" s="15" t="str">
        <f t="shared" si="7"/>
        <v>Ryan Tiet</v>
      </c>
      <c r="S62" s="15">
        <f t="shared" si="0"/>
        <v>1</v>
      </c>
      <c r="T62" s="16">
        <f>IF(S62=1, DATE(YEAR(Settings!$B$3), MONTH(D62), DAY(D62)), "")</f>
        <v>46276</v>
      </c>
      <c r="U62" s="15" t="str">
        <f>IF(S62=1,IFERROR(INDEX(Settings!$B$12:$B$41,MATCH($B62,Settings!$A$12:$A$41,0)),"N"),"")</f>
        <v>N</v>
      </c>
      <c r="V62" s="15" t="str">
        <f>IF(S62=1,IFERROR(INDEX(Settings!$C$12:$C$41,MATCH($B62,Settings!$A$12:$A$41,0)),""),"")</f>
        <v>% of Tips</v>
      </c>
      <c r="W62" s="17">
        <f>IF(S62=1,IFERROR(INDEX(Settings!$D$12:$D$41,MATCH($B62,Settings!$A$12:$A$41,0)),0),0)</f>
        <v>0</v>
      </c>
      <c r="X62" s="18">
        <f t="shared" si="1"/>
        <v>0</v>
      </c>
      <c r="Y62" s="18">
        <f t="shared" si="2"/>
        <v>1.58</v>
      </c>
      <c r="Z62" s="15" t="str">
        <f>IF(S62=1,IFERROR(INDEX(Settings!$E$12:$E$41,MATCH($B62,Settings!$A$12:$A$41,0)),"N"),"")</f>
        <v>N</v>
      </c>
      <c r="AA62" s="17">
        <f>IF(S62=1,IFERROR(INDEX(Settings!$F$12:$F$41,MATCH($B62,Settings!$A$12:$A$41,0)),0),0)</f>
        <v>0</v>
      </c>
      <c r="AB62" s="15">
        <f>IF(S62=1,IFERROR(INDEX(Settings!$G$12:$G$41,MATCH($B62,Settings!$A$12:$A$41,0)),0),0)</f>
        <v>1</v>
      </c>
      <c r="AC62" s="18">
        <f t="shared" si="3"/>
        <v>87.710000000000008</v>
      </c>
      <c r="AD62" s="15">
        <f t="shared" si="4"/>
        <v>0.25</v>
      </c>
      <c r="AE62" s="15">
        <f t="shared" si="8"/>
        <v>15.739999999999998</v>
      </c>
      <c r="AF62" s="15">
        <f t="shared" si="5"/>
        <v>15.739999999999998</v>
      </c>
      <c r="AG62" s="18">
        <f>IF(AND(S62=1,Z62="Y"),IF(Settings!$B$6="Percentage",IF(AD62=0,0,AC62*AA62*(N62/AD62)),IF(Settings!$B$6="Points",IF(AF62=0,0,AC62*(N62*AB62)/AF62),IF(Settings!$B$6="Equally",IF(AE62=0,0,AC62*N62/AE62),0))),0)</f>
        <v>0</v>
      </c>
      <c r="AH62" s="18">
        <f t="shared" si="6"/>
        <v>1.58</v>
      </c>
      <c r="AI62" s="15">
        <f>IF(S62=1,IF(COUNTIFS($R$2:R62,R62,$S$2:S62,1)=1,1,0),0)</f>
        <v>0</v>
      </c>
      <c r="AJ62" s="15">
        <f>SUM($AI$2:AI62)</f>
        <v>10</v>
      </c>
    </row>
    <row r="63" spans="1:36">
      <c r="B63" t="s">
        <v>39</v>
      </c>
      <c r="C63">
        <v>19.61</v>
      </c>
      <c r="D63" s="27">
        <v>46276</v>
      </c>
      <c r="E63" s="28">
        <v>0.72152777777777777</v>
      </c>
      <c r="F63" s="28"/>
      <c r="G63" s="28">
        <v>0.72847222222222219</v>
      </c>
      <c r="H63">
        <v>0.16</v>
      </c>
      <c r="I63">
        <v>0</v>
      </c>
      <c r="J63">
        <v>0</v>
      </c>
      <c r="L63">
        <v>0</v>
      </c>
      <c r="M63">
        <v>0</v>
      </c>
      <c r="N63">
        <v>0.16</v>
      </c>
      <c r="O63">
        <v>22.9</v>
      </c>
      <c r="P63">
        <v>2.11</v>
      </c>
      <c r="Q63">
        <v>0</v>
      </c>
      <c r="R63" s="15" t="str">
        <f t="shared" si="7"/>
        <v>Ryan Tiet</v>
      </c>
      <c r="S63" s="15">
        <f t="shared" si="0"/>
        <v>1</v>
      </c>
      <c r="T63" s="16">
        <f>IF(S63=1, DATE(YEAR(Settings!$B$3), MONTH(D63), DAY(D63)), "")</f>
        <v>46276</v>
      </c>
      <c r="U63" s="15" t="str">
        <f>IF(S63=1,IFERROR(INDEX(Settings!$B$12:$B$41,MATCH($B63,Settings!$A$12:$A$41,0)),"N"),"")</f>
        <v>N</v>
      </c>
      <c r="V63" s="15" t="str">
        <f>IF(S63=1,IFERROR(INDEX(Settings!$C$12:$C$41,MATCH($B63,Settings!$A$12:$A$41,0)),""),"")</f>
        <v>% of Tips</v>
      </c>
      <c r="W63" s="17">
        <f>IF(S63=1,IFERROR(INDEX(Settings!$D$12:$D$41,MATCH($B63,Settings!$A$12:$A$41,0)),0),0)</f>
        <v>0</v>
      </c>
      <c r="X63" s="18">
        <f t="shared" si="1"/>
        <v>0</v>
      </c>
      <c r="Y63" s="18">
        <f t="shared" si="2"/>
        <v>2.11</v>
      </c>
      <c r="Z63" s="15" t="str">
        <f>IF(S63=1,IFERROR(INDEX(Settings!$E$12:$E$41,MATCH($B63,Settings!$A$12:$A$41,0)),"N"),"")</f>
        <v>N</v>
      </c>
      <c r="AA63" s="17">
        <f>IF(S63=1,IFERROR(INDEX(Settings!$F$12:$F$41,MATCH($B63,Settings!$A$12:$A$41,0)),0),0)</f>
        <v>0</v>
      </c>
      <c r="AB63" s="15">
        <f>IF(S63=1,IFERROR(INDEX(Settings!$G$12:$G$41,MATCH($B63,Settings!$A$12:$A$41,0)),0),0)</f>
        <v>1</v>
      </c>
      <c r="AC63" s="18">
        <f t="shared" si="3"/>
        <v>87.710000000000008</v>
      </c>
      <c r="AD63" s="15">
        <f t="shared" si="4"/>
        <v>0.25</v>
      </c>
      <c r="AE63" s="15">
        <f t="shared" si="8"/>
        <v>15.739999999999998</v>
      </c>
      <c r="AF63" s="15">
        <f t="shared" si="5"/>
        <v>15.739999999999998</v>
      </c>
      <c r="AG63" s="18">
        <f>IF(AND(S63=1,Z63="Y"),IF(Settings!$B$6="Percentage",IF(AD63=0,0,AC63*AA63*(N63/AD63)),IF(Settings!$B$6="Points",IF(AF63=0,0,AC63*(N63*AB63)/AF63),IF(Settings!$B$6="Equally",IF(AE63=0,0,AC63*N63/AE63),0))),0)</f>
        <v>0</v>
      </c>
      <c r="AH63" s="18">
        <f t="shared" si="6"/>
        <v>2.11</v>
      </c>
      <c r="AI63" s="15">
        <f>IF(S63=1,IF(COUNTIFS($R$2:R63,R63,$S$2:S63,1)=1,1,0),0)</f>
        <v>0</v>
      </c>
      <c r="AJ63" s="15">
        <f>SUM($AI$2:AI63)</f>
        <v>10</v>
      </c>
    </row>
    <row r="64" spans="1:36">
      <c r="B64" t="s">
        <v>39</v>
      </c>
      <c r="C64">
        <v>19.61</v>
      </c>
      <c r="D64" s="27">
        <v>46277</v>
      </c>
      <c r="E64" s="28">
        <v>0.50208333333333333</v>
      </c>
      <c r="F64" s="28"/>
      <c r="G64" s="28">
        <v>0.70833333333333337</v>
      </c>
      <c r="H64">
        <v>4.95</v>
      </c>
      <c r="I64">
        <v>0</v>
      </c>
      <c r="J64">
        <v>0</v>
      </c>
      <c r="L64">
        <v>0.17</v>
      </c>
      <c r="M64">
        <v>0</v>
      </c>
      <c r="N64">
        <v>4.95</v>
      </c>
      <c r="O64">
        <v>88.16</v>
      </c>
      <c r="P64">
        <v>1.47</v>
      </c>
      <c r="Q64">
        <v>0</v>
      </c>
      <c r="R64" s="15" t="str">
        <f t="shared" si="7"/>
        <v>Ryan Tiet</v>
      </c>
      <c r="S64" s="15">
        <f t="shared" si="0"/>
        <v>1</v>
      </c>
      <c r="T64" s="16">
        <f>IF(S64=1, DATE(YEAR(Settings!$B$3), MONTH(D64), DAY(D64)), "")</f>
        <v>46277</v>
      </c>
      <c r="U64" s="15" t="str">
        <f>IF(S64=1,IFERROR(INDEX(Settings!$B$12:$B$41,MATCH($B64,Settings!$A$12:$A$41,0)),"N"),"")</f>
        <v>N</v>
      </c>
      <c r="V64" s="15" t="str">
        <f>IF(S64=1,IFERROR(INDEX(Settings!$C$12:$C$41,MATCH($B64,Settings!$A$12:$A$41,0)),""),"")</f>
        <v>% of Tips</v>
      </c>
      <c r="W64" s="17">
        <f>IF(S64=1,IFERROR(INDEX(Settings!$D$12:$D$41,MATCH($B64,Settings!$A$12:$A$41,0)),0),0)</f>
        <v>0</v>
      </c>
      <c r="X64" s="18">
        <f t="shared" si="1"/>
        <v>0</v>
      </c>
      <c r="Y64" s="18">
        <f t="shared" si="2"/>
        <v>1.47</v>
      </c>
      <c r="Z64" s="15" t="str">
        <f>IF(S64=1,IFERROR(INDEX(Settings!$E$12:$E$41,MATCH($B64,Settings!$A$12:$A$41,0)),"N"),"")</f>
        <v>N</v>
      </c>
      <c r="AA64" s="17">
        <f>IF(S64=1,IFERROR(INDEX(Settings!$F$12:$F$41,MATCH($B64,Settings!$A$12:$A$41,0)),0),0)</f>
        <v>0</v>
      </c>
      <c r="AB64" s="15">
        <f>IF(S64=1,IFERROR(INDEX(Settings!$G$12:$G$41,MATCH($B64,Settings!$A$12:$A$41,0)),0),0)</f>
        <v>1</v>
      </c>
      <c r="AC64" s="18">
        <f t="shared" si="3"/>
        <v>220.79</v>
      </c>
      <c r="AD64" s="15">
        <f t="shared" si="4"/>
        <v>4.95</v>
      </c>
      <c r="AE64" s="15">
        <f t="shared" si="8"/>
        <v>24.11</v>
      </c>
      <c r="AF64" s="15">
        <f t="shared" si="5"/>
        <v>24.11</v>
      </c>
      <c r="AG64" s="18">
        <f>IF(AND(S64=1,Z64="Y"),IF(Settings!$B$6="Percentage",IF(AD64=0,0,AC64*AA64*(N64/AD64)),IF(Settings!$B$6="Points",IF(AF64=0,0,AC64*(N64*AB64)/AF64),IF(Settings!$B$6="Equally",IF(AE64=0,0,AC64*N64/AE64),0))),0)</f>
        <v>0</v>
      </c>
      <c r="AH64" s="18">
        <f t="shared" si="6"/>
        <v>1.47</v>
      </c>
      <c r="AI64" s="15">
        <f>IF(S64=1,IF(COUNTIFS($R$2:R64,R64,$S$2:S64,1)=1,1,0),0)</f>
        <v>0</v>
      </c>
      <c r="AJ64" s="15">
        <f>SUM($AI$2:AI64)</f>
        <v>10</v>
      </c>
    </row>
    <row r="65" spans="1:36">
      <c r="B65" t="s">
        <v>39</v>
      </c>
      <c r="C65">
        <v>19.61</v>
      </c>
      <c r="D65" s="27">
        <v>46278</v>
      </c>
      <c r="E65" s="28">
        <v>0.40069444444444446</v>
      </c>
      <c r="F65" s="28"/>
      <c r="G65" s="28">
        <v>0.70902777777777781</v>
      </c>
      <c r="H65">
        <v>6.85</v>
      </c>
      <c r="I65">
        <v>0</v>
      </c>
      <c r="J65">
        <v>0</v>
      </c>
      <c r="L65">
        <v>0.34</v>
      </c>
      <c r="M65">
        <v>0.54</v>
      </c>
      <c r="N65">
        <v>6.85</v>
      </c>
      <c r="O65">
        <v>0</v>
      </c>
      <c r="P65">
        <v>0</v>
      </c>
      <c r="Q65">
        <v>0</v>
      </c>
      <c r="R65" s="15" t="str">
        <f t="shared" si="7"/>
        <v>Ryan Tiet</v>
      </c>
      <c r="S65" s="15">
        <f t="shared" si="0"/>
        <v>1</v>
      </c>
      <c r="T65" s="16">
        <f>IF(S65=1, DATE(YEAR(Settings!$B$3), MONTH(D65), DAY(D65)), "")</f>
        <v>46278</v>
      </c>
      <c r="U65" s="15" t="str">
        <f>IF(S65=1,IFERROR(INDEX(Settings!$B$12:$B$41,MATCH($B65,Settings!$A$12:$A$41,0)),"N"),"")</f>
        <v>N</v>
      </c>
      <c r="V65" s="15" t="str">
        <f>IF(S65=1,IFERROR(INDEX(Settings!$C$12:$C$41,MATCH($B65,Settings!$A$12:$A$41,0)),""),"")</f>
        <v>% of Tips</v>
      </c>
      <c r="W65" s="17">
        <f>IF(S65=1,IFERROR(INDEX(Settings!$D$12:$D$41,MATCH($B65,Settings!$A$12:$A$41,0)),0),0)</f>
        <v>0</v>
      </c>
      <c r="X65" s="18">
        <f t="shared" si="1"/>
        <v>0</v>
      </c>
      <c r="Y65" s="18">
        <f t="shared" si="2"/>
        <v>0</v>
      </c>
      <c r="Z65" s="15" t="str">
        <f>IF(S65=1,IFERROR(INDEX(Settings!$E$12:$E$41,MATCH($B65,Settings!$A$12:$A$41,0)),"N"),"")</f>
        <v>N</v>
      </c>
      <c r="AA65" s="17">
        <f>IF(S65=1,IFERROR(INDEX(Settings!$F$12:$F$41,MATCH($B65,Settings!$A$12:$A$41,0)),0),0)</f>
        <v>0</v>
      </c>
      <c r="AB65" s="15">
        <f>IF(S65=1,IFERROR(INDEX(Settings!$G$12:$G$41,MATCH($B65,Settings!$A$12:$A$41,0)),0),0)</f>
        <v>1</v>
      </c>
      <c r="AC65" s="18">
        <f t="shared" si="3"/>
        <v>242.76</v>
      </c>
      <c r="AD65" s="15">
        <f t="shared" si="4"/>
        <v>6.85</v>
      </c>
      <c r="AE65" s="15">
        <f t="shared" si="8"/>
        <v>20.37</v>
      </c>
      <c r="AF65" s="15">
        <f t="shared" si="5"/>
        <v>20.37</v>
      </c>
      <c r="AG65" s="18">
        <f>IF(AND(S65=1,Z65="Y"),IF(Settings!$B$6="Percentage",IF(AD65=0,0,AC65*AA65*(N65/AD65)),IF(Settings!$B$6="Points",IF(AF65=0,0,AC65*(N65*AB65)/AF65),IF(Settings!$B$6="Equally",IF(AE65=0,0,AC65*N65/AE65),0))),0)</f>
        <v>0</v>
      </c>
      <c r="AH65" s="18">
        <f t="shared" si="6"/>
        <v>0</v>
      </c>
      <c r="AI65" s="15">
        <f>IF(S65=1,IF(COUNTIFS($R$2:R65,R65,$S$2:S65,1)=1,1,0),0)</f>
        <v>0</v>
      </c>
      <c r="AJ65" s="15">
        <f>SUM($AI$2:AI65)</f>
        <v>10</v>
      </c>
    </row>
    <row r="66" spans="1:36">
      <c r="B66" t="s">
        <v>39</v>
      </c>
      <c r="C66">
        <v>19.61</v>
      </c>
      <c r="D66" s="27">
        <v>46279</v>
      </c>
      <c r="E66" s="28">
        <v>0.40763888888888888</v>
      </c>
      <c r="F66" s="28"/>
      <c r="G66" s="28">
        <v>0.40833333333333333</v>
      </c>
      <c r="H66">
        <v>0.01</v>
      </c>
      <c r="I66">
        <v>0</v>
      </c>
      <c r="J66">
        <v>0</v>
      </c>
      <c r="L66">
        <v>0</v>
      </c>
      <c r="M66">
        <v>0</v>
      </c>
      <c r="N66">
        <v>0.01</v>
      </c>
      <c r="O66">
        <v>0</v>
      </c>
      <c r="P66">
        <v>12</v>
      </c>
      <c r="Q66">
        <v>0</v>
      </c>
      <c r="R66" s="15" t="str">
        <f t="shared" si="7"/>
        <v>Ryan Tiet</v>
      </c>
      <c r="S66" s="15">
        <f t="shared" ref="S66:S129" si="9">IF(AND(D66&lt;&gt;"",A66&lt;&gt;"Total"),1,0)</f>
        <v>1</v>
      </c>
      <c r="T66" s="16">
        <f>IF(S66=1, DATE(YEAR(Settings!$B$3), MONTH(D66), DAY(D66)), "")</f>
        <v>46279</v>
      </c>
      <c r="U66" s="15" t="str">
        <f>IF(S66=1,IFERROR(INDEX(Settings!$B$12:$B$41,MATCH($B66,Settings!$A$12:$A$41,0)),"N"),"")</f>
        <v>N</v>
      </c>
      <c r="V66" s="15" t="str">
        <f>IF(S66=1,IFERROR(INDEX(Settings!$C$12:$C$41,MATCH($B66,Settings!$A$12:$A$41,0)),""),"")</f>
        <v>% of Tips</v>
      </c>
      <c r="W66" s="17">
        <f>IF(S66=1,IFERROR(INDEX(Settings!$D$12:$D$41,MATCH($B66,Settings!$A$12:$A$41,0)),0),0)</f>
        <v>0</v>
      </c>
      <c r="X66" s="18">
        <f t="shared" ref="X66:X129" si="10">IF(AND(S66=1,U66="Y"),IF(V66="% of Sales",O66*W66,IF(V66="% of Tips",P66*W66,0)),0)</f>
        <v>0</v>
      </c>
      <c r="Y66" s="18">
        <f t="shared" ref="Y66:Y129" si="11">IF(S66=1,P66-X66,"")</f>
        <v>12</v>
      </c>
      <c r="Z66" s="15" t="str">
        <f>IF(S66=1,IFERROR(INDEX(Settings!$E$12:$E$41,MATCH($B66,Settings!$A$12:$A$41,0)),"N"),"")</f>
        <v>N</v>
      </c>
      <c r="AA66" s="17">
        <f>IF(S66=1,IFERROR(INDEX(Settings!$F$12:$F$41,MATCH($B66,Settings!$A$12:$A$41,0)),0),0)</f>
        <v>0</v>
      </c>
      <c r="AB66" s="15">
        <f>IF(S66=1,IFERROR(INDEX(Settings!$G$12:$G$41,MATCH($B66,Settings!$A$12:$A$41,0)),0),0)</f>
        <v>1</v>
      </c>
      <c r="AC66" s="18">
        <f t="shared" ref="AC66:AC129" si="12">IF(S66=1,SUMIFS($X$2:$X$601,$S$2:$S$601,1,$T$2:$T$601,T66),"")</f>
        <v>80.03</v>
      </c>
      <c r="AD66" s="15">
        <f t="shared" ref="AD66:AD129" si="13">IF(S66=1,SUMIFS($N$2:$N$601,$S$2:$S$601,1,$T$2:$T$601,T66,$B$2:$B$601,B66),"")</f>
        <v>0.6</v>
      </c>
      <c r="AE66" s="15">
        <f t="shared" ref="AE66:AE129" si="14">IF(S66=1,SUMIFS($N$2:$N$601,$S$2:$S$601,1,$T$2:$T$601,T66,$Z$2:$Z$601,"Y"),"")</f>
        <v>7.23</v>
      </c>
      <c r="AF66" s="15">
        <f t="shared" ref="AF66:AF129" si="15">IF(S66=1,SUMPRODUCT(($S$2:$S$601=1)*($T$2:$T$601=T66)*($Z$2:$Z$601="Y")*($N$2:$N$601)*($AB$2:$AB$601)),"")</f>
        <v>7.23</v>
      </c>
      <c r="AG66" s="18">
        <f>IF(AND(S66=1,Z66="Y"),IF(Settings!$B$6="Percentage",IF(AD66=0,0,AC66*AA66*(N66/AD66)),IF(Settings!$B$6="Points",IF(AF66=0,0,AC66*(N66*AB66)/AF66),IF(Settings!$B$6="Equally",IF(AE66=0,0,AC66*N66/AE66),0))),0)</f>
        <v>0</v>
      </c>
      <c r="AH66" s="18">
        <f t="shared" ref="AH66:AH129" si="16">IF(S66=1,Y66+AG66,"")</f>
        <v>12</v>
      </c>
      <c r="AI66" s="15">
        <f>IF(S66=1,IF(COUNTIFS($R$2:R66,R66,$S$2:S66,1)=1,1,0),0)</f>
        <v>0</v>
      </c>
      <c r="AJ66" s="15">
        <f>SUM($AI$2:AI66)</f>
        <v>10</v>
      </c>
    </row>
    <row r="67" spans="1:36">
      <c r="B67" t="s">
        <v>39</v>
      </c>
      <c r="C67">
        <v>19.61</v>
      </c>
      <c r="D67" s="27">
        <v>46279</v>
      </c>
      <c r="E67" s="28">
        <v>0.55347222222222225</v>
      </c>
      <c r="F67" s="28"/>
      <c r="G67" s="28">
        <v>0.57777777777777772</v>
      </c>
      <c r="H67">
        <v>0.59</v>
      </c>
      <c r="I67">
        <v>0</v>
      </c>
      <c r="J67">
        <v>0</v>
      </c>
      <c r="L67">
        <v>0</v>
      </c>
      <c r="M67">
        <v>0</v>
      </c>
      <c r="N67">
        <v>0.59</v>
      </c>
      <c r="O67">
        <v>40.35</v>
      </c>
      <c r="P67">
        <v>4.82</v>
      </c>
      <c r="Q67">
        <v>0</v>
      </c>
      <c r="R67" s="15" t="str">
        <f t="shared" ref="R67:R130" si="17">IF(A67&lt;&gt;"",IF(A67="Total","",A67),IF(D67&lt;&gt;"",R66,""))</f>
        <v>Ryan Tiet</v>
      </c>
      <c r="S67" s="15">
        <f t="shared" si="9"/>
        <v>1</v>
      </c>
      <c r="T67" s="16">
        <f>IF(S67=1, DATE(YEAR(Settings!$B$3), MONTH(D67), DAY(D67)), "")</f>
        <v>46279</v>
      </c>
      <c r="U67" s="15" t="str">
        <f>IF(S67=1,IFERROR(INDEX(Settings!$B$12:$B$41,MATCH($B67,Settings!$A$12:$A$41,0)),"N"),"")</f>
        <v>N</v>
      </c>
      <c r="V67" s="15" t="str">
        <f>IF(S67=1,IFERROR(INDEX(Settings!$C$12:$C$41,MATCH($B67,Settings!$A$12:$A$41,0)),""),"")</f>
        <v>% of Tips</v>
      </c>
      <c r="W67" s="17">
        <f>IF(S67=1,IFERROR(INDEX(Settings!$D$12:$D$41,MATCH($B67,Settings!$A$12:$A$41,0)),0),0)</f>
        <v>0</v>
      </c>
      <c r="X67" s="18">
        <f t="shared" si="10"/>
        <v>0</v>
      </c>
      <c r="Y67" s="18">
        <f t="shared" si="11"/>
        <v>4.82</v>
      </c>
      <c r="Z67" s="15" t="str">
        <f>IF(S67=1,IFERROR(INDEX(Settings!$E$12:$E$41,MATCH($B67,Settings!$A$12:$A$41,0)),"N"),"")</f>
        <v>N</v>
      </c>
      <c r="AA67" s="17">
        <f>IF(S67=1,IFERROR(INDEX(Settings!$F$12:$F$41,MATCH($B67,Settings!$A$12:$A$41,0)),0),0)</f>
        <v>0</v>
      </c>
      <c r="AB67" s="15">
        <f>IF(S67=1,IFERROR(INDEX(Settings!$G$12:$G$41,MATCH($B67,Settings!$A$12:$A$41,0)),0),0)</f>
        <v>1</v>
      </c>
      <c r="AC67" s="18">
        <f t="shared" si="12"/>
        <v>80.03</v>
      </c>
      <c r="AD67" s="15">
        <f t="shared" si="13"/>
        <v>0.6</v>
      </c>
      <c r="AE67" s="15">
        <f t="shared" si="14"/>
        <v>7.23</v>
      </c>
      <c r="AF67" s="15">
        <f t="shared" si="15"/>
        <v>7.23</v>
      </c>
      <c r="AG67" s="18">
        <f>IF(AND(S67=1,Z67="Y"),IF(Settings!$B$6="Percentage",IF(AD67=0,0,AC67*AA67*(N67/AD67)),IF(Settings!$B$6="Points",IF(AF67=0,0,AC67*(N67*AB67)/AF67),IF(Settings!$B$6="Equally",IF(AE67=0,0,AC67*N67/AE67),0))),0)</f>
        <v>0</v>
      </c>
      <c r="AH67" s="18">
        <f t="shared" si="16"/>
        <v>4.82</v>
      </c>
      <c r="AI67" s="15">
        <f>IF(S67=1,IF(COUNTIFS($R$2:R67,R67,$S$2:S67,1)=1,1,0),0)</f>
        <v>0</v>
      </c>
      <c r="AJ67" s="15">
        <f>SUM($AI$2:AI67)</f>
        <v>10</v>
      </c>
    </row>
    <row r="68" spans="1:36">
      <c r="B68" t="s">
        <v>39</v>
      </c>
      <c r="C68">
        <v>19.61</v>
      </c>
      <c r="D68" s="27">
        <v>46281</v>
      </c>
      <c r="E68" s="28">
        <v>0.52708333333333335</v>
      </c>
      <c r="F68" s="28"/>
      <c r="G68" s="28">
        <v>0.53333333333333333</v>
      </c>
      <c r="H68">
        <v>0.15</v>
      </c>
      <c r="I68">
        <v>0</v>
      </c>
      <c r="J68">
        <v>0</v>
      </c>
      <c r="L68">
        <v>0</v>
      </c>
      <c r="M68">
        <v>0</v>
      </c>
      <c r="N68">
        <v>0.15</v>
      </c>
      <c r="O68">
        <v>16.2</v>
      </c>
      <c r="P68">
        <v>0.92</v>
      </c>
      <c r="Q68">
        <v>0</v>
      </c>
      <c r="R68" s="15" t="str">
        <f t="shared" si="17"/>
        <v>Ryan Tiet</v>
      </c>
      <c r="S68" s="15">
        <f t="shared" si="9"/>
        <v>1</v>
      </c>
      <c r="T68" s="16">
        <f>IF(S68=1, DATE(YEAR(Settings!$B$3), MONTH(D68), DAY(D68)), "")</f>
        <v>46281</v>
      </c>
      <c r="U68" s="15" t="str">
        <f>IF(S68=1,IFERROR(INDEX(Settings!$B$12:$B$41,MATCH($B68,Settings!$A$12:$A$41,0)),"N"),"")</f>
        <v>N</v>
      </c>
      <c r="V68" s="15" t="str">
        <f>IF(S68=1,IFERROR(INDEX(Settings!$C$12:$C$41,MATCH($B68,Settings!$A$12:$A$41,0)),""),"")</f>
        <v>% of Tips</v>
      </c>
      <c r="W68" s="17">
        <f>IF(S68=1,IFERROR(INDEX(Settings!$D$12:$D$41,MATCH($B68,Settings!$A$12:$A$41,0)),0),0)</f>
        <v>0</v>
      </c>
      <c r="X68" s="18">
        <f t="shared" si="10"/>
        <v>0</v>
      </c>
      <c r="Y68" s="18">
        <f t="shared" si="11"/>
        <v>0.92</v>
      </c>
      <c r="Z68" s="15" t="str">
        <f>IF(S68=1,IFERROR(INDEX(Settings!$E$12:$E$41,MATCH($B68,Settings!$A$12:$A$41,0)),"N"),"")</f>
        <v>N</v>
      </c>
      <c r="AA68" s="17">
        <f>IF(S68=1,IFERROR(INDEX(Settings!$F$12:$F$41,MATCH($B68,Settings!$A$12:$A$41,0)),0),0)</f>
        <v>0</v>
      </c>
      <c r="AB68" s="15">
        <f>IF(S68=1,IFERROR(INDEX(Settings!$G$12:$G$41,MATCH($B68,Settings!$A$12:$A$41,0)),0),0)</f>
        <v>1</v>
      </c>
      <c r="AC68" s="18">
        <f t="shared" si="12"/>
        <v>81.58</v>
      </c>
      <c r="AD68" s="15">
        <f t="shared" si="13"/>
        <v>0.15</v>
      </c>
      <c r="AE68" s="15">
        <f t="shared" si="14"/>
        <v>8.6499999999999986</v>
      </c>
      <c r="AF68" s="15">
        <f t="shared" si="15"/>
        <v>8.6499999999999986</v>
      </c>
      <c r="AG68" s="18">
        <f>IF(AND(S68=1,Z68="Y"),IF(Settings!$B$6="Percentage",IF(AD68=0,0,AC68*AA68*(N68/AD68)),IF(Settings!$B$6="Points",IF(AF68=0,0,AC68*(N68*AB68)/AF68),IF(Settings!$B$6="Equally",IF(AE68=0,0,AC68*N68/AE68),0))),0)</f>
        <v>0</v>
      </c>
      <c r="AH68" s="18">
        <f t="shared" si="16"/>
        <v>0.92</v>
      </c>
      <c r="AI68" s="15">
        <f>IF(S68=1,IF(COUNTIFS($R$2:R68,R68,$S$2:S68,1)=1,1,0),0)</f>
        <v>0</v>
      </c>
      <c r="AJ68" s="15">
        <f>SUM($AI$2:AI68)</f>
        <v>10</v>
      </c>
    </row>
    <row r="69" spans="1:36">
      <c r="B69" t="s">
        <v>39</v>
      </c>
      <c r="C69">
        <v>19.61</v>
      </c>
      <c r="D69" s="27">
        <v>46282</v>
      </c>
      <c r="E69" s="28">
        <v>0.48055555555555557</v>
      </c>
      <c r="F69" s="28"/>
      <c r="G69" s="28">
        <v>0.52986111111111112</v>
      </c>
      <c r="H69">
        <v>1.17</v>
      </c>
      <c r="I69">
        <v>0</v>
      </c>
      <c r="J69">
        <v>0</v>
      </c>
      <c r="L69">
        <v>0</v>
      </c>
      <c r="M69">
        <v>0</v>
      </c>
      <c r="N69">
        <v>1.17</v>
      </c>
      <c r="O69">
        <v>104.05</v>
      </c>
      <c r="P69">
        <v>8.3699999999999992</v>
      </c>
      <c r="Q69">
        <v>0</v>
      </c>
      <c r="R69" s="15" t="str">
        <f t="shared" si="17"/>
        <v>Ryan Tiet</v>
      </c>
      <c r="S69" s="15">
        <f t="shared" si="9"/>
        <v>1</v>
      </c>
      <c r="T69" s="16">
        <f>IF(S69=1, DATE(YEAR(Settings!$B$3), MONTH(D69), DAY(D69)), "")</f>
        <v>46282</v>
      </c>
      <c r="U69" s="15" t="str">
        <f>IF(S69=1,IFERROR(INDEX(Settings!$B$12:$B$41,MATCH($B69,Settings!$A$12:$A$41,0)),"N"),"")</f>
        <v>N</v>
      </c>
      <c r="V69" s="15" t="str">
        <f>IF(S69=1,IFERROR(INDEX(Settings!$C$12:$C$41,MATCH($B69,Settings!$A$12:$A$41,0)),""),"")</f>
        <v>% of Tips</v>
      </c>
      <c r="W69" s="17">
        <f>IF(S69=1,IFERROR(INDEX(Settings!$D$12:$D$41,MATCH($B69,Settings!$A$12:$A$41,0)),0),0)</f>
        <v>0</v>
      </c>
      <c r="X69" s="18">
        <f t="shared" si="10"/>
        <v>0</v>
      </c>
      <c r="Y69" s="18">
        <f t="shared" si="11"/>
        <v>8.3699999999999992</v>
      </c>
      <c r="Z69" s="15" t="str">
        <f>IF(S69=1,IFERROR(INDEX(Settings!$E$12:$E$41,MATCH($B69,Settings!$A$12:$A$41,0)),"N"),"")</f>
        <v>N</v>
      </c>
      <c r="AA69" s="17">
        <f>IF(S69=1,IFERROR(INDEX(Settings!$F$12:$F$41,MATCH($B69,Settings!$A$12:$A$41,0)),0),0)</f>
        <v>0</v>
      </c>
      <c r="AB69" s="15">
        <f>IF(S69=1,IFERROR(INDEX(Settings!$G$12:$G$41,MATCH($B69,Settings!$A$12:$A$41,0)),0),0)</f>
        <v>1</v>
      </c>
      <c r="AC69" s="18">
        <f t="shared" si="12"/>
        <v>72.78</v>
      </c>
      <c r="AD69" s="15">
        <f t="shared" si="13"/>
        <v>1.28</v>
      </c>
      <c r="AE69" s="15">
        <f t="shared" si="14"/>
        <v>8.07</v>
      </c>
      <c r="AF69" s="15">
        <f t="shared" si="15"/>
        <v>8.07</v>
      </c>
      <c r="AG69" s="18">
        <f>IF(AND(S69=1,Z69="Y"),IF(Settings!$B$6="Percentage",IF(AD69=0,0,AC69*AA69*(N69/AD69)),IF(Settings!$B$6="Points",IF(AF69=0,0,AC69*(N69*AB69)/AF69),IF(Settings!$B$6="Equally",IF(AE69=0,0,AC69*N69/AE69),0))),0)</f>
        <v>0</v>
      </c>
      <c r="AH69" s="18">
        <f t="shared" si="16"/>
        <v>8.3699999999999992</v>
      </c>
      <c r="AI69" s="15">
        <f>IF(S69=1,IF(COUNTIFS($R$2:R69,R69,$S$2:S69,1)=1,1,0),0)</f>
        <v>0</v>
      </c>
      <c r="AJ69" s="15">
        <f>SUM($AI$2:AI69)</f>
        <v>10</v>
      </c>
    </row>
    <row r="70" spans="1:36">
      <c r="B70" t="s">
        <v>39</v>
      </c>
      <c r="C70">
        <v>19.61</v>
      </c>
      <c r="D70" s="27">
        <v>46282</v>
      </c>
      <c r="E70" s="28">
        <v>0.64652777777777781</v>
      </c>
      <c r="F70" s="28"/>
      <c r="G70" s="28">
        <v>0.65069444444444446</v>
      </c>
      <c r="H70">
        <v>0.11</v>
      </c>
      <c r="I70">
        <v>0</v>
      </c>
      <c r="J70">
        <v>0</v>
      </c>
      <c r="L70">
        <v>0</v>
      </c>
      <c r="M70">
        <v>0</v>
      </c>
      <c r="N70">
        <v>0.11</v>
      </c>
      <c r="O70">
        <v>13.95</v>
      </c>
      <c r="P70">
        <v>1.52</v>
      </c>
      <c r="Q70">
        <v>0</v>
      </c>
      <c r="R70" s="15" t="str">
        <f t="shared" si="17"/>
        <v>Ryan Tiet</v>
      </c>
      <c r="S70" s="15">
        <f t="shared" si="9"/>
        <v>1</v>
      </c>
      <c r="T70" s="16">
        <f>IF(S70=1, DATE(YEAR(Settings!$B$3), MONTH(D70), DAY(D70)), "")</f>
        <v>46282</v>
      </c>
      <c r="U70" s="15" t="str">
        <f>IF(S70=1,IFERROR(INDEX(Settings!$B$12:$B$41,MATCH($B70,Settings!$A$12:$A$41,0)),"N"),"")</f>
        <v>N</v>
      </c>
      <c r="V70" s="15" t="str">
        <f>IF(S70=1,IFERROR(INDEX(Settings!$C$12:$C$41,MATCH($B70,Settings!$A$12:$A$41,0)),""),"")</f>
        <v>% of Tips</v>
      </c>
      <c r="W70" s="17">
        <f>IF(S70=1,IFERROR(INDEX(Settings!$D$12:$D$41,MATCH($B70,Settings!$A$12:$A$41,0)),0),0)</f>
        <v>0</v>
      </c>
      <c r="X70" s="18">
        <f t="shared" si="10"/>
        <v>0</v>
      </c>
      <c r="Y70" s="18">
        <f t="shared" si="11"/>
        <v>1.52</v>
      </c>
      <c r="Z70" s="15" t="str">
        <f>IF(S70=1,IFERROR(INDEX(Settings!$E$12:$E$41,MATCH($B70,Settings!$A$12:$A$41,0)),"N"),"")</f>
        <v>N</v>
      </c>
      <c r="AA70" s="17">
        <f>IF(S70=1,IFERROR(INDEX(Settings!$F$12:$F$41,MATCH($B70,Settings!$A$12:$A$41,0)),0),0)</f>
        <v>0</v>
      </c>
      <c r="AB70" s="15">
        <f>IF(S70=1,IFERROR(INDEX(Settings!$G$12:$G$41,MATCH($B70,Settings!$A$12:$A$41,0)),0),0)</f>
        <v>1</v>
      </c>
      <c r="AC70" s="18">
        <f t="shared" si="12"/>
        <v>72.78</v>
      </c>
      <c r="AD70" s="15">
        <f t="shared" si="13"/>
        <v>1.28</v>
      </c>
      <c r="AE70" s="15">
        <f t="shared" si="14"/>
        <v>8.07</v>
      </c>
      <c r="AF70" s="15">
        <f t="shared" si="15"/>
        <v>8.07</v>
      </c>
      <c r="AG70" s="18">
        <f>IF(AND(S70=1,Z70="Y"),IF(Settings!$B$6="Percentage",IF(AD70=0,0,AC70*AA70*(N70/AD70)),IF(Settings!$B$6="Points",IF(AF70=0,0,AC70*(N70*AB70)/AF70),IF(Settings!$B$6="Equally",IF(AE70=0,0,AC70*N70/AE70),0))),0)</f>
        <v>0</v>
      </c>
      <c r="AH70" s="18">
        <f t="shared" si="16"/>
        <v>1.52</v>
      </c>
      <c r="AI70" s="15">
        <f>IF(S70=1,IF(COUNTIFS($R$2:R70,R70,$S$2:S70,1)=1,1,0),0)</f>
        <v>0</v>
      </c>
      <c r="AJ70" s="15">
        <f>SUM($AI$2:AI70)</f>
        <v>10</v>
      </c>
    </row>
    <row r="71" spans="1:36">
      <c r="B71" t="s">
        <v>39</v>
      </c>
      <c r="C71">
        <v>19.61</v>
      </c>
      <c r="D71" s="27">
        <v>46283</v>
      </c>
      <c r="E71" s="28">
        <v>0.69166666666666665</v>
      </c>
      <c r="F71" s="28"/>
      <c r="G71" s="28">
        <v>0.69652777777777775</v>
      </c>
      <c r="H71">
        <v>0.11</v>
      </c>
      <c r="I71">
        <v>0</v>
      </c>
      <c r="J71">
        <v>0</v>
      </c>
      <c r="L71">
        <v>0</v>
      </c>
      <c r="M71">
        <v>0</v>
      </c>
      <c r="N71">
        <v>0.11</v>
      </c>
      <c r="O71">
        <v>8.4499999999999993</v>
      </c>
      <c r="P71">
        <v>0.46</v>
      </c>
      <c r="Q71">
        <v>0</v>
      </c>
      <c r="R71" s="15" t="str">
        <f t="shared" si="17"/>
        <v>Ryan Tiet</v>
      </c>
      <c r="S71" s="15">
        <f t="shared" si="9"/>
        <v>1</v>
      </c>
      <c r="T71" s="16">
        <f>IF(S71=1, DATE(YEAR(Settings!$B$3), MONTH(D71), DAY(D71)), "")</f>
        <v>46283</v>
      </c>
      <c r="U71" s="15" t="str">
        <f>IF(S71=1,IFERROR(INDEX(Settings!$B$12:$B$41,MATCH($B71,Settings!$A$12:$A$41,0)),"N"),"")</f>
        <v>N</v>
      </c>
      <c r="V71" s="15" t="str">
        <f>IF(S71=1,IFERROR(INDEX(Settings!$C$12:$C$41,MATCH($B71,Settings!$A$12:$A$41,0)),""),"")</f>
        <v>% of Tips</v>
      </c>
      <c r="W71" s="17">
        <f>IF(S71=1,IFERROR(INDEX(Settings!$D$12:$D$41,MATCH($B71,Settings!$A$12:$A$41,0)),0),0)</f>
        <v>0</v>
      </c>
      <c r="X71" s="18">
        <f t="shared" si="10"/>
        <v>0</v>
      </c>
      <c r="Y71" s="18">
        <f t="shared" si="11"/>
        <v>0.46</v>
      </c>
      <c r="Z71" s="15" t="str">
        <f>IF(S71=1,IFERROR(INDEX(Settings!$E$12:$E$41,MATCH($B71,Settings!$A$12:$A$41,0)),"N"),"")</f>
        <v>N</v>
      </c>
      <c r="AA71" s="17">
        <f>IF(S71=1,IFERROR(INDEX(Settings!$F$12:$F$41,MATCH($B71,Settings!$A$12:$A$41,0)),0),0)</f>
        <v>0</v>
      </c>
      <c r="AB71" s="15">
        <f>IF(S71=1,IFERROR(INDEX(Settings!$G$12:$G$41,MATCH($B71,Settings!$A$12:$A$41,0)),0),0)</f>
        <v>1</v>
      </c>
      <c r="AC71" s="18">
        <f t="shared" si="12"/>
        <v>84.09</v>
      </c>
      <c r="AD71" s="15">
        <f t="shared" si="13"/>
        <v>0.11</v>
      </c>
      <c r="AE71" s="15">
        <f t="shared" si="14"/>
        <v>12.5</v>
      </c>
      <c r="AF71" s="15">
        <f t="shared" si="15"/>
        <v>12.5</v>
      </c>
      <c r="AG71" s="18">
        <f>IF(AND(S71=1,Z71="Y"),IF(Settings!$B$6="Percentage",IF(AD71=0,0,AC71*AA71*(N71/AD71)),IF(Settings!$B$6="Points",IF(AF71=0,0,AC71*(N71*AB71)/AF71),IF(Settings!$B$6="Equally",IF(AE71=0,0,AC71*N71/AE71),0))),0)</f>
        <v>0</v>
      </c>
      <c r="AH71" s="18">
        <f t="shared" si="16"/>
        <v>0.46</v>
      </c>
      <c r="AI71" s="15">
        <f>IF(S71=1,IF(COUNTIFS($R$2:R71,R71,$S$2:S71,1)=1,1,0),0)</f>
        <v>0</v>
      </c>
      <c r="AJ71" s="15">
        <f>SUM($AI$2:AI71)</f>
        <v>10</v>
      </c>
    </row>
    <row r="72" spans="1:36">
      <c r="B72" t="s">
        <v>39</v>
      </c>
      <c r="C72">
        <v>19.61</v>
      </c>
      <c r="D72" s="27">
        <v>46284</v>
      </c>
      <c r="E72" s="28">
        <v>0.70833333333333337</v>
      </c>
      <c r="F72" s="28"/>
      <c r="G72" s="28">
        <v>0.75</v>
      </c>
      <c r="H72">
        <v>0.99</v>
      </c>
      <c r="I72">
        <v>0</v>
      </c>
      <c r="J72">
        <v>0</v>
      </c>
      <c r="L72">
        <v>0</v>
      </c>
      <c r="M72">
        <v>0</v>
      </c>
      <c r="N72">
        <v>0.99</v>
      </c>
      <c r="O72">
        <v>99.95</v>
      </c>
      <c r="P72">
        <v>10.52</v>
      </c>
      <c r="Q72">
        <v>0</v>
      </c>
      <c r="R72" s="15" t="str">
        <f t="shared" si="17"/>
        <v>Ryan Tiet</v>
      </c>
      <c r="S72" s="15">
        <f t="shared" si="9"/>
        <v>1</v>
      </c>
      <c r="T72" s="16">
        <f>IF(S72=1, DATE(YEAR(Settings!$B$3), MONTH(D72), DAY(D72)), "")</f>
        <v>46284</v>
      </c>
      <c r="U72" s="15" t="str">
        <f>IF(S72=1,IFERROR(INDEX(Settings!$B$12:$B$41,MATCH($B72,Settings!$A$12:$A$41,0)),"N"),"")</f>
        <v>N</v>
      </c>
      <c r="V72" s="15" t="str">
        <f>IF(S72=1,IFERROR(INDEX(Settings!$C$12:$C$41,MATCH($B72,Settings!$A$12:$A$41,0)),""),"")</f>
        <v>% of Tips</v>
      </c>
      <c r="W72" s="17">
        <f>IF(S72=1,IFERROR(INDEX(Settings!$D$12:$D$41,MATCH($B72,Settings!$A$12:$A$41,0)),0),0)</f>
        <v>0</v>
      </c>
      <c r="X72" s="18">
        <f t="shared" si="10"/>
        <v>0</v>
      </c>
      <c r="Y72" s="18">
        <f t="shared" si="11"/>
        <v>10.52</v>
      </c>
      <c r="Z72" s="15" t="str">
        <f>IF(S72=1,IFERROR(INDEX(Settings!$E$12:$E$41,MATCH($B72,Settings!$A$12:$A$41,0)),"N"),"")</f>
        <v>N</v>
      </c>
      <c r="AA72" s="17">
        <f>IF(S72=1,IFERROR(INDEX(Settings!$F$12:$F$41,MATCH($B72,Settings!$A$12:$A$41,0)),0),0)</f>
        <v>0</v>
      </c>
      <c r="AB72" s="15">
        <f>IF(S72=1,IFERROR(INDEX(Settings!$G$12:$G$41,MATCH($B72,Settings!$A$12:$A$41,0)),0),0)</f>
        <v>1</v>
      </c>
      <c r="AC72" s="18">
        <f t="shared" si="12"/>
        <v>190.57</v>
      </c>
      <c r="AD72" s="15">
        <f t="shared" si="13"/>
        <v>0.99</v>
      </c>
      <c r="AE72" s="15">
        <f t="shared" si="14"/>
        <v>28</v>
      </c>
      <c r="AF72" s="15">
        <f t="shared" si="15"/>
        <v>28</v>
      </c>
      <c r="AG72" s="18">
        <f>IF(AND(S72=1,Z72="Y"),IF(Settings!$B$6="Percentage",IF(AD72=0,0,AC72*AA72*(N72/AD72)),IF(Settings!$B$6="Points",IF(AF72=0,0,AC72*(N72*AB72)/AF72),IF(Settings!$B$6="Equally",IF(AE72=0,0,AC72*N72/AE72),0))),0)</f>
        <v>0</v>
      </c>
      <c r="AH72" s="18">
        <f t="shared" si="16"/>
        <v>10.52</v>
      </c>
      <c r="AI72" s="15">
        <f>IF(S72=1,IF(COUNTIFS($R$2:R72,R72,$S$2:S72,1)=1,1,0),0)</f>
        <v>0</v>
      </c>
      <c r="AJ72" s="15">
        <f>SUM($AI$2:AI72)</f>
        <v>10</v>
      </c>
    </row>
    <row r="73" spans="1:36">
      <c r="B73" t="s">
        <v>39</v>
      </c>
      <c r="C73">
        <v>19.61</v>
      </c>
      <c r="D73" s="27">
        <v>46285</v>
      </c>
      <c r="E73" s="28">
        <v>0.73124999999999996</v>
      </c>
      <c r="F73" s="28"/>
      <c r="G73" s="28">
        <v>0.75069444444444444</v>
      </c>
      <c r="H73">
        <v>0.47</v>
      </c>
      <c r="I73">
        <v>0</v>
      </c>
      <c r="J73">
        <v>0</v>
      </c>
      <c r="L73">
        <v>0</v>
      </c>
      <c r="M73">
        <v>0</v>
      </c>
      <c r="N73">
        <v>0.47</v>
      </c>
      <c r="O73">
        <v>85.34</v>
      </c>
      <c r="P73">
        <v>4.2699999999999996</v>
      </c>
      <c r="Q73">
        <v>0</v>
      </c>
      <c r="R73" s="15" t="str">
        <f t="shared" si="17"/>
        <v>Ryan Tiet</v>
      </c>
      <c r="S73" s="15">
        <f t="shared" si="9"/>
        <v>1</v>
      </c>
      <c r="T73" s="16">
        <f>IF(S73=1, DATE(YEAR(Settings!$B$3), MONTH(D73), DAY(D73)), "")</f>
        <v>46285</v>
      </c>
      <c r="U73" s="15" t="str">
        <f>IF(S73=1,IFERROR(INDEX(Settings!$B$12:$B$41,MATCH($B73,Settings!$A$12:$A$41,0)),"N"),"")</f>
        <v>N</v>
      </c>
      <c r="V73" s="15" t="str">
        <f>IF(S73=1,IFERROR(INDEX(Settings!$C$12:$C$41,MATCH($B73,Settings!$A$12:$A$41,0)),""),"")</f>
        <v>% of Tips</v>
      </c>
      <c r="W73" s="17">
        <f>IF(S73=1,IFERROR(INDEX(Settings!$D$12:$D$41,MATCH($B73,Settings!$A$12:$A$41,0)),0),0)</f>
        <v>0</v>
      </c>
      <c r="X73" s="18">
        <f t="shared" si="10"/>
        <v>0</v>
      </c>
      <c r="Y73" s="18">
        <f t="shared" si="11"/>
        <v>4.2699999999999996</v>
      </c>
      <c r="Z73" s="15" t="str">
        <f>IF(S73=1,IFERROR(INDEX(Settings!$E$12:$E$41,MATCH($B73,Settings!$A$12:$A$41,0)),"N"),"")</f>
        <v>N</v>
      </c>
      <c r="AA73" s="17">
        <f>IF(S73=1,IFERROR(INDEX(Settings!$F$12:$F$41,MATCH($B73,Settings!$A$12:$A$41,0)),0),0)</f>
        <v>0</v>
      </c>
      <c r="AB73" s="15">
        <f>IF(S73=1,IFERROR(INDEX(Settings!$G$12:$G$41,MATCH($B73,Settings!$A$12:$A$41,0)),0),0)</f>
        <v>1</v>
      </c>
      <c r="AC73" s="18">
        <f t="shared" si="12"/>
        <v>146.5</v>
      </c>
      <c r="AD73" s="15">
        <f t="shared" si="13"/>
        <v>0.47</v>
      </c>
      <c r="AE73" s="15">
        <f t="shared" si="14"/>
        <v>22.34</v>
      </c>
      <c r="AF73" s="15">
        <f t="shared" si="15"/>
        <v>22.34</v>
      </c>
      <c r="AG73" s="18">
        <f>IF(AND(S73=1,Z73="Y"),IF(Settings!$B$6="Percentage",IF(AD73=0,0,AC73*AA73*(N73/AD73)),IF(Settings!$B$6="Points",IF(AF73=0,0,AC73*(N73*AB73)/AF73),IF(Settings!$B$6="Equally",IF(AE73=0,0,AC73*N73/AE73),0))),0)</f>
        <v>0</v>
      </c>
      <c r="AH73" s="18">
        <f t="shared" si="16"/>
        <v>4.2699999999999996</v>
      </c>
      <c r="AI73" s="15">
        <f>IF(S73=1,IF(COUNTIFS($R$2:R73,R73,$S$2:S73,1)=1,1,0),0)</f>
        <v>0</v>
      </c>
      <c r="AJ73" s="15">
        <f>SUM($AI$2:AI73)</f>
        <v>10</v>
      </c>
    </row>
    <row r="74" spans="1:36">
      <c r="A74" t="s">
        <v>80</v>
      </c>
      <c r="H74">
        <v>21.97</v>
      </c>
      <c r="I74">
        <v>0</v>
      </c>
      <c r="J74">
        <v>0</v>
      </c>
      <c r="K74">
        <v>0</v>
      </c>
      <c r="L74">
        <v>0.68</v>
      </c>
      <c r="M74">
        <v>0.54</v>
      </c>
      <c r="N74">
        <v>21.97</v>
      </c>
      <c r="O74">
        <v>1857.77</v>
      </c>
      <c r="P74">
        <v>152.69999999999999</v>
      </c>
      <c r="Q74">
        <v>0</v>
      </c>
      <c r="R74" s="15" t="str">
        <f t="shared" si="17"/>
        <v/>
      </c>
      <c r="S74" s="15">
        <f t="shared" si="9"/>
        <v>0</v>
      </c>
      <c r="T74" s="16" t="str">
        <f>IF(S74=1, DATE(YEAR(Settings!$B$3), MONTH(D74), DAY(D74)), "")</f>
        <v/>
      </c>
      <c r="U74" s="15" t="str">
        <f>IF(S74=1,IFERROR(INDEX(Settings!$B$12:$B$41,MATCH($B74,Settings!$A$12:$A$41,0)),"N"),"")</f>
        <v/>
      </c>
      <c r="V74" s="15" t="str">
        <f>IF(S74=1,IFERROR(INDEX(Settings!$C$12:$C$41,MATCH($B74,Settings!$A$12:$A$41,0)),""),"")</f>
        <v/>
      </c>
      <c r="W74" s="17">
        <f>IF(S74=1,IFERROR(INDEX(Settings!$D$12:$D$41,MATCH($B74,Settings!$A$12:$A$41,0)),0),0)</f>
        <v>0</v>
      </c>
      <c r="X74" s="18">
        <f t="shared" si="10"/>
        <v>0</v>
      </c>
      <c r="Y74" s="18" t="str">
        <f t="shared" si="11"/>
        <v/>
      </c>
      <c r="Z74" s="15" t="str">
        <f>IF(S74=1,IFERROR(INDEX(Settings!$E$12:$E$41,MATCH($B74,Settings!$A$12:$A$41,0)),"N"),"")</f>
        <v/>
      </c>
      <c r="AA74" s="17">
        <f>IF(S74=1,IFERROR(INDEX(Settings!$F$12:$F$41,MATCH($B74,Settings!$A$12:$A$41,0)),0),0)</f>
        <v>0</v>
      </c>
      <c r="AB74" s="15">
        <f>IF(S74=1,IFERROR(INDEX(Settings!$G$12:$G$41,MATCH($B74,Settings!$A$12:$A$41,0)),0),0)</f>
        <v>0</v>
      </c>
      <c r="AC74" s="18" t="str">
        <f t="shared" si="12"/>
        <v/>
      </c>
      <c r="AD74" s="15" t="str">
        <f t="shared" si="13"/>
        <v/>
      </c>
      <c r="AE74" s="15" t="str">
        <f t="shared" si="14"/>
        <v/>
      </c>
      <c r="AF74" s="15" t="str">
        <f t="shared" si="15"/>
        <v/>
      </c>
      <c r="AG74" s="18">
        <f>IF(AND(S74=1,Z74="Y"),IF(Settings!$B$6="Percentage",IF(AD74=0,0,AC74*AA74*(N74/AD74)),IF(Settings!$B$6="Points",IF(AF74=0,0,AC74*(N74*AB74)/AF74),IF(Settings!$B$6="Equally",IF(AE74=0,0,AC74*N74/AE74),0))),0)</f>
        <v>0</v>
      </c>
      <c r="AH74" s="18" t="str">
        <f t="shared" si="16"/>
        <v/>
      </c>
      <c r="AI74" s="15">
        <f>IF(S74=1,IF(COUNTIFS($R$2:R74,R74,$S$2:S74,1)=1,1,0),0)</f>
        <v>0</v>
      </c>
      <c r="AJ74" s="15">
        <f>SUM($AI$2:AI74)</f>
        <v>10</v>
      </c>
    </row>
    <row r="75" spans="1:36">
      <c r="B75" s="14"/>
      <c r="C75" s="14"/>
      <c r="D75" s="14"/>
      <c r="E75" s="14"/>
      <c r="F75" s="14"/>
      <c r="G75" s="14"/>
      <c r="H75" s="14"/>
      <c r="I75" s="14"/>
      <c r="J75" s="14"/>
      <c r="L75" s="14"/>
      <c r="M75" s="14"/>
      <c r="N75" s="14"/>
      <c r="O75" s="14"/>
      <c r="P75" s="14"/>
      <c r="Q75" s="14"/>
      <c r="R75" s="15" t="str">
        <f t="shared" si="17"/>
        <v/>
      </c>
      <c r="S75" s="15">
        <f t="shared" si="9"/>
        <v>0</v>
      </c>
      <c r="T75" s="16" t="str">
        <f>IF(S75=1, DATE(YEAR(Settings!$B$3), MONTH(D75), DAY(D75)), "")</f>
        <v/>
      </c>
      <c r="U75" s="15" t="str">
        <f>IF(S75=1,IFERROR(INDEX(Settings!$B$12:$B$41,MATCH($B75,Settings!$A$12:$A$41,0)),"N"),"")</f>
        <v/>
      </c>
      <c r="V75" s="15" t="str">
        <f>IF(S75=1,IFERROR(INDEX(Settings!$C$12:$C$41,MATCH($B75,Settings!$A$12:$A$41,0)),""),"")</f>
        <v/>
      </c>
      <c r="W75" s="17">
        <f>IF(S75=1,IFERROR(INDEX(Settings!$D$12:$D$41,MATCH($B75,Settings!$A$12:$A$41,0)),0),0)</f>
        <v>0</v>
      </c>
      <c r="X75" s="18">
        <f t="shared" si="10"/>
        <v>0</v>
      </c>
      <c r="Y75" s="18" t="str">
        <f t="shared" si="11"/>
        <v/>
      </c>
      <c r="Z75" s="15" t="str">
        <f>IF(S75=1,IFERROR(INDEX(Settings!$E$12:$E$41,MATCH($B75,Settings!$A$12:$A$41,0)),"N"),"")</f>
        <v/>
      </c>
      <c r="AA75" s="17">
        <f>IF(S75=1,IFERROR(INDEX(Settings!$F$12:$F$41,MATCH($B75,Settings!$A$12:$A$41,0)),0),0)</f>
        <v>0</v>
      </c>
      <c r="AB75" s="15">
        <f>IF(S75=1,IFERROR(INDEX(Settings!$G$12:$G$41,MATCH($B75,Settings!$A$12:$A$41,0)),0),0)</f>
        <v>0</v>
      </c>
      <c r="AC75" s="18" t="str">
        <f t="shared" si="12"/>
        <v/>
      </c>
      <c r="AD75" s="15" t="str">
        <f t="shared" si="13"/>
        <v/>
      </c>
      <c r="AE75" s="15" t="str">
        <f t="shared" si="14"/>
        <v/>
      </c>
      <c r="AF75" s="15" t="str">
        <f t="shared" si="15"/>
        <v/>
      </c>
      <c r="AG75" s="18">
        <f>IF(AND(S75=1,Z75="Y"),IF(Settings!$B$6="Percentage",IF(AD75=0,0,AC75*AA75*(N75/AD75)),IF(Settings!$B$6="Points",IF(AF75=0,0,AC75*(N75*AB75)/AF75),IF(Settings!$B$6="Equally",IF(AE75=0,0,AC75*N75/AE75),0))),0)</f>
        <v>0</v>
      </c>
      <c r="AH75" s="18" t="str">
        <f t="shared" si="16"/>
        <v/>
      </c>
      <c r="AI75" s="15">
        <f>IF(S75=1,IF(COUNTIFS($R$2:R75,R75,$S$2:S75,1)=1,1,0),0)</f>
        <v>0</v>
      </c>
      <c r="AJ75" s="15">
        <f>SUM($AI$2:AI75)</f>
        <v>10</v>
      </c>
    </row>
    <row r="76" spans="1:36">
      <c r="A76" t="s">
        <v>90</v>
      </c>
      <c r="B76" s="30" t="s">
        <v>43</v>
      </c>
      <c r="C76" s="14"/>
      <c r="D76" s="31">
        <v>46272</v>
      </c>
      <c r="E76" s="14"/>
      <c r="F76" s="14"/>
      <c r="G76" s="14"/>
      <c r="H76" s="14"/>
      <c r="I76" s="14"/>
      <c r="J76" s="14"/>
      <c r="L76" s="14"/>
      <c r="M76" s="14"/>
      <c r="N76" s="14">
        <v>1</v>
      </c>
      <c r="O76" s="14"/>
      <c r="P76" s="14">
        <v>214.15</v>
      </c>
      <c r="Q76" s="14"/>
      <c r="R76" s="15" t="str">
        <f t="shared" si="17"/>
        <v>Restaurant</v>
      </c>
      <c r="S76" s="15">
        <f t="shared" si="9"/>
        <v>1</v>
      </c>
      <c r="T76" s="16">
        <f>IF(S76=1, DATE(YEAR(Settings!$B$3), MONTH(D76), DAY(D76)), "")</f>
        <v>46272</v>
      </c>
      <c r="U76" s="15" t="str">
        <f>IF(S76=1,IFERROR(INDEX(Settings!$B$12:$B$41,MATCH($B76,Settings!$A$12:$A$41,0)),"N"),"")</f>
        <v>Y</v>
      </c>
      <c r="V76" s="15" t="str">
        <f>IF(S76=1,IFERROR(INDEX(Settings!$C$12:$C$41,MATCH($B76,Settings!$A$12:$A$41,0)),""),"")</f>
        <v>% of Tips</v>
      </c>
      <c r="W76" s="17">
        <f>IF(S76=1,IFERROR(INDEX(Settings!$D$12:$D$41,MATCH($B76,Settings!$A$12:$A$41,0)),0),0)</f>
        <v>1</v>
      </c>
      <c r="X76" s="18">
        <f t="shared" si="10"/>
        <v>214.15</v>
      </c>
      <c r="Y76" s="18">
        <f t="shared" si="11"/>
        <v>0</v>
      </c>
      <c r="Z76" s="15" t="str">
        <f>IF(S76=1,IFERROR(INDEX(Settings!$E$12:$E$41,MATCH($B76,Settings!$A$12:$A$41,0)),"N"),"")</f>
        <v>N</v>
      </c>
      <c r="AA76" s="17">
        <f>IF(S76=1,IFERROR(INDEX(Settings!$F$12:$F$41,MATCH($B76,Settings!$A$12:$A$41,0)),0),0)</f>
        <v>0</v>
      </c>
      <c r="AB76" s="15">
        <f>IF(S76=1,IFERROR(INDEX(Settings!$G$12:$G$41,MATCH($B76,Settings!$A$12:$A$41,0)),0),0)</f>
        <v>1</v>
      </c>
      <c r="AC76" s="18">
        <f t="shared" si="12"/>
        <v>303.99</v>
      </c>
      <c r="AD76" s="15">
        <f t="shared" si="13"/>
        <v>1</v>
      </c>
      <c r="AE76" s="15">
        <f t="shared" si="14"/>
        <v>25.299999999999997</v>
      </c>
      <c r="AF76" s="15">
        <f t="shared" si="15"/>
        <v>25.299999999999997</v>
      </c>
      <c r="AG76" s="18">
        <f>IF(AND(S76=1,Z76="Y"),IF(Settings!$B$6="Percentage",IF(AD76=0,0,AC76*AA76*(N76/AD76)),IF(Settings!$B$6="Points",IF(AF76=0,0,AC76*(N76*AB76)/AF76),IF(Settings!$B$6="Equally",IF(AE76=0,0,AC76*N76/AE76),0))),0)</f>
        <v>0</v>
      </c>
      <c r="AH76" s="18">
        <f t="shared" si="16"/>
        <v>0</v>
      </c>
      <c r="AI76" s="15">
        <f>IF(S76=1,IF(COUNTIFS($R$2:R76,R76,$S$2:S76,1)=1,1,0),0)</f>
        <v>1</v>
      </c>
      <c r="AJ76" s="15">
        <f>SUM($AI$2:AI76)</f>
        <v>11</v>
      </c>
    </row>
    <row r="77" spans="1:36">
      <c r="B77" s="30" t="s">
        <v>43</v>
      </c>
      <c r="C77" s="14"/>
      <c r="D77" s="31">
        <v>46273</v>
      </c>
      <c r="E77" s="14"/>
      <c r="F77" s="14"/>
      <c r="G77" s="14"/>
      <c r="H77" s="14"/>
      <c r="I77" s="14"/>
      <c r="J77" s="14"/>
      <c r="L77" s="14"/>
      <c r="M77" s="14"/>
      <c r="N77" s="14">
        <v>1</v>
      </c>
      <c r="O77" s="14"/>
      <c r="P77" s="14"/>
      <c r="Q77" s="14"/>
      <c r="R77" s="15" t="str">
        <f t="shared" si="17"/>
        <v>Restaurant</v>
      </c>
      <c r="S77" s="15">
        <f t="shared" si="9"/>
        <v>1</v>
      </c>
      <c r="T77" s="16">
        <f>IF(S77=1, DATE(YEAR(Settings!$B$3), MONTH(D77), DAY(D77)), "")</f>
        <v>46273</v>
      </c>
      <c r="U77" s="15" t="str">
        <f>IF(S77=1,IFERROR(INDEX(Settings!$B$12:$B$41,MATCH($B77,Settings!$A$12:$A$41,0)),"N"),"")</f>
        <v>Y</v>
      </c>
      <c r="V77" s="15" t="str">
        <f>IF(S77=1,IFERROR(INDEX(Settings!$C$12:$C$41,MATCH($B77,Settings!$A$12:$A$41,0)),""),"")</f>
        <v>% of Tips</v>
      </c>
      <c r="W77" s="17">
        <f>IF(S77=1,IFERROR(INDEX(Settings!$D$12:$D$41,MATCH($B77,Settings!$A$12:$A$41,0)),0),0)</f>
        <v>1</v>
      </c>
      <c r="X77" s="18">
        <f t="shared" si="10"/>
        <v>0</v>
      </c>
      <c r="Y77" s="18">
        <f t="shared" si="11"/>
        <v>0</v>
      </c>
      <c r="Z77" s="15" t="str">
        <f>IF(S77=1,IFERROR(INDEX(Settings!$E$12:$E$41,MATCH($B77,Settings!$A$12:$A$41,0)),"N"),"")</f>
        <v>N</v>
      </c>
      <c r="AA77" s="17">
        <f>IF(S77=1,IFERROR(INDEX(Settings!$F$12:$F$41,MATCH($B77,Settings!$A$12:$A$41,0)),0),0)</f>
        <v>0</v>
      </c>
      <c r="AB77" s="15">
        <f>IF(S77=1,IFERROR(INDEX(Settings!$G$12:$G$41,MATCH($B77,Settings!$A$12:$A$41,0)),0),0)</f>
        <v>1</v>
      </c>
      <c r="AC77" s="18">
        <f t="shared" si="12"/>
        <v>0</v>
      </c>
      <c r="AD77" s="15">
        <f t="shared" si="13"/>
        <v>1</v>
      </c>
      <c r="AE77" s="15">
        <f t="shared" si="14"/>
        <v>0</v>
      </c>
      <c r="AF77" s="15">
        <f t="shared" si="15"/>
        <v>0</v>
      </c>
      <c r="AG77" s="18">
        <f>IF(AND(S77=1,Z77="Y"),IF(Settings!$B$6="Percentage",IF(AD77=0,0,AC77*AA77*(N77/AD77)),IF(Settings!$B$6="Points",IF(AF77=0,0,AC77*(N77*AB77)/AF77),IF(Settings!$B$6="Equally",IF(AE77=0,0,AC77*N77/AE77),0))),0)</f>
        <v>0</v>
      </c>
      <c r="AH77" s="18">
        <f t="shared" si="16"/>
        <v>0</v>
      </c>
      <c r="AI77" s="15">
        <f>IF(S77=1,IF(COUNTIFS($R$2:R77,R77,$S$2:S77,1)=1,1,0),0)</f>
        <v>0</v>
      </c>
      <c r="AJ77" s="15">
        <f>SUM($AI$2:AI77)</f>
        <v>11</v>
      </c>
    </row>
    <row r="78" spans="1:36">
      <c r="B78" s="30" t="s">
        <v>43</v>
      </c>
      <c r="C78" s="14"/>
      <c r="D78" s="31">
        <v>46274</v>
      </c>
      <c r="E78" s="14"/>
      <c r="F78" s="14"/>
      <c r="G78" s="14"/>
      <c r="H78" s="14"/>
      <c r="I78" s="14"/>
      <c r="J78" s="14"/>
      <c r="L78" s="14"/>
      <c r="M78" s="14"/>
      <c r="N78" s="14">
        <v>1</v>
      </c>
      <c r="O78" s="14"/>
      <c r="P78" s="14">
        <v>73.05</v>
      </c>
      <c r="Q78" s="14"/>
      <c r="R78" s="15" t="str">
        <f t="shared" si="17"/>
        <v>Restaurant</v>
      </c>
      <c r="S78" s="15">
        <f t="shared" si="9"/>
        <v>1</v>
      </c>
      <c r="T78" s="16">
        <f>IF(S78=1, DATE(YEAR(Settings!$B$3), MONTH(D78), DAY(D78)), "")</f>
        <v>46274</v>
      </c>
      <c r="U78" s="15" t="str">
        <f>IF(S78=1,IFERROR(INDEX(Settings!$B$12:$B$41,MATCH($B78,Settings!$A$12:$A$41,0)),"N"),"")</f>
        <v>Y</v>
      </c>
      <c r="V78" s="15" t="str">
        <f>IF(S78=1,IFERROR(INDEX(Settings!$C$12:$C$41,MATCH($B78,Settings!$A$12:$A$41,0)),""),"")</f>
        <v>% of Tips</v>
      </c>
      <c r="W78" s="17">
        <f>IF(S78=1,IFERROR(INDEX(Settings!$D$12:$D$41,MATCH($B78,Settings!$A$12:$A$41,0)),0),0)</f>
        <v>1</v>
      </c>
      <c r="X78" s="18">
        <f t="shared" si="10"/>
        <v>73.05</v>
      </c>
      <c r="Y78" s="18">
        <f t="shared" si="11"/>
        <v>0</v>
      </c>
      <c r="Z78" s="15" t="str">
        <f>IF(S78=1,IFERROR(INDEX(Settings!$E$12:$E$41,MATCH($B78,Settings!$A$12:$A$41,0)),"N"),"")</f>
        <v>N</v>
      </c>
      <c r="AA78" s="17">
        <f>IF(S78=1,IFERROR(INDEX(Settings!$F$12:$F$41,MATCH($B78,Settings!$A$12:$A$41,0)),0),0)</f>
        <v>0</v>
      </c>
      <c r="AB78" s="15">
        <f>IF(S78=1,IFERROR(INDEX(Settings!$G$12:$G$41,MATCH($B78,Settings!$A$12:$A$41,0)),0),0)</f>
        <v>1</v>
      </c>
      <c r="AC78" s="18">
        <f t="shared" si="12"/>
        <v>104.42</v>
      </c>
      <c r="AD78" s="15">
        <f t="shared" si="13"/>
        <v>1</v>
      </c>
      <c r="AE78" s="15">
        <f t="shared" si="14"/>
        <v>10.98</v>
      </c>
      <c r="AF78" s="15">
        <f t="shared" si="15"/>
        <v>10.98</v>
      </c>
      <c r="AG78" s="18">
        <f>IF(AND(S78=1,Z78="Y"),IF(Settings!$B$6="Percentage",IF(AD78=0,0,AC78*AA78*(N78/AD78)),IF(Settings!$B$6="Points",IF(AF78=0,0,AC78*(N78*AB78)/AF78),IF(Settings!$B$6="Equally",IF(AE78=0,0,AC78*N78/AE78),0))),0)</f>
        <v>0</v>
      </c>
      <c r="AH78" s="18">
        <f t="shared" si="16"/>
        <v>0</v>
      </c>
      <c r="AI78" s="15">
        <f>IF(S78=1,IF(COUNTIFS($R$2:R78,R78,$S$2:S78,1)=1,1,0),0)</f>
        <v>0</v>
      </c>
      <c r="AJ78" s="15">
        <f>SUM($AI$2:AI78)</f>
        <v>11</v>
      </c>
    </row>
    <row r="79" spans="1:36">
      <c r="B79" s="30" t="s">
        <v>43</v>
      </c>
      <c r="C79" s="14"/>
      <c r="D79" s="31">
        <v>46275</v>
      </c>
      <c r="E79" s="14"/>
      <c r="F79" s="14"/>
      <c r="G79" s="14"/>
      <c r="H79" s="14"/>
      <c r="I79" s="14"/>
      <c r="J79" s="14"/>
      <c r="L79" s="14"/>
      <c r="M79" s="14"/>
      <c r="N79" s="14">
        <v>1</v>
      </c>
      <c r="O79" s="14"/>
      <c r="P79" s="14">
        <v>51.78</v>
      </c>
      <c r="Q79" s="14"/>
      <c r="R79" s="15" t="str">
        <f t="shared" si="17"/>
        <v>Restaurant</v>
      </c>
      <c r="S79" s="15">
        <f t="shared" si="9"/>
        <v>1</v>
      </c>
      <c r="T79" s="16">
        <f>IF(S79=1, DATE(YEAR(Settings!$B$3), MONTH(D79), DAY(D79)), "")</f>
        <v>46275</v>
      </c>
      <c r="U79" s="15" t="str">
        <f>IF(S79=1,IFERROR(INDEX(Settings!$B$12:$B$41,MATCH($B79,Settings!$A$12:$A$41,0)),"N"),"")</f>
        <v>Y</v>
      </c>
      <c r="V79" s="15" t="str">
        <f>IF(S79=1,IFERROR(INDEX(Settings!$C$12:$C$41,MATCH($B79,Settings!$A$12:$A$41,0)),""),"")</f>
        <v>% of Tips</v>
      </c>
      <c r="W79" s="17">
        <f>IF(S79=1,IFERROR(INDEX(Settings!$D$12:$D$41,MATCH($B79,Settings!$A$12:$A$41,0)),0),0)</f>
        <v>1</v>
      </c>
      <c r="X79" s="18">
        <f t="shared" si="10"/>
        <v>51.78</v>
      </c>
      <c r="Y79" s="18">
        <f t="shared" si="11"/>
        <v>0</v>
      </c>
      <c r="Z79" s="15" t="str">
        <f>IF(S79=1,IFERROR(INDEX(Settings!$E$12:$E$41,MATCH($B79,Settings!$A$12:$A$41,0)),"N"),"")</f>
        <v>N</v>
      </c>
      <c r="AA79" s="17">
        <f>IF(S79=1,IFERROR(INDEX(Settings!$F$12:$F$41,MATCH($B79,Settings!$A$12:$A$41,0)),0),0)</f>
        <v>0</v>
      </c>
      <c r="AB79" s="15">
        <f>IF(S79=1,IFERROR(INDEX(Settings!$G$12:$G$41,MATCH($B79,Settings!$A$12:$A$41,0)),0),0)</f>
        <v>1</v>
      </c>
      <c r="AC79" s="18">
        <f t="shared" si="12"/>
        <v>54.83</v>
      </c>
      <c r="AD79" s="15">
        <f t="shared" si="13"/>
        <v>1</v>
      </c>
      <c r="AE79" s="15">
        <f t="shared" si="14"/>
        <v>6.79</v>
      </c>
      <c r="AF79" s="15">
        <f t="shared" si="15"/>
        <v>6.79</v>
      </c>
      <c r="AG79" s="18">
        <f>IF(AND(S79=1,Z79="Y"),IF(Settings!$B$6="Percentage",IF(AD79=0,0,AC79*AA79*(N79/AD79)),IF(Settings!$B$6="Points",IF(AF79=0,0,AC79*(N79*AB79)/AF79),IF(Settings!$B$6="Equally",IF(AE79=0,0,AC79*N79/AE79),0))),0)</f>
        <v>0</v>
      </c>
      <c r="AH79" s="18">
        <f t="shared" si="16"/>
        <v>0</v>
      </c>
      <c r="AI79" s="15">
        <f>IF(S79=1,IF(COUNTIFS($R$2:R79,R79,$S$2:S79,1)=1,1,0),0)</f>
        <v>0</v>
      </c>
      <c r="AJ79" s="15">
        <f>SUM($AI$2:AI79)</f>
        <v>11</v>
      </c>
    </row>
    <row r="80" spans="1:36">
      <c r="B80" s="30" t="s">
        <v>43</v>
      </c>
      <c r="C80" s="14"/>
      <c r="D80" s="31">
        <v>46276</v>
      </c>
      <c r="E80" s="14"/>
      <c r="F80" s="14"/>
      <c r="G80" s="14"/>
      <c r="H80" s="14"/>
      <c r="I80" s="14"/>
      <c r="J80" s="14"/>
      <c r="L80" s="14"/>
      <c r="M80" s="14"/>
      <c r="N80" s="14">
        <v>1</v>
      </c>
      <c r="O80" s="14"/>
      <c r="P80" s="14">
        <v>86.01</v>
      </c>
      <c r="Q80" s="14"/>
      <c r="R80" s="15" t="str">
        <f t="shared" si="17"/>
        <v>Restaurant</v>
      </c>
      <c r="S80" s="15">
        <f t="shared" si="9"/>
        <v>1</v>
      </c>
      <c r="T80" s="16">
        <f>IF(S80=1, DATE(YEAR(Settings!$B$3), MONTH(D80), DAY(D80)), "")</f>
        <v>46276</v>
      </c>
      <c r="U80" s="15" t="str">
        <f>IF(S80=1,IFERROR(INDEX(Settings!$B$12:$B$41,MATCH($B80,Settings!$A$12:$A$41,0)),"N"),"")</f>
        <v>Y</v>
      </c>
      <c r="V80" s="15" t="str">
        <f>IF(S80=1,IFERROR(INDEX(Settings!$C$12:$C$41,MATCH($B80,Settings!$A$12:$A$41,0)),""),"")</f>
        <v>% of Tips</v>
      </c>
      <c r="W80" s="17">
        <f>IF(S80=1,IFERROR(INDEX(Settings!$D$12:$D$41,MATCH($B80,Settings!$A$12:$A$41,0)),0),0)</f>
        <v>1</v>
      </c>
      <c r="X80" s="18">
        <f t="shared" si="10"/>
        <v>86.01</v>
      </c>
      <c r="Y80" s="18">
        <f t="shared" si="11"/>
        <v>0</v>
      </c>
      <c r="Z80" s="15" t="str">
        <f>IF(S80=1,IFERROR(INDEX(Settings!$E$12:$E$41,MATCH($B80,Settings!$A$12:$A$41,0)),"N"),"")</f>
        <v>N</v>
      </c>
      <c r="AA80" s="17">
        <f>IF(S80=1,IFERROR(INDEX(Settings!$F$12:$F$41,MATCH($B80,Settings!$A$12:$A$41,0)),0),0)</f>
        <v>0</v>
      </c>
      <c r="AB80" s="15">
        <f>IF(S80=1,IFERROR(INDEX(Settings!$G$12:$G$41,MATCH($B80,Settings!$A$12:$A$41,0)),0),0)</f>
        <v>1</v>
      </c>
      <c r="AC80" s="18">
        <f t="shared" si="12"/>
        <v>87.710000000000008</v>
      </c>
      <c r="AD80" s="15">
        <f t="shared" si="13"/>
        <v>1</v>
      </c>
      <c r="AE80" s="15">
        <f t="shared" si="14"/>
        <v>15.739999999999998</v>
      </c>
      <c r="AF80" s="15">
        <f t="shared" si="15"/>
        <v>15.739999999999998</v>
      </c>
      <c r="AG80" s="18">
        <f>IF(AND(S80=1,Z80="Y"),IF(Settings!$B$6="Percentage",IF(AD80=0,0,AC80*AA80*(N80/AD80)),IF(Settings!$B$6="Points",IF(AF80=0,0,AC80*(N80*AB80)/AF80),IF(Settings!$B$6="Equally",IF(AE80=0,0,AC80*N80/AE80),0))),0)</f>
        <v>0</v>
      </c>
      <c r="AH80" s="18">
        <f t="shared" si="16"/>
        <v>0</v>
      </c>
      <c r="AI80" s="15">
        <f>IF(S80=1,IF(COUNTIFS($R$2:R80,R80,$S$2:S80,1)=1,1,0),0)</f>
        <v>0</v>
      </c>
      <c r="AJ80" s="15">
        <f>SUM($AI$2:AI80)</f>
        <v>11</v>
      </c>
    </row>
    <row r="81" spans="1:36">
      <c r="B81" s="30" t="s">
        <v>43</v>
      </c>
      <c r="C81" s="14"/>
      <c r="D81" s="31">
        <v>46277</v>
      </c>
      <c r="E81" s="14"/>
      <c r="F81" s="14"/>
      <c r="G81" s="14"/>
      <c r="H81" s="14"/>
      <c r="I81" s="14"/>
      <c r="J81" s="14"/>
      <c r="L81" s="14"/>
      <c r="M81" s="14"/>
      <c r="N81" s="14">
        <v>1</v>
      </c>
      <c r="O81" s="14"/>
      <c r="P81" s="14">
        <v>201.42</v>
      </c>
      <c r="Q81" s="14"/>
      <c r="R81" s="15" t="str">
        <f t="shared" si="17"/>
        <v>Restaurant</v>
      </c>
      <c r="S81" s="15">
        <f t="shared" si="9"/>
        <v>1</v>
      </c>
      <c r="T81" s="16">
        <f>IF(S81=1, DATE(YEAR(Settings!$B$3), MONTH(D81), DAY(D81)), "")</f>
        <v>46277</v>
      </c>
      <c r="U81" s="15" t="str">
        <f>IF(S81=1,IFERROR(INDEX(Settings!$B$12:$B$41,MATCH($B81,Settings!$A$12:$A$41,0)),"N"),"")</f>
        <v>Y</v>
      </c>
      <c r="V81" s="15" t="str">
        <f>IF(S81=1,IFERROR(INDEX(Settings!$C$12:$C$41,MATCH($B81,Settings!$A$12:$A$41,0)),""),"")</f>
        <v>% of Tips</v>
      </c>
      <c r="W81" s="17">
        <f>IF(S81=1,IFERROR(INDEX(Settings!$D$12:$D$41,MATCH($B81,Settings!$A$12:$A$41,0)),0),0)</f>
        <v>1</v>
      </c>
      <c r="X81" s="18">
        <f t="shared" si="10"/>
        <v>201.42</v>
      </c>
      <c r="Y81" s="18">
        <f t="shared" si="11"/>
        <v>0</v>
      </c>
      <c r="Z81" s="15" t="str">
        <f>IF(S81=1,IFERROR(INDEX(Settings!$E$12:$E$41,MATCH($B81,Settings!$A$12:$A$41,0)),"N"),"")</f>
        <v>N</v>
      </c>
      <c r="AA81" s="17">
        <f>IF(S81=1,IFERROR(INDEX(Settings!$F$12:$F$41,MATCH($B81,Settings!$A$12:$A$41,0)),0),0)</f>
        <v>0</v>
      </c>
      <c r="AB81" s="15">
        <f>IF(S81=1,IFERROR(INDEX(Settings!$G$12:$G$41,MATCH($B81,Settings!$A$12:$A$41,0)),0),0)</f>
        <v>1</v>
      </c>
      <c r="AC81" s="18">
        <f t="shared" si="12"/>
        <v>220.79</v>
      </c>
      <c r="AD81" s="15">
        <f t="shared" si="13"/>
        <v>1</v>
      </c>
      <c r="AE81" s="15">
        <f t="shared" si="14"/>
        <v>24.11</v>
      </c>
      <c r="AF81" s="15">
        <f t="shared" si="15"/>
        <v>24.11</v>
      </c>
      <c r="AG81" s="18">
        <f>IF(AND(S81=1,Z81="Y"),IF(Settings!$B$6="Percentage",IF(AD81=0,0,AC81*AA81*(N81/AD81)),IF(Settings!$B$6="Points",IF(AF81=0,0,AC81*(N81*AB81)/AF81),IF(Settings!$B$6="Equally",IF(AE81=0,0,AC81*N81/AE81),0))),0)</f>
        <v>0</v>
      </c>
      <c r="AH81" s="18">
        <f t="shared" si="16"/>
        <v>0</v>
      </c>
      <c r="AI81" s="15">
        <f>IF(S81=1,IF(COUNTIFS($R$2:R81,R81,$S$2:S81,1)=1,1,0),0)</f>
        <v>0</v>
      </c>
      <c r="AJ81" s="15">
        <f>SUM($AI$2:AI81)</f>
        <v>11</v>
      </c>
    </row>
    <row r="82" spans="1:36">
      <c r="B82" s="30" t="s">
        <v>43</v>
      </c>
      <c r="C82" s="14"/>
      <c r="D82" s="31">
        <v>46278</v>
      </c>
      <c r="E82" s="14"/>
      <c r="F82" s="14"/>
      <c r="G82" s="14"/>
      <c r="H82" s="14"/>
      <c r="I82" s="14"/>
      <c r="J82" s="14"/>
      <c r="L82" s="14"/>
      <c r="M82" s="14"/>
      <c r="N82" s="14">
        <v>1</v>
      </c>
      <c r="O82" s="14"/>
      <c r="P82" s="14">
        <v>211.38</v>
      </c>
      <c r="Q82" s="14"/>
      <c r="R82" s="15" t="str">
        <f t="shared" si="17"/>
        <v>Restaurant</v>
      </c>
      <c r="S82" s="15">
        <f t="shared" si="9"/>
        <v>1</v>
      </c>
      <c r="T82" s="16">
        <f>IF(S82=1, DATE(YEAR(Settings!$B$3), MONTH(D82), DAY(D82)), "")</f>
        <v>46278</v>
      </c>
      <c r="U82" s="15" t="str">
        <f>IF(S82=1,IFERROR(INDEX(Settings!$B$12:$B$41,MATCH($B82,Settings!$A$12:$A$41,0)),"N"),"")</f>
        <v>Y</v>
      </c>
      <c r="V82" s="15" t="str">
        <f>IF(S82=1,IFERROR(INDEX(Settings!$C$12:$C$41,MATCH($B82,Settings!$A$12:$A$41,0)),""),"")</f>
        <v>% of Tips</v>
      </c>
      <c r="W82" s="17">
        <f>IF(S82=1,IFERROR(INDEX(Settings!$D$12:$D$41,MATCH($B82,Settings!$A$12:$A$41,0)),0),0)</f>
        <v>1</v>
      </c>
      <c r="X82" s="18">
        <f t="shared" si="10"/>
        <v>211.38</v>
      </c>
      <c r="Y82" s="18">
        <f t="shared" si="11"/>
        <v>0</v>
      </c>
      <c r="Z82" s="15" t="str">
        <f>IF(S82=1,IFERROR(INDEX(Settings!$E$12:$E$41,MATCH($B82,Settings!$A$12:$A$41,0)),"N"),"")</f>
        <v>N</v>
      </c>
      <c r="AA82" s="17">
        <f>IF(S82=1,IFERROR(INDEX(Settings!$F$12:$F$41,MATCH($B82,Settings!$A$12:$A$41,0)),0),0)</f>
        <v>0</v>
      </c>
      <c r="AB82" s="15">
        <f>IF(S82=1,IFERROR(INDEX(Settings!$G$12:$G$41,MATCH($B82,Settings!$A$12:$A$41,0)),0),0)</f>
        <v>1</v>
      </c>
      <c r="AC82" s="18">
        <f t="shared" si="12"/>
        <v>242.76</v>
      </c>
      <c r="AD82" s="15">
        <f t="shared" si="13"/>
        <v>1</v>
      </c>
      <c r="AE82" s="15">
        <f t="shared" si="14"/>
        <v>20.37</v>
      </c>
      <c r="AF82" s="15">
        <f t="shared" si="15"/>
        <v>20.37</v>
      </c>
      <c r="AG82" s="18">
        <f>IF(AND(S82=1,Z82="Y"),IF(Settings!$B$6="Percentage",IF(AD82=0,0,AC82*AA82*(N82/AD82)),IF(Settings!$B$6="Points",IF(AF82=0,0,AC82*(N82*AB82)/AF82),IF(Settings!$B$6="Equally",IF(AE82=0,0,AC82*N82/AE82),0))),0)</f>
        <v>0</v>
      </c>
      <c r="AH82" s="18">
        <f t="shared" si="16"/>
        <v>0</v>
      </c>
      <c r="AI82" s="15">
        <f>IF(S82=1,IF(COUNTIFS($R$2:R82,R82,$S$2:S82,1)=1,1,0),0)</f>
        <v>0</v>
      </c>
      <c r="AJ82" s="15">
        <f>SUM($AI$2:AI82)</f>
        <v>11</v>
      </c>
    </row>
    <row r="83" spans="1:36">
      <c r="B83" s="30" t="s">
        <v>43</v>
      </c>
      <c r="C83" s="14"/>
      <c r="D83" s="31">
        <v>46279</v>
      </c>
      <c r="E83" s="14"/>
      <c r="F83" s="14"/>
      <c r="G83" s="14"/>
      <c r="H83" s="14"/>
      <c r="I83" s="14"/>
      <c r="J83" s="14"/>
      <c r="L83" s="14"/>
      <c r="M83" s="14"/>
      <c r="N83" s="14">
        <v>1</v>
      </c>
      <c r="O83" s="14"/>
      <c r="P83" s="14">
        <v>72.55</v>
      </c>
      <c r="Q83" s="14"/>
      <c r="R83" s="15" t="str">
        <f t="shared" si="17"/>
        <v>Restaurant</v>
      </c>
      <c r="S83" s="15">
        <f t="shared" si="9"/>
        <v>1</v>
      </c>
      <c r="T83" s="16">
        <f>IF(S83=1, DATE(YEAR(Settings!$B$3), MONTH(D83), DAY(D83)), "")</f>
        <v>46279</v>
      </c>
      <c r="U83" s="15" t="str">
        <f>IF(S83=1,IFERROR(INDEX(Settings!$B$12:$B$41,MATCH($B83,Settings!$A$12:$A$41,0)),"N"),"")</f>
        <v>Y</v>
      </c>
      <c r="V83" s="15" t="str">
        <f>IF(S83=1,IFERROR(INDEX(Settings!$C$12:$C$41,MATCH($B83,Settings!$A$12:$A$41,0)),""),"")</f>
        <v>% of Tips</v>
      </c>
      <c r="W83" s="17">
        <f>IF(S83=1,IFERROR(INDEX(Settings!$D$12:$D$41,MATCH($B83,Settings!$A$12:$A$41,0)),0),0)</f>
        <v>1</v>
      </c>
      <c r="X83" s="18">
        <f t="shared" si="10"/>
        <v>72.55</v>
      </c>
      <c r="Y83" s="18">
        <f t="shared" si="11"/>
        <v>0</v>
      </c>
      <c r="Z83" s="15" t="str">
        <f>IF(S83=1,IFERROR(INDEX(Settings!$E$12:$E$41,MATCH($B83,Settings!$A$12:$A$41,0)),"N"),"")</f>
        <v>N</v>
      </c>
      <c r="AA83" s="17">
        <f>IF(S83=1,IFERROR(INDEX(Settings!$F$12:$F$41,MATCH($B83,Settings!$A$12:$A$41,0)),0),0)</f>
        <v>0</v>
      </c>
      <c r="AB83" s="15">
        <f>IF(S83=1,IFERROR(INDEX(Settings!$G$12:$G$41,MATCH($B83,Settings!$A$12:$A$41,0)),0),0)</f>
        <v>1</v>
      </c>
      <c r="AC83" s="18">
        <f t="shared" si="12"/>
        <v>80.03</v>
      </c>
      <c r="AD83" s="15">
        <f t="shared" si="13"/>
        <v>1</v>
      </c>
      <c r="AE83" s="15">
        <f t="shared" si="14"/>
        <v>7.23</v>
      </c>
      <c r="AF83" s="15">
        <f t="shared" si="15"/>
        <v>7.23</v>
      </c>
      <c r="AG83" s="18">
        <f>IF(AND(S83=1,Z83="Y"),IF(Settings!$B$6="Percentage",IF(AD83=0,0,AC83*AA83*(N83/AD83)),IF(Settings!$B$6="Points",IF(AF83=0,0,AC83*(N83*AB83)/AF83),IF(Settings!$B$6="Equally",IF(AE83=0,0,AC83*N83/AE83),0))),0)</f>
        <v>0</v>
      </c>
      <c r="AH83" s="18">
        <f t="shared" si="16"/>
        <v>0</v>
      </c>
      <c r="AI83" s="15">
        <f>IF(S83=1,IF(COUNTIFS($R$2:R83,R83,$S$2:S83,1)=1,1,0),0)</f>
        <v>0</v>
      </c>
      <c r="AJ83" s="15">
        <f>SUM($AI$2:AI83)</f>
        <v>11</v>
      </c>
    </row>
    <row r="84" spans="1:36">
      <c r="B84" s="30" t="s">
        <v>43</v>
      </c>
      <c r="C84" s="14"/>
      <c r="D84" s="31">
        <v>46280</v>
      </c>
      <c r="E84" s="14"/>
      <c r="F84" s="14"/>
      <c r="G84" s="14"/>
      <c r="H84" s="14"/>
      <c r="I84" s="14"/>
      <c r="J84" s="14"/>
      <c r="L84" s="14"/>
      <c r="M84" s="14"/>
      <c r="N84" s="14">
        <v>1</v>
      </c>
      <c r="O84" s="14"/>
      <c r="P84" s="14"/>
      <c r="Q84" s="14"/>
      <c r="R84" s="15" t="str">
        <f t="shared" si="17"/>
        <v>Restaurant</v>
      </c>
      <c r="S84" s="15">
        <f t="shared" si="9"/>
        <v>1</v>
      </c>
      <c r="T84" s="16">
        <f>IF(S84=1, DATE(YEAR(Settings!$B$3), MONTH(D84), DAY(D84)), "")</f>
        <v>46280</v>
      </c>
      <c r="U84" s="15" t="str">
        <f>IF(S84=1,IFERROR(INDEX(Settings!$B$12:$B$41,MATCH($B84,Settings!$A$12:$A$41,0)),"N"),"")</f>
        <v>Y</v>
      </c>
      <c r="V84" s="15" t="str">
        <f>IF(S84=1,IFERROR(INDEX(Settings!$C$12:$C$41,MATCH($B84,Settings!$A$12:$A$41,0)),""),"")</f>
        <v>% of Tips</v>
      </c>
      <c r="W84" s="17">
        <f>IF(S84=1,IFERROR(INDEX(Settings!$D$12:$D$41,MATCH($B84,Settings!$A$12:$A$41,0)),0),0)</f>
        <v>1</v>
      </c>
      <c r="X84" s="18">
        <f t="shared" si="10"/>
        <v>0</v>
      </c>
      <c r="Y84" s="18">
        <f t="shared" si="11"/>
        <v>0</v>
      </c>
      <c r="Z84" s="15" t="str">
        <f>IF(S84=1,IFERROR(INDEX(Settings!$E$12:$E$41,MATCH($B84,Settings!$A$12:$A$41,0)),"N"),"")</f>
        <v>N</v>
      </c>
      <c r="AA84" s="17">
        <f>IF(S84=1,IFERROR(INDEX(Settings!$F$12:$F$41,MATCH($B84,Settings!$A$12:$A$41,0)),0),0)</f>
        <v>0</v>
      </c>
      <c r="AB84" s="15">
        <f>IF(S84=1,IFERROR(INDEX(Settings!$G$12:$G$41,MATCH($B84,Settings!$A$12:$A$41,0)),0),0)</f>
        <v>1</v>
      </c>
      <c r="AC84" s="18">
        <f t="shared" si="12"/>
        <v>0</v>
      </c>
      <c r="AD84" s="15">
        <f t="shared" si="13"/>
        <v>1</v>
      </c>
      <c r="AE84" s="15">
        <f t="shared" si="14"/>
        <v>0</v>
      </c>
      <c r="AF84" s="15">
        <f t="shared" si="15"/>
        <v>0</v>
      </c>
      <c r="AG84" s="18">
        <f>IF(AND(S84=1,Z84="Y"),IF(Settings!$B$6="Percentage",IF(AD84=0,0,AC84*AA84*(N84/AD84)),IF(Settings!$B$6="Points",IF(AF84=0,0,AC84*(N84*AB84)/AF84),IF(Settings!$B$6="Equally",IF(AE84=0,0,AC84*N84/AE84),0))),0)</f>
        <v>0</v>
      </c>
      <c r="AH84" s="18">
        <f t="shared" si="16"/>
        <v>0</v>
      </c>
      <c r="AI84" s="15">
        <f>IF(S84=1,IF(COUNTIFS($R$2:R84,R84,$S$2:S84,1)=1,1,0),0)</f>
        <v>0</v>
      </c>
      <c r="AJ84" s="15">
        <f>SUM($AI$2:AI84)</f>
        <v>11</v>
      </c>
    </row>
    <row r="85" spans="1:36">
      <c r="B85" s="30" t="s">
        <v>43</v>
      </c>
      <c r="C85" s="14"/>
      <c r="D85" s="31">
        <v>46281</v>
      </c>
      <c r="E85" s="14"/>
      <c r="F85" s="14"/>
      <c r="G85" s="14"/>
      <c r="H85" s="14"/>
      <c r="I85" s="14"/>
      <c r="J85" s="14"/>
      <c r="L85" s="14"/>
      <c r="M85" s="14"/>
      <c r="N85" s="14">
        <v>1</v>
      </c>
      <c r="O85" s="14"/>
      <c r="P85" s="14">
        <v>67.239999999999995</v>
      </c>
      <c r="Q85" s="14"/>
      <c r="R85" s="15" t="str">
        <f t="shared" si="17"/>
        <v>Restaurant</v>
      </c>
      <c r="S85" s="15">
        <f t="shared" si="9"/>
        <v>1</v>
      </c>
      <c r="T85" s="16">
        <f>IF(S85=1, DATE(YEAR(Settings!$B$3), MONTH(D85), DAY(D85)), "")</f>
        <v>46281</v>
      </c>
      <c r="U85" s="15" t="str">
        <f>IF(S85=1,IFERROR(INDEX(Settings!$B$12:$B$41,MATCH($B85,Settings!$A$12:$A$41,0)),"N"),"")</f>
        <v>Y</v>
      </c>
      <c r="V85" s="15" t="str">
        <f>IF(S85=1,IFERROR(INDEX(Settings!$C$12:$C$41,MATCH($B85,Settings!$A$12:$A$41,0)),""),"")</f>
        <v>% of Tips</v>
      </c>
      <c r="W85" s="17">
        <f>IF(S85=1,IFERROR(INDEX(Settings!$D$12:$D$41,MATCH($B85,Settings!$A$12:$A$41,0)),0),0)</f>
        <v>1</v>
      </c>
      <c r="X85" s="18">
        <f t="shared" si="10"/>
        <v>67.239999999999995</v>
      </c>
      <c r="Y85" s="18">
        <f t="shared" si="11"/>
        <v>0</v>
      </c>
      <c r="Z85" s="15" t="str">
        <f>IF(S85=1,IFERROR(INDEX(Settings!$E$12:$E$41,MATCH($B85,Settings!$A$12:$A$41,0)),"N"),"")</f>
        <v>N</v>
      </c>
      <c r="AA85" s="17">
        <f>IF(S85=1,IFERROR(INDEX(Settings!$F$12:$F$41,MATCH($B85,Settings!$A$12:$A$41,0)),0),0)</f>
        <v>0</v>
      </c>
      <c r="AB85" s="15">
        <f>IF(S85=1,IFERROR(INDEX(Settings!$G$12:$G$41,MATCH($B85,Settings!$A$12:$A$41,0)),0),0)</f>
        <v>1</v>
      </c>
      <c r="AC85" s="18">
        <f t="shared" si="12"/>
        <v>81.58</v>
      </c>
      <c r="AD85" s="15">
        <f t="shared" si="13"/>
        <v>1</v>
      </c>
      <c r="AE85" s="15">
        <f t="shared" si="14"/>
        <v>8.6499999999999986</v>
      </c>
      <c r="AF85" s="15">
        <f t="shared" si="15"/>
        <v>8.6499999999999986</v>
      </c>
      <c r="AG85" s="18">
        <f>IF(AND(S85=1,Z85="Y"),IF(Settings!$B$6="Percentage",IF(AD85=0,0,AC85*AA85*(N85/AD85)),IF(Settings!$B$6="Points",IF(AF85=0,0,AC85*(N85*AB85)/AF85),IF(Settings!$B$6="Equally",IF(AE85=0,0,AC85*N85/AE85),0))),0)</f>
        <v>0</v>
      </c>
      <c r="AH85" s="18">
        <f t="shared" si="16"/>
        <v>0</v>
      </c>
      <c r="AI85" s="15">
        <f>IF(S85=1,IF(COUNTIFS($R$2:R85,R85,$S$2:S85,1)=1,1,0),0)</f>
        <v>0</v>
      </c>
      <c r="AJ85" s="15">
        <f>SUM($AI$2:AI85)</f>
        <v>11</v>
      </c>
    </row>
    <row r="86" spans="1:36">
      <c r="B86" s="30" t="s">
        <v>43</v>
      </c>
      <c r="C86" s="14"/>
      <c r="D86" s="31">
        <v>46282</v>
      </c>
      <c r="E86" s="14"/>
      <c r="F86" s="14"/>
      <c r="G86" s="14"/>
      <c r="H86" s="14"/>
      <c r="I86" s="14"/>
      <c r="J86" s="14"/>
      <c r="L86" s="14"/>
      <c r="M86" s="14"/>
      <c r="N86" s="14">
        <v>1</v>
      </c>
      <c r="O86" s="14"/>
      <c r="P86" s="14">
        <v>58.54</v>
      </c>
      <c r="Q86" s="14"/>
      <c r="R86" s="15" t="str">
        <f t="shared" si="17"/>
        <v>Restaurant</v>
      </c>
      <c r="S86" s="15">
        <f t="shared" si="9"/>
        <v>1</v>
      </c>
      <c r="T86" s="16">
        <f>IF(S86=1, DATE(YEAR(Settings!$B$3), MONTH(D86), DAY(D86)), "")</f>
        <v>46282</v>
      </c>
      <c r="U86" s="15" t="str">
        <f>IF(S86=1,IFERROR(INDEX(Settings!$B$12:$B$41,MATCH($B86,Settings!$A$12:$A$41,0)),"N"),"")</f>
        <v>Y</v>
      </c>
      <c r="V86" s="15" t="str">
        <f>IF(S86=1,IFERROR(INDEX(Settings!$C$12:$C$41,MATCH($B86,Settings!$A$12:$A$41,0)),""),"")</f>
        <v>% of Tips</v>
      </c>
      <c r="W86" s="17">
        <f>IF(S86=1,IFERROR(INDEX(Settings!$D$12:$D$41,MATCH($B86,Settings!$A$12:$A$41,0)),0),0)</f>
        <v>1</v>
      </c>
      <c r="X86" s="18">
        <f t="shared" si="10"/>
        <v>58.54</v>
      </c>
      <c r="Y86" s="18">
        <f t="shared" si="11"/>
        <v>0</v>
      </c>
      <c r="Z86" s="15" t="str">
        <f>IF(S86=1,IFERROR(INDEX(Settings!$E$12:$E$41,MATCH($B86,Settings!$A$12:$A$41,0)),"N"),"")</f>
        <v>N</v>
      </c>
      <c r="AA86" s="17">
        <f>IF(S86=1,IFERROR(INDEX(Settings!$F$12:$F$41,MATCH($B86,Settings!$A$12:$A$41,0)),0),0)</f>
        <v>0</v>
      </c>
      <c r="AB86" s="15">
        <f>IF(S86=1,IFERROR(INDEX(Settings!$G$12:$G$41,MATCH($B86,Settings!$A$12:$A$41,0)),0),0)</f>
        <v>1</v>
      </c>
      <c r="AC86" s="18">
        <f t="shared" si="12"/>
        <v>72.78</v>
      </c>
      <c r="AD86" s="15">
        <f t="shared" si="13"/>
        <v>1</v>
      </c>
      <c r="AE86" s="15">
        <f t="shared" si="14"/>
        <v>8.07</v>
      </c>
      <c r="AF86" s="15">
        <f t="shared" si="15"/>
        <v>8.07</v>
      </c>
      <c r="AG86" s="18">
        <f>IF(AND(S86=1,Z86="Y"),IF(Settings!$B$6="Percentage",IF(AD86=0,0,AC86*AA86*(N86/AD86)),IF(Settings!$B$6="Points",IF(AF86=0,0,AC86*(N86*AB86)/AF86),IF(Settings!$B$6="Equally",IF(AE86=0,0,AC86*N86/AE86),0))),0)</f>
        <v>0</v>
      </c>
      <c r="AH86" s="18">
        <f t="shared" si="16"/>
        <v>0</v>
      </c>
      <c r="AI86" s="15">
        <f>IF(S86=1,IF(COUNTIFS($R$2:R86,R86,$S$2:S86,1)=1,1,0),0)</f>
        <v>0</v>
      </c>
      <c r="AJ86" s="15">
        <f>SUM($AI$2:AI86)</f>
        <v>11</v>
      </c>
    </row>
    <row r="87" spans="1:36">
      <c r="B87" s="30" t="s">
        <v>43</v>
      </c>
      <c r="C87" s="14"/>
      <c r="D87" s="31">
        <v>46283</v>
      </c>
      <c r="E87" s="14"/>
      <c r="F87" s="14"/>
      <c r="G87" s="14"/>
      <c r="H87" s="14"/>
      <c r="I87" s="14"/>
      <c r="J87" s="14"/>
      <c r="L87" s="14"/>
      <c r="M87" s="14"/>
      <c r="N87" s="14">
        <v>1</v>
      </c>
      <c r="O87" s="14"/>
      <c r="P87" s="14">
        <v>78.12</v>
      </c>
      <c r="Q87" s="14"/>
      <c r="R87" s="15" t="str">
        <f t="shared" si="17"/>
        <v>Restaurant</v>
      </c>
      <c r="S87" s="15">
        <f t="shared" si="9"/>
        <v>1</v>
      </c>
      <c r="T87" s="16">
        <f>IF(S87=1, DATE(YEAR(Settings!$B$3), MONTH(D87), DAY(D87)), "")</f>
        <v>46283</v>
      </c>
      <c r="U87" s="15" t="str">
        <f>IF(S87=1,IFERROR(INDEX(Settings!$B$12:$B$41,MATCH($B87,Settings!$A$12:$A$41,0)),"N"),"")</f>
        <v>Y</v>
      </c>
      <c r="V87" s="15" t="str">
        <f>IF(S87=1,IFERROR(INDEX(Settings!$C$12:$C$41,MATCH($B87,Settings!$A$12:$A$41,0)),""),"")</f>
        <v>% of Tips</v>
      </c>
      <c r="W87" s="17">
        <f>IF(S87=1,IFERROR(INDEX(Settings!$D$12:$D$41,MATCH($B87,Settings!$A$12:$A$41,0)),0),0)</f>
        <v>1</v>
      </c>
      <c r="X87" s="18">
        <f t="shared" si="10"/>
        <v>78.12</v>
      </c>
      <c r="Y87" s="18">
        <f t="shared" si="11"/>
        <v>0</v>
      </c>
      <c r="Z87" s="15" t="str">
        <f>IF(S87=1,IFERROR(INDEX(Settings!$E$12:$E$41,MATCH($B87,Settings!$A$12:$A$41,0)),"N"),"")</f>
        <v>N</v>
      </c>
      <c r="AA87" s="17">
        <f>IF(S87=1,IFERROR(INDEX(Settings!$F$12:$F$41,MATCH($B87,Settings!$A$12:$A$41,0)),0),0)</f>
        <v>0</v>
      </c>
      <c r="AB87" s="15">
        <f>IF(S87=1,IFERROR(INDEX(Settings!$G$12:$G$41,MATCH($B87,Settings!$A$12:$A$41,0)),0),0)</f>
        <v>1</v>
      </c>
      <c r="AC87" s="18">
        <f t="shared" si="12"/>
        <v>84.09</v>
      </c>
      <c r="AD87" s="15">
        <f t="shared" si="13"/>
        <v>1</v>
      </c>
      <c r="AE87" s="15">
        <f t="shared" si="14"/>
        <v>12.5</v>
      </c>
      <c r="AF87" s="15">
        <f t="shared" si="15"/>
        <v>12.5</v>
      </c>
      <c r="AG87" s="18">
        <f>IF(AND(S87=1,Z87="Y"),IF(Settings!$B$6="Percentage",IF(AD87=0,0,AC87*AA87*(N87/AD87)),IF(Settings!$B$6="Points",IF(AF87=0,0,AC87*(N87*AB87)/AF87),IF(Settings!$B$6="Equally",IF(AE87=0,0,AC87*N87/AE87),0))),0)</f>
        <v>0</v>
      </c>
      <c r="AH87" s="18">
        <f t="shared" si="16"/>
        <v>0</v>
      </c>
      <c r="AI87" s="15">
        <f>IF(S87=1,IF(COUNTIFS($R$2:R87,R87,$S$2:S87,1)=1,1,0),0)</f>
        <v>0</v>
      </c>
      <c r="AJ87" s="15">
        <f>SUM($AI$2:AI87)</f>
        <v>11</v>
      </c>
    </row>
    <row r="88" spans="1:36">
      <c r="B88" s="30" t="s">
        <v>43</v>
      </c>
      <c r="C88" s="14"/>
      <c r="D88" s="31">
        <v>46284</v>
      </c>
      <c r="E88" s="14"/>
      <c r="F88" s="14"/>
      <c r="G88" s="14"/>
      <c r="H88" s="14"/>
      <c r="I88" s="14"/>
      <c r="J88" s="14"/>
      <c r="L88" s="14"/>
      <c r="M88" s="14"/>
      <c r="N88" s="14">
        <v>1</v>
      </c>
      <c r="O88" s="14"/>
      <c r="P88" s="14">
        <v>183.56</v>
      </c>
      <c r="Q88" s="14"/>
      <c r="R88" s="15" t="str">
        <f t="shared" si="17"/>
        <v>Restaurant</v>
      </c>
      <c r="S88" s="15">
        <f t="shared" si="9"/>
        <v>1</v>
      </c>
      <c r="T88" s="16">
        <f>IF(S88=1, DATE(YEAR(Settings!$B$3), MONTH(D88), DAY(D88)), "")</f>
        <v>46284</v>
      </c>
      <c r="U88" s="15" t="str">
        <f>IF(S88=1,IFERROR(INDEX(Settings!$B$12:$B$41,MATCH($B88,Settings!$A$12:$A$41,0)),"N"),"")</f>
        <v>Y</v>
      </c>
      <c r="V88" s="15" t="str">
        <f>IF(S88=1,IFERROR(INDEX(Settings!$C$12:$C$41,MATCH($B88,Settings!$A$12:$A$41,0)),""),"")</f>
        <v>% of Tips</v>
      </c>
      <c r="W88" s="17">
        <f>IF(S88=1,IFERROR(INDEX(Settings!$D$12:$D$41,MATCH($B88,Settings!$A$12:$A$41,0)),0),0)</f>
        <v>1</v>
      </c>
      <c r="X88" s="18">
        <f t="shared" si="10"/>
        <v>183.56</v>
      </c>
      <c r="Y88" s="18">
        <f t="shared" si="11"/>
        <v>0</v>
      </c>
      <c r="Z88" s="15" t="str">
        <f>IF(S88=1,IFERROR(INDEX(Settings!$E$12:$E$41,MATCH($B88,Settings!$A$12:$A$41,0)),"N"),"")</f>
        <v>N</v>
      </c>
      <c r="AA88" s="17">
        <f>IF(S88=1,IFERROR(INDEX(Settings!$F$12:$F$41,MATCH($B88,Settings!$A$12:$A$41,0)),0),0)</f>
        <v>0</v>
      </c>
      <c r="AB88" s="15">
        <f>IF(S88=1,IFERROR(INDEX(Settings!$G$12:$G$41,MATCH($B88,Settings!$A$12:$A$41,0)),0),0)</f>
        <v>1</v>
      </c>
      <c r="AC88" s="18">
        <f t="shared" si="12"/>
        <v>190.57</v>
      </c>
      <c r="AD88" s="15">
        <f t="shared" si="13"/>
        <v>1</v>
      </c>
      <c r="AE88" s="15">
        <f t="shared" si="14"/>
        <v>28</v>
      </c>
      <c r="AF88" s="15">
        <f t="shared" si="15"/>
        <v>28</v>
      </c>
      <c r="AG88" s="18">
        <f>IF(AND(S88=1,Z88="Y"),IF(Settings!$B$6="Percentage",IF(AD88=0,0,AC88*AA88*(N88/AD88)),IF(Settings!$B$6="Points",IF(AF88=0,0,AC88*(N88*AB88)/AF88),IF(Settings!$B$6="Equally",IF(AE88=0,0,AC88*N88/AE88),0))),0)</f>
        <v>0</v>
      </c>
      <c r="AH88" s="18">
        <f t="shared" si="16"/>
        <v>0</v>
      </c>
      <c r="AI88" s="15">
        <f>IF(S88=1,IF(COUNTIFS($R$2:R88,R88,$S$2:S88,1)=1,1,0),0)</f>
        <v>0</v>
      </c>
      <c r="AJ88" s="15">
        <f>SUM($AI$2:AI88)</f>
        <v>11</v>
      </c>
    </row>
    <row r="89" spans="1:36" thickBot="1">
      <c r="B89" s="30" t="s">
        <v>43</v>
      </c>
      <c r="C89" s="14"/>
      <c r="D89" s="32">
        <v>46285</v>
      </c>
      <c r="E89" s="14"/>
      <c r="F89" s="14"/>
      <c r="G89" s="14"/>
      <c r="H89" s="14"/>
      <c r="I89" s="14"/>
      <c r="J89" s="14"/>
      <c r="L89" s="14"/>
      <c r="M89" s="14"/>
      <c r="N89" s="14">
        <v>1</v>
      </c>
      <c r="O89" s="14"/>
      <c r="P89" s="14">
        <v>128.07</v>
      </c>
      <c r="Q89" s="14"/>
      <c r="R89" s="15" t="str">
        <f t="shared" si="17"/>
        <v>Restaurant</v>
      </c>
      <c r="S89" s="15">
        <f t="shared" si="9"/>
        <v>1</v>
      </c>
      <c r="T89" s="16">
        <f>IF(S89=1, DATE(YEAR(Settings!$B$3), MONTH(D89), DAY(D89)), "")</f>
        <v>46285</v>
      </c>
      <c r="U89" s="15" t="str">
        <f>IF(S89=1,IFERROR(INDEX(Settings!$B$12:$B$41,MATCH($B89,Settings!$A$12:$A$41,0)),"N"),"")</f>
        <v>Y</v>
      </c>
      <c r="V89" s="15" t="str">
        <f>IF(S89=1,IFERROR(INDEX(Settings!$C$12:$C$41,MATCH($B89,Settings!$A$12:$A$41,0)),""),"")</f>
        <v>% of Tips</v>
      </c>
      <c r="W89" s="17">
        <f>IF(S89=1,IFERROR(INDEX(Settings!$D$12:$D$41,MATCH($B89,Settings!$A$12:$A$41,0)),0),0)</f>
        <v>1</v>
      </c>
      <c r="X89" s="18">
        <f t="shared" si="10"/>
        <v>128.07</v>
      </c>
      <c r="Y89" s="18">
        <f t="shared" si="11"/>
        <v>0</v>
      </c>
      <c r="Z89" s="15" t="str">
        <f>IF(S89=1,IFERROR(INDEX(Settings!$E$12:$E$41,MATCH($B89,Settings!$A$12:$A$41,0)),"N"),"")</f>
        <v>N</v>
      </c>
      <c r="AA89" s="17">
        <f>IF(S89=1,IFERROR(INDEX(Settings!$F$12:$F$41,MATCH($B89,Settings!$A$12:$A$41,0)),0),0)</f>
        <v>0</v>
      </c>
      <c r="AB89" s="15">
        <f>IF(S89=1,IFERROR(INDEX(Settings!$G$12:$G$41,MATCH($B89,Settings!$A$12:$A$41,0)),0),0)</f>
        <v>1</v>
      </c>
      <c r="AC89" s="18">
        <f t="shared" si="12"/>
        <v>146.5</v>
      </c>
      <c r="AD89" s="15">
        <f t="shared" si="13"/>
        <v>1</v>
      </c>
      <c r="AE89" s="15">
        <f t="shared" si="14"/>
        <v>22.34</v>
      </c>
      <c r="AF89" s="15">
        <f t="shared" si="15"/>
        <v>22.34</v>
      </c>
      <c r="AG89" s="18">
        <f>IF(AND(S89=1,Z89="Y"),IF(Settings!$B$6="Percentage",IF(AD89=0,0,AC89*AA89*(N89/AD89)),IF(Settings!$B$6="Points",IF(AF89=0,0,AC89*(N89*AB89)/AF89),IF(Settings!$B$6="Equally",IF(AE89=0,0,AC89*N89/AE89),0))),0)</f>
        <v>0</v>
      </c>
      <c r="AH89" s="18">
        <f t="shared" si="16"/>
        <v>0</v>
      </c>
      <c r="AI89" s="15">
        <f>IF(S89=1,IF(COUNTIFS($R$2:R89,R89,$S$2:S89,1)=1,1,0),0)</f>
        <v>0</v>
      </c>
      <c r="AJ89" s="15">
        <f>SUM($AI$2:AI89)</f>
        <v>11</v>
      </c>
    </row>
    <row r="90" spans="1:36">
      <c r="A90" s="30" t="s">
        <v>80</v>
      </c>
      <c r="H90" s="14"/>
      <c r="I90" s="14"/>
      <c r="J90" s="14"/>
      <c r="K90" s="14"/>
      <c r="L90" s="14"/>
      <c r="M90" s="14"/>
      <c r="N90" s="14"/>
      <c r="O90" s="14"/>
      <c r="P90" s="14"/>
      <c r="Q90" s="14"/>
      <c r="R90" s="15" t="str">
        <f t="shared" si="17"/>
        <v/>
      </c>
      <c r="S90" s="15">
        <f t="shared" si="9"/>
        <v>0</v>
      </c>
      <c r="T90" s="16" t="str">
        <f>IF(S90=1, DATE(YEAR(Settings!$B$3), MONTH(D90), DAY(D90)), "")</f>
        <v/>
      </c>
      <c r="U90" s="15" t="str">
        <f>IF(S90=1,IFERROR(INDEX(Settings!$B$12:$B$41,MATCH($B90,Settings!$A$12:$A$41,0)),"N"),"")</f>
        <v/>
      </c>
      <c r="V90" s="15" t="str">
        <f>IF(S90=1,IFERROR(INDEX(Settings!$C$12:$C$41,MATCH($B90,Settings!$A$12:$A$41,0)),""),"")</f>
        <v/>
      </c>
      <c r="W90" s="17">
        <f>IF(S90=1,IFERROR(INDEX(Settings!$D$12:$D$41,MATCH($B90,Settings!$A$12:$A$41,0)),0),0)</f>
        <v>0</v>
      </c>
      <c r="X90" s="18">
        <f t="shared" si="10"/>
        <v>0</v>
      </c>
      <c r="Y90" s="18" t="str">
        <f t="shared" si="11"/>
        <v/>
      </c>
      <c r="Z90" s="15" t="str">
        <f>IF(S90=1,IFERROR(INDEX(Settings!$E$12:$E$41,MATCH($B90,Settings!$A$12:$A$41,0)),"N"),"")</f>
        <v/>
      </c>
      <c r="AA90" s="17">
        <f>IF(S90=1,IFERROR(INDEX(Settings!$F$12:$F$41,MATCH($B90,Settings!$A$12:$A$41,0)),0),0)</f>
        <v>0</v>
      </c>
      <c r="AB90" s="15">
        <f>IF(S90=1,IFERROR(INDEX(Settings!$G$12:$G$41,MATCH($B90,Settings!$A$12:$A$41,0)),0),0)</f>
        <v>0</v>
      </c>
      <c r="AC90" s="18" t="str">
        <f t="shared" si="12"/>
        <v/>
      </c>
      <c r="AD90" s="15" t="str">
        <f t="shared" si="13"/>
        <v/>
      </c>
      <c r="AE90" s="15" t="str">
        <f t="shared" si="14"/>
        <v/>
      </c>
      <c r="AF90" s="15" t="str">
        <f t="shared" si="15"/>
        <v/>
      </c>
      <c r="AG90" s="18">
        <f>IF(AND(S90=1,Z90="Y"),IF(Settings!$B$6="Percentage",IF(AD90=0,0,AC90*AA90*(N90/AD90)),IF(Settings!$B$6="Points",IF(AF90=0,0,AC90*(N90*AB90)/AF90),IF(Settings!$B$6="Equally",IF(AE90=0,0,AC90*N90/AE90),0))),0)</f>
        <v>0</v>
      </c>
      <c r="AH90" s="18" t="str">
        <f t="shared" si="16"/>
        <v/>
      </c>
      <c r="AI90" s="15">
        <f>IF(S90=1,IF(COUNTIFS($R$2:R90,R90,$S$2:S90,1)=1,1,0),0)</f>
        <v>0</v>
      </c>
      <c r="AJ90" s="15">
        <f>SUM($AI$2:AI90)</f>
        <v>11</v>
      </c>
    </row>
    <row r="91" spans="1:36">
      <c r="R91" s="15" t="str">
        <f t="shared" si="17"/>
        <v/>
      </c>
      <c r="S91" s="15">
        <f t="shared" si="9"/>
        <v>0</v>
      </c>
      <c r="T91" s="16" t="str">
        <f>IF(S91=1, DATE(YEAR(Settings!$B$3), MONTH(D91), DAY(D91)), "")</f>
        <v/>
      </c>
      <c r="U91" s="15" t="str">
        <f>IF(S91=1,IFERROR(INDEX(Settings!$B$12:$B$41,MATCH($B91,Settings!$A$12:$A$41,0)),"N"),"")</f>
        <v/>
      </c>
      <c r="V91" s="15" t="str">
        <f>IF(S91=1,IFERROR(INDEX(Settings!$C$12:$C$41,MATCH($B91,Settings!$A$12:$A$41,0)),""),"")</f>
        <v/>
      </c>
      <c r="W91" s="17">
        <f>IF(S91=1,IFERROR(INDEX(Settings!$D$12:$D$41,MATCH($B91,Settings!$A$12:$A$41,0)),0),0)</f>
        <v>0</v>
      </c>
      <c r="X91" s="18">
        <f t="shared" si="10"/>
        <v>0</v>
      </c>
      <c r="Y91" s="18" t="str">
        <f t="shared" si="11"/>
        <v/>
      </c>
      <c r="Z91" s="15" t="str">
        <f>IF(S91=1,IFERROR(INDEX(Settings!$E$12:$E$41,MATCH($B91,Settings!$A$12:$A$41,0)),"N"),"")</f>
        <v/>
      </c>
      <c r="AA91" s="17">
        <f>IF(S91=1,IFERROR(INDEX(Settings!$F$12:$F$41,MATCH($B91,Settings!$A$12:$A$41,0)),0),0)</f>
        <v>0</v>
      </c>
      <c r="AB91" s="15">
        <f>IF(S91=1,IFERROR(INDEX(Settings!$G$12:$G$41,MATCH($B91,Settings!$A$12:$A$41,0)),0),0)</f>
        <v>0</v>
      </c>
      <c r="AC91" s="18" t="str">
        <f t="shared" si="12"/>
        <v/>
      </c>
      <c r="AD91" s="15" t="str">
        <f t="shared" si="13"/>
        <v/>
      </c>
      <c r="AE91" s="15" t="str">
        <f t="shared" si="14"/>
        <v/>
      </c>
      <c r="AF91" s="15" t="str">
        <f t="shared" si="15"/>
        <v/>
      </c>
      <c r="AG91" s="18">
        <f>IF(AND(S91=1,Z91="Y"),IF(Settings!$B$6="Percentage",IF(AD91=0,0,AC91*AA91*(N91/AD91)),IF(Settings!$B$6="Points",IF(AF91=0,0,AC91*(N91*AB91)/AF91),IF(Settings!$B$6="Equally",IF(AE91=0,0,AC91*N91/AE91),0))),0)</f>
        <v>0</v>
      </c>
      <c r="AH91" s="18" t="str">
        <f t="shared" si="16"/>
        <v/>
      </c>
      <c r="AI91" s="15">
        <f>IF(S91=1,IF(COUNTIFS($R$2:R91,R91,$S$2:S91,1)=1,1,0),0)</f>
        <v>0</v>
      </c>
      <c r="AJ91" s="15">
        <f>SUM($AI$2:AI91)</f>
        <v>11</v>
      </c>
    </row>
    <row r="92" spans="1:36">
      <c r="A92" t="s">
        <v>91</v>
      </c>
      <c r="B92" s="30" t="s">
        <v>44</v>
      </c>
      <c r="D92" s="31">
        <v>46272</v>
      </c>
      <c r="N92" s="30">
        <v>1</v>
      </c>
      <c r="P92">
        <v>89.84</v>
      </c>
      <c r="R92" s="15" t="str">
        <f t="shared" si="17"/>
        <v>R-Kiosk</v>
      </c>
      <c r="S92" s="15">
        <f t="shared" si="9"/>
        <v>1</v>
      </c>
      <c r="T92" s="16">
        <f>IF(S92=1, DATE(YEAR(Settings!$B$3), MONTH(D92), DAY(D92)), "")</f>
        <v>46272</v>
      </c>
      <c r="U92" s="15" t="str">
        <f>IF(S92=1,IFERROR(INDEX(Settings!$B$12:$B$41,MATCH($B92,Settings!$A$12:$A$41,0)),"N"),"")</f>
        <v>Y</v>
      </c>
      <c r="V92" s="15" t="str">
        <f>IF(S92=1,IFERROR(INDEX(Settings!$C$12:$C$41,MATCH($B92,Settings!$A$12:$A$41,0)),""),"")</f>
        <v>% of Tips</v>
      </c>
      <c r="W92" s="17">
        <f>IF(S92=1,IFERROR(INDEX(Settings!$D$12:$D$41,MATCH($B92,Settings!$A$12:$A$41,0)),0),0)</f>
        <v>1</v>
      </c>
      <c r="X92" s="18">
        <f t="shared" si="10"/>
        <v>89.84</v>
      </c>
      <c r="Y92" s="18">
        <f t="shared" si="11"/>
        <v>0</v>
      </c>
      <c r="Z92" s="15" t="str">
        <f>IF(S92=1,IFERROR(INDEX(Settings!$E$12:$E$41,MATCH($B92,Settings!$A$12:$A$41,0)),"N"),"")</f>
        <v>N</v>
      </c>
      <c r="AA92" s="17">
        <f>IF(S92=1,IFERROR(INDEX(Settings!$F$12:$F$41,MATCH($B92,Settings!$A$12:$A$41,0)),0),0)</f>
        <v>0</v>
      </c>
      <c r="AB92" s="15">
        <f>IF(S92=1,IFERROR(INDEX(Settings!$G$12:$G$41,MATCH($B92,Settings!$A$12:$A$41,0)),0),0)</f>
        <v>1</v>
      </c>
      <c r="AC92" s="18">
        <f t="shared" si="12"/>
        <v>303.99</v>
      </c>
      <c r="AD92" s="15">
        <f t="shared" si="13"/>
        <v>1</v>
      </c>
      <c r="AE92" s="15">
        <f t="shared" si="14"/>
        <v>25.299999999999997</v>
      </c>
      <c r="AF92" s="15">
        <f t="shared" si="15"/>
        <v>25.299999999999997</v>
      </c>
      <c r="AG92" s="18">
        <f>IF(AND(S92=1,Z92="Y"),IF(Settings!$B$6="Percentage",IF(AD92=0,0,AC92*AA92*(N92/AD92)),IF(Settings!$B$6="Points",IF(AF92=0,0,AC92*(N92*AB92)/AF92),IF(Settings!$B$6="Equally",IF(AE92=0,0,AC92*N92/AE92),0))),0)</f>
        <v>0</v>
      </c>
      <c r="AH92" s="18">
        <f t="shared" si="16"/>
        <v>0</v>
      </c>
      <c r="AI92" s="15">
        <f>IF(S92=1,IF(COUNTIFS($R$2:R92,R92,$S$2:S92,1)=1,1,0),0)</f>
        <v>1</v>
      </c>
      <c r="AJ92" s="15">
        <f>SUM($AI$2:AI92)</f>
        <v>12</v>
      </c>
    </row>
    <row r="93" spans="1:36">
      <c r="B93" s="30" t="s">
        <v>44</v>
      </c>
      <c r="D93" s="31">
        <v>46273</v>
      </c>
      <c r="N93" s="30">
        <v>1</v>
      </c>
      <c r="R93" s="15" t="str">
        <f t="shared" si="17"/>
        <v>R-Kiosk</v>
      </c>
      <c r="S93" s="15">
        <f t="shared" si="9"/>
        <v>1</v>
      </c>
      <c r="T93" s="16">
        <f>IF(S93=1, DATE(YEAR(Settings!$B$3), MONTH(D93), DAY(D93)), "")</f>
        <v>46273</v>
      </c>
      <c r="U93" s="15" t="str">
        <f>IF(S93=1,IFERROR(INDEX(Settings!$B$12:$B$41,MATCH($B93,Settings!$A$12:$A$41,0)),"N"),"")</f>
        <v>Y</v>
      </c>
      <c r="V93" s="15" t="str">
        <f>IF(S93=1,IFERROR(INDEX(Settings!$C$12:$C$41,MATCH($B93,Settings!$A$12:$A$41,0)),""),"")</f>
        <v>% of Tips</v>
      </c>
      <c r="W93" s="17">
        <f>IF(S93=1,IFERROR(INDEX(Settings!$D$12:$D$41,MATCH($B93,Settings!$A$12:$A$41,0)),0),0)</f>
        <v>1</v>
      </c>
      <c r="X93" s="18">
        <f t="shared" si="10"/>
        <v>0</v>
      </c>
      <c r="Y93" s="18">
        <f t="shared" si="11"/>
        <v>0</v>
      </c>
      <c r="Z93" s="15" t="str">
        <f>IF(S93=1,IFERROR(INDEX(Settings!$E$12:$E$41,MATCH($B93,Settings!$A$12:$A$41,0)),"N"),"")</f>
        <v>N</v>
      </c>
      <c r="AA93" s="17">
        <f>IF(S93=1,IFERROR(INDEX(Settings!$F$12:$F$41,MATCH($B93,Settings!$A$12:$A$41,0)),0),0)</f>
        <v>0</v>
      </c>
      <c r="AB93" s="15">
        <f>IF(S93=1,IFERROR(INDEX(Settings!$G$12:$G$41,MATCH($B93,Settings!$A$12:$A$41,0)),0),0)</f>
        <v>1</v>
      </c>
      <c r="AC93" s="18">
        <f t="shared" si="12"/>
        <v>0</v>
      </c>
      <c r="AD93" s="15">
        <f t="shared" si="13"/>
        <v>1</v>
      </c>
      <c r="AE93" s="15">
        <f t="shared" si="14"/>
        <v>0</v>
      </c>
      <c r="AF93" s="15">
        <f t="shared" si="15"/>
        <v>0</v>
      </c>
      <c r="AG93" s="18">
        <f>IF(AND(S93=1,Z93="Y"),IF(Settings!$B$6="Percentage",IF(AD93=0,0,AC93*AA93*(N93/AD93)),IF(Settings!$B$6="Points",IF(AF93=0,0,AC93*(N93*AB93)/AF93),IF(Settings!$B$6="Equally",IF(AE93=0,0,AC93*N93/AE93),0))),0)</f>
        <v>0</v>
      </c>
      <c r="AH93" s="18">
        <f t="shared" si="16"/>
        <v>0</v>
      </c>
      <c r="AI93" s="15">
        <f>IF(S93=1,IF(COUNTIFS($R$2:R93,R93,$S$2:S93,1)=1,1,0),0)</f>
        <v>0</v>
      </c>
      <c r="AJ93" s="15">
        <f>SUM($AI$2:AI93)</f>
        <v>12</v>
      </c>
    </row>
    <row r="94" spans="1:36">
      <c r="B94" s="30" t="s">
        <v>44</v>
      </c>
      <c r="D94" s="31">
        <v>46274</v>
      </c>
      <c r="N94" s="30">
        <v>1</v>
      </c>
      <c r="P94">
        <v>31.37</v>
      </c>
      <c r="R94" s="15" t="str">
        <f t="shared" si="17"/>
        <v>R-Kiosk</v>
      </c>
      <c r="S94" s="15">
        <f t="shared" si="9"/>
        <v>1</v>
      </c>
      <c r="T94" s="16">
        <f>IF(S94=1, DATE(YEAR(Settings!$B$3), MONTH(D94), DAY(D94)), "")</f>
        <v>46274</v>
      </c>
      <c r="U94" s="15" t="str">
        <f>IF(S94=1,IFERROR(INDEX(Settings!$B$12:$B$41,MATCH($B94,Settings!$A$12:$A$41,0)),"N"),"")</f>
        <v>Y</v>
      </c>
      <c r="V94" s="15" t="str">
        <f>IF(S94=1,IFERROR(INDEX(Settings!$C$12:$C$41,MATCH($B94,Settings!$A$12:$A$41,0)),""),"")</f>
        <v>% of Tips</v>
      </c>
      <c r="W94" s="17">
        <f>IF(S94=1,IFERROR(INDEX(Settings!$D$12:$D$41,MATCH($B94,Settings!$A$12:$A$41,0)),0),0)</f>
        <v>1</v>
      </c>
      <c r="X94" s="18">
        <f t="shared" si="10"/>
        <v>31.37</v>
      </c>
      <c r="Y94" s="18">
        <f t="shared" si="11"/>
        <v>0</v>
      </c>
      <c r="Z94" s="15" t="str">
        <f>IF(S94=1,IFERROR(INDEX(Settings!$E$12:$E$41,MATCH($B94,Settings!$A$12:$A$41,0)),"N"),"")</f>
        <v>N</v>
      </c>
      <c r="AA94" s="17">
        <f>IF(S94=1,IFERROR(INDEX(Settings!$F$12:$F$41,MATCH($B94,Settings!$A$12:$A$41,0)),0),0)</f>
        <v>0</v>
      </c>
      <c r="AB94" s="15">
        <f>IF(S94=1,IFERROR(INDEX(Settings!$G$12:$G$41,MATCH($B94,Settings!$A$12:$A$41,0)),0),0)</f>
        <v>1</v>
      </c>
      <c r="AC94" s="18">
        <f t="shared" si="12"/>
        <v>104.42</v>
      </c>
      <c r="AD94" s="15">
        <f t="shared" si="13"/>
        <v>1</v>
      </c>
      <c r="AE94" s="15">
        <f t="shared" si="14"/>
        <v>10.98</v>
      </c>
      <c r="AF94" s="15">
        <f t="shared" si="15"/>
        <v>10.98</v>
      </c>
      <c r="AG94" s="18">
        <f>IF(AND(S94=1,Z94="Y"),IF(Settings!$B$6="Percentage",IF(AD94=0,0,AC94*AA94*(N94/AD94)),IF(Settings!$B$6="Points",IF(AF94=0,0,AC94*(N94*AB94)/AF94),IF(Settings!$B$6="Equally",IF(AE94=0,0,AC94*N94/AE94),0))),0)</f>
        <v>0</v>
      </c>
      <c r="AH94" s="18">
        <f t="shared" si="16"/>
        <v>0</v>
      </c>
      <c r="AI94" s="15">
        <f>IF(S94=1,IF(COUNTIFS($R$2:R94,R94,$S$2:S94,1)=1,1,0),0)</f>
        <v>0</v>
      </c>
      <c r="AJ94" s="15">
        <f>SUM($AI$2:AI94)</f>
        <v>12</v>
      </c>
    </row>
    <row r="95" spans="1:36">
      <c r="B95" s="30" t="s">
        <v>44</v>
      </c>
      <c r="D95" s="31">
        <v>46275</v>
      </c>
      <c r="N95" s="30">
        <v>1</v>
      </c>
      <c r="P95">
        <v>3.05</v>
      </c>
      <c r="R95" s="15" t="str">
        <f t="shared" si="17"/>
        <v>R-Kiosk</v>
      </c>
      <c r="S95" s="15">
        <f t="shared" si="9"/>
        <v>1</v>
      </c>
      <c r="T95" s="16">
        <f>IF(S95=1, DATE(YEAR(Settings!$B$3), MONTH(D95), DAY(D95)), "")</f>
        <v>46275</v>
      </c>
      <c r="U95" s="15" t="str">
        <f>IF(S95=1,IFERROR(INDEX(Settings!$B$12:$B$41,MATCH($B95,Settings!$A$12:$A$41,0)),"N"),"")</f>
        <v>Y</v>
      </c>
      <c r="V95" s="15" t="str">
        <f>IF(S95=1,IFERROR(INDEX(Settings!$C$12:$C$41,MATCH($B95,Settings!$A$12:$A$41,0)),""),"")</f>
        <v>% of Tips</v>
      </c>
      <c r="W95" s="17">
        <f>IF(S95=1,IFERROR(INDEX(Settings!$D$12:$D$41,MATCH($B95,Settings!$A$12:$A$41,0)),0),0)</f>
        <v>1</v>
      </c>
      <c r="X95" s="18">
        <f t="shared" si="10"/>
        <v>3.05</v>
      </c>
      <c r="Y95" s="18">
        <f t="shared" si="11"/>
        <v>0</v>
      </c>
      <c r="Z95" s="15" t="str">
        <f>IF(S95=1,IFERROR(INDEX(Settings!$E$12:$E$41,MATCH($B95,Settings!$A$12:$A$41,0)),"N"),"")</f>
        <v>N</v>
      </c>
      <c r="AA95" s="17">
        <f>IF(S95=1,IFERROR(INDEX(Settings!$F$12:$F$41,MATCH($B95,Settings!$A$12:$A$41,0)),0),0)</f>
        <v>0</v>
      </c>
      <c r="AB95" s="15">
        <f>IF(S95=1,IFERROR(INDEX(Settings!$G$12:$G$41,MATCH($B95,Settings!$A$12:$A$41,0)),0),0)</f>
        <v>1</v>
      </c>
      <c r="AC95" s="18">
        <f t="shared" si="12"/>
        <v>54.83</v>
      </c>
      <c r="AD95" s="15">
        <f t="shared" si="13"/>
        <v>1</v>
      </c>
      <c r="AE95" s="15">
        <f t="shared" si="14"/>
        <v>6.79</v>
      </c>
      <c r="AF95" s="15">
        <f t="shared" si="15"/>
        <v>6.79</v>
      </c>
      <c r="AG95" s="18">
        <f>IF(AND(S95=1,Z95="Y"),IF(Settings!$B$6="Percentage",IF(AD95=0,0,AC95*AA95*(N95/AD95)),IF(Settings!$B$6="Points",IF(AF95=0,0,AC95*(N95*AB95)/AF95),IF(Settings!$B$6="Equally",IF(AE95=0,0,AC95*N95/AE95),0))),0)</f>
        <v>0</v>
      </c>
      <c r="AH95" s="18">
        <f t="shared" si="16"/>
        <v>0</v>
      </c>
      <c r="AI95" s="15">
        <f>IF(S95=1,IF(COUNTIFS($R$2:R95,R95,$S$2:S95,1)=1,1,0),0)</f>
        <v>0</v>
      </c>
      <c r="AJ95" s="15">
        <f>SUM($AI$2:AI95)</f>
        <v>12</v>
      </c>
    </row>
    <row r="96" spans="1:36">
      <c r="B96" s="30" t="s">
        <v>44</v>
      </c>
      <c r="D96" s="31">
        <v>46276</v>
      </c>
      <c r="N96" s="30">
        <v>1</v>
      </c>
      <c r="P96">
        <v>1.7</v>
      </c>
      <c r="R96" s="15" t="str">
        <f t="shared" si="17"/>
        <v>R-Kiosk</v>
      </c>
      <c r="S96" s="15">
        <f t="shared" si="9"/>
        <v>1</v>
      </c>
      <c r="T96" s="16">
        <f>IF(S96=1, DATE(YEAR(Settings!$B$3), MONTH(D96), DAY(D96)), "")</f>
        <v>46276</v>
      </c>
      <c r="U96" s="15" t="str">
        <f>IF(S96=1,IFERROR(INDEX(Settings!$B$12:$B$41,MATCH($B96,Settings!$A$12:$A$41,0)),"N"),"")</f>
        <v>Y</v>
      </c>
      <c r="V96" s="15" t="str">
        <f>IF(S96=1,IFERROR(INDEX(Settings!$C$12:$C$41,MATCH($B96,Settings!$A$12:$A$41,0)),""),"")</f>
        <v>% of Tips</v>
      </c>
      <c r="W96" s="17">
        <f>IF(S96=1,IFERROR(INDEX(Settings!$D$12:$D$41,MATCH($B96,Settings!$A$12:$A$41,0)),0),0)</f>
        <v>1</v>
      </c>
      <c r="X96" s="18">
        <f t="shared" si="10"/>
        <v>1.7</v>
      </c>
      <c r="Y96" s="18">
        <f t="shared" si="11"/>
        <v>0</v>
      </c>
      <c r="Z96" s="15" t="str">
        <f>IF(S96=1,IFERROR(INDEX(Settings!$E$12:$E$41,MATCH($B96,Settings!$A$12:$A$41,0)),"N"),"")</f>
        <v>N</v>
      </c>
      <c r="AA96" s="17">
        <f>IF(S96=1,IFERROR(INDEX(Settings!$F$12:$F$41,MATCH($B96,Settings!$A$12:$A$41,0)),0),0)</f>
        <v>0</v>
      </c>
      <c r="AB96" s="15">
        <f>IF(S96=1,IFERROR(INDEX(Settings!$G$12:$G$41,MATCH($B96,Settings!$A$12:$A$41,0)),0),0)</f>
        <v>1</v>
      </c>
      <c r="AC96" s="18">
        <f t="shared" si="12"/>
        <v>87.710000000000008</v>
      </c>
      <c r="AD96" s="15">
        <f t="shared" si="13"/>
        <v>1</v>
      </c>
      <c r="AE96" s="15">
        <f t="shared" si="14"/>
        <v>15.739999999999998</v>
      </c>
      <c r="AF96" s="15">
        <f t="shared" si="15"/>
        <v>15.739999999999998</v>
      </c>
      <c r="AG96" s="18">
        <f>IF(AND(S96=1,Z96="Y"),IF(Settings!$B$6="Percentage",IF(AD96=0,0,AC96*AA96*(N96/AD96)),IF(Settings!$B$6="Points",IF(AF96=0,0,AC96*(N96*AB96)/AF96),IF(Settings!$B$6="Equally",IF(AE96=0,0,AC96*N96/AE96),0))),0)</f>
        <v>0</v>
      </c>
      <c r="AH96" s="18">
        <f t="shared" si="16"/>
        <v>0</v>
      </c>
      <c r="AI96" s="15">
        <f>IF(S96=1,IF(COUNTIFS($R$2:R96,R96,$S$2:S96,1)=1,1,0),0)</f>
        <v>0</v>
      </c>
      <c r="AJ96" s="15">
        <f>SUM($AI$2:AI96)</f>
        <v>12</v>
      </c>
    </row>
    <row r="97" spans="2:36">
      <c r="B97" s="30" t="s">
        <v>44</v>
      </c>
      <c r="D97" s="31">
        <v>46277</v>
      </c>
      <c r="N97" s="30">
        <v>1</v>
      </c>
      <c r="P97">
        <v>19.37</v>
      </c>
      <c r="R97" s="15" t="str">
        <f t="shared" si="17"/>
        <v>R-Kiosk</v>
      </c>
      <c r="S97" s="15">
        <f t="shared" si="9"/>
        <v>1</v>
      </c>
      <c r="T97" s="16">
        <f>IF(S97=1, DATE(YEAR(Settings!$B$3), MONTH(D97), DAY(D97)), "")</f>
        <v>46277</v>
      </c>
      <c r="U97" s="15" t="str">
        <f>IF(S97=1,IFERROR(INDEX(Settings!$B$12:$B$41,MATCH($B97,Settings!$A$12:$A$41,0)),"N"),"")</f>
        <v>Y</v>
      </c>
      <c r="V97" s="15" t="str">
        <f>IF(S97=1,IFERROR(INDEX(Settings!$C$12:$C$41,MATCH($B97,Settings!$A$12:$A$41,0)),""),"")</f>
        <v>% of Tips</v>
      </c>
      <c r="W97" s="17">
        <f>IF(S97=1,IFERROR(INDEX(Settings!$D$12:$D$41,MATCH($B97,Settings!$A$12:$A$41,0)),0),0)</f>
        <v>1</v>
      </c>
      <c r="X97" s="18">
        <f t="shared" si="10"/>
        <v>19.37</v>
      </c>
      <c r="Y97" s="18">
        <f t="shared" si="11"/>
        <v>0</v>
      </c>
      <c r="Z97" s="15" t="str">
        <f>IF(S97=1,IFERROR(INDEX(Settings!$E$12:$E$41,MATCH($B97,Settings!$A$12:$A$41,0)),"N"),"")</f>
        <v>N</v>
      </c>
      <c r="AA97" s="17">
        <f>IF(S97=1,IFERROR(INDEX(Settings!$F$12:$F$41,MATCH($B97,Settings!$A$12:$A$41,0)),0),0)</f>
        <v>0</v>
      </c>
      <c r="AB97" s="15">
        <f>IF(S97=1,IFERROR(INDEX(Settings!$G$12:$G$41,MATCH($B97,Settings!$A$12:$A$41,0)),0),0)</f>
        <v>1</v>
      </c>
      <c r="AC97" s="18">
        <f t="shared" si="12"/>
        <v>220.79</v>
      </c>
      <c r="AD97" s="15">
        <f t="shared" si="13"/>
        <v>1</v>
      </c>
      <c r="AE97" s="15">
        <f t="shared" si="14"/>
        <v>24.11</v>
      </c>
      <c r="AF97" s="15">
        <f t="shared" si="15"/>
        <v>24.11</v>
      </c>
      <c r="AG97" s="18">
        <f>IF(AND(S97=1,Z97="Y"),IF(Settings!$B$6="Percentage",IF(AD97=0,0,AC97*AA97*(N97/AD97)),IF(Settings!$B$6="Points",IF(AF97=0,0,AC97*(N97*AB97)/AF97),IF(Settings!$B$6="Equally",IF(AE97=0,0,AC97*N97/AE97),0))),0)</f>
        <v>0</v>
      </c>
      <c r="AH97" s="18">
        <f t="shared" si="16"/>
        <v>0</v>
      </c>
      <c r="AI97" s="15">
        <f>IF(S97=1,IF(COUNTIFS($R$2:R97,R97,$S$2:S97,1)=1,1,0),0)</f>
        <v>0</v>
      </c>
      <c r="AJ97" s="15">
        <f>SUM($AI$2:AI97)</f>
        <v>12</v>
      </c>
    </row>
    <row r="98" spans="2:36">
      <c r="B98" s="30" t="s">
        <v>44</v>
      </c>
      <c r="D98" s="31">
        <v>46278</v>
      </c>
      <c r="N98" s="30">
        <v>1</v>
      </c>
      <c r="P98">
        <v>31.38</v>
      </c>
      <c r="R98" s="15" t="str">
        <f t="shared" si="17"/>
        <v>R-Kiosk</v>
      </c>
      <c r="S98" s="15">
        <f t="shared" si="9"/>
        <v>1</v>
      </c>
      <c r="T98" s="16">
        <f>IF(S98=1, DATE(YEAR(Settings!$B$3), MONTH(D98), DAY(D98)), "")</f>
        <v>46278</v>
      </c>
      <c r="U98" s="15" t="str">
        <f>IF(S98=1,IFERROR(INDEX(Settings!$B$12:$B$41,MATCH($B98,Settings!$A$12:$A$41,0)),"N"),"")</f>
        <v>Y</v>
      </c>
      <c r="V98" s="15" t="str">
        <f>IF(S98=1,IFERROR(INDEX(Settings!$C$12:$C$41,MATCH($B98,Settings!$A$12:$A$41,0)),""),"")</f>
        <v>% of Tips</v>
      </c>
      <c r="W98" s="17">
        <f>IF(S98=1,IFERROR(INDEX(Settings!$D$12:$D$41,MATCH($B98,Settings!$A$12:$A$41,0)),0),0)</f>
        <v>1</v>
      </c>
      <c r="X98" s="18">
        <f t="shared" si="10"/>
        <v>31.38</v>
      </c>
      <c r="Y98" s="18">
        <f t="shared" si="11"/>
        <v>0</v>
      </c>
      <c r="Z98" s="15" t="str">
        <f>IF(S98=1,IFERROR(INDEX(Settings!$E$12:$E$41,MATCH($B98,Settings!$A$12:$A$41,0)),"N"),"")</f>
        <v>N</v>
      </c>
      <c r="AA98" s="17">
        <f>IF(S98=1,IFERROR(INDEX(Settings!$F$12:$F$41,MATCH($B98,Settings!$A$12:$A$41,0)),0),0)</f>
        <v>0</v>
      </c>
      <c r="AB98" s="15">
        <f>IF(S98=1,IFERROR(INDEX(Settings!$G$12:$G$41,MATCH($B98,Settings!$A$12:$A$41,0)),0),0)</f>
        <v>1</v>
      </c>
      <c r="AC98" s="18">
        <f t="shared" si="12"/>
        <v>242.76</v>
      </c>
      <c r="AD98" s="15">
        <f t="shared" si="13"/>
        <v>1</v>
      </c>
      <c r="AE98" s="15">
        <f t="shared" si="14"/>
        <v>20.37</v>
      </c>
      <c r="AF98" s="15">
        <f t="shared" si="15"/>
        <v>20.37</v>
      </c>
      <c r="AG98" s="18">
        <f>IF(AND(S98=1,Z98="Y"),IF(Settings!$B$6="Percentage",IF(AD98=0,0,AC98*AA98*(N98/AD98)),IF(Settings!$B$6="Points",IF(AF98=0,0,AC98*(N98*AB98)/AF98),IF(Settings!$B$6="Equally",IF(AE98=0,0,AC98*N98/AE98),0))),0)</f>
        <v>0</v>
      </c>
      <c r="AH98" s="18">
        <f t="shared" si="16"/>
        <v>0</v>
      </c>
      <c r="AI98" s="15">
        <f>IF(S98=1,IF(COUNTIFS($R$2:R98,R98,$S$2:S98,1)=1,1,0),0)</f>
        <v>0</v>
      </c>
      <c r="AJ98" s="15">
        <f>SUM($AI$2:AI98)</f>
        <v>12</v>
      </c>
    </row>
    <row r="99" spans="2:36">
      <c r="B99" s="30" t="s">
        <v>44</v>
      </c>
      <c r="D99" s="31">
        <v>46279</v>
      </c>
      <c r="N99" s="30">
        <v>1</v>
      </c>
      <c r="P99">
        <v>7.48</v>
      </c>
      <c r="R99" s="15" t="str">
        <f t="shared" si="17"/>
        <v>R-Kiosk</v>
      </c>
      <c r="S99" s="15">
        <f t="shared" si="9"/>
        <v>1</v>
      </c>
      <c r="T99" s="16">
        <f>IF(S99=1, DATE(YEAR(Settings!$B$3), MONTH(D99), DAY(D99)), "")</f>
        <v>46279</v>
      </c>
      <c r="U99" s="15" t="str">
        <f>IF(S99=1,IFERROR(INDEX(Settings!$B$12:$B$41,MATCH($B99,Settings!$A$12:$A$41,0)),"N"),"")</f>
        <v>Y</v>
      </c>
      <c r="V99" s="15" t="str">
        <f>IF(S99=1,IFERROR(INDEX(Settings!$C$12:$C$41,MATCH($B99,Settings!$A$12:$A$41,0)),""),"")</f>
        <v>% of Tips</v>
      </c>
      <c r="W99" s="17">
        <f>IF(S99=1,IFERROR(INDEX(Settings!$D$12:$D$41,MATCH($B99,Settings!$A$12:$A$41,0)),0),0)</f>
        <v>1</v>
      </c>
      <c r="X99" s="18">
        <f t="shared" si="10"/>
        <v>7.48</v>
      </c>
      <c r="Y99" s="18">
        <f t="shared" si="11"/>
        <v>0</v>
      </c>
      <c r="Z99" s="15" t="str">
        <f>IF(S99=1,IFERROR(INDEX(Settings!$E$12:$E$41,MATCH($B99,Settings!$A$12:$A$41,0)),"N"),"")</f>
        <v>N</v>
      </c>
      <c r="AA99" s="17">
        <f>IF(S99=1,IFERROR(INDEX(Settings!$F$12:$F$41,MATCH($B99,Settings!$A$12:$A$41,0)),0),0)</f>
        <v>0</v>
      </c>
      <c r="AB99" s="15">
        <f>IF(S99=1,IFERROR(INDEX(Settings!$G$12:$G$41,MATCH($B99,Settings!$A$12:$A$41,0)),0),0)</f>
        <v>1</v>
      </c>
      <c r="AC99" s="18">
        <f t="shared" si="12"/>
        <v>80.03</v>
      </c>
      <c r="AD99" s="15">
        <f t="shared" si="13"/>
        <v>1</v>
      </c>
      <c r="AE99" s="15">
        <f t="shared" si="14"/>
        <v>7.23</v>
      </c>
      <c r="AF99" s="15">
        <f t="shared" si="15"/>
        <v>7.23</v>
      </c>
      <c r="AG99" s="18">
        <f>IF(AND(S99=1,Z99="Y"),IF(Settings!$B$6="Percentage",IF(AD99=0,0,AC99*AA99*(N99/AD99)),IF(Settings!$B$6="Points",IF(AF99=0,0,AC99*(N99*AB99)/AF99),IF(Settings!$B$6="Equally",IF(AE99=0,0,AC99*N99/AE99),0))),0)</f>
        <v>0</v>
      </c>
      <c r="AH99" s="18">
        <f t="shared" si="16"/>
        <v>0</v>
      </c>
      <c r="AI99" s="15">
        <f>IF(S99=1,IF(COUNTIFS($R$2:R99,R99,$S$2:S99,1)=1,1,0),0)</f>
        <v>0</v>
      </c>
      <c r="AJ99" s="15">
        <f>SUM($AI$2:AI99)</f>
        <v>12</v>
      </c>
    </row>
    <row r="100" spans="2:36">
      <c r="B100" s="30" t="s">
        <v>44</v>
      </c>
      <c r="D100" s="31">
        <v>46280</v>
      </c>
      <c r="N100" s="30">
        <v>1</v>
      </c>
      <c r="R100" s="15" t="str">
        <f t="shared" si="17"/>
        <v>R-Kiosk</v>
      </c>
      <c r="S100" s="15">
        <f t="shared" si="9"/>
        <v>1</v>
      </c>
      <c r="T100" s="16">
        <f>IF(S100=1, DATE(YEAR(Settings!$B$3), MONTH(D100), DAY(D100)), "")</f>
        <v>46280</v>
      </c>
      <c r="U100" s="15" t="str">
        <f>IF(S100=1,IFERROR(INDEX(Settings!$B$12:$B$41,MATCH($B100,Settings!$A$12:$A$41,0)),"N"),"")</f>
        <v>Y</v>
      </c>
      <c r="V100" s="15" t="str">
        <f>IF(S100=1,IFERROR(INDEX(Settings!$C$12:$C$41,MATCH($B100,Settings!$A$12:$A$41,0)),""),"")</f>
        <v>% of Tips</v>
      </c>
      <c r="W100" s="17">
        <f>IF(S100=1,IFERROR(INDEX(Settings!$D$12:$D$41,MATCH($B100,Settings!$A$12:$A$41,0)),0),0)</f>
        <v>1</v>
      </c>
      <c r="X100" s="18">
        <f t="shared" si="10"/>
        <v>0</v>
      </c>
      <c r="Y100" s="18">
        <f t="shared" si="11"/>
        <v>0</v>
      </c>
      <c r="Z100" s="15" t="str">
        <f>IF(S100=1,IFERROR(INDEX(Settings!$E$12:$E$41,MATCH($B100,Settings!$A$12:$A$41,0)),"N"),"")</f>
        <v>N</v>
      </c>
      <c r="AA100" s="17">
        <f>IF(S100=1,IFERROR(INDEX(Settings!$F$12:$F$41,MATCH($B100,Settings!$A$12:$A$41,0)),0),0)</f>
        <v>0</v>
      </c>
      <c r="AB100" s="15">
        <f>IF(S100=1,IFERROR(INDEX(Settings!$G$12:$G$41,MATCH($B100,Settings!$A$12:$A$41,0)),0),0)</f>
        <v>1</v>
      </c>
      <c r="AC100" s="18">
        <f t="shared" si="12"/>
        <v>0</v>
      </c>
      <c r="AD100" s="15">
        <f t="shared" si="13"/>
        <v>1</v>
      </c>
      <c r="AE100" s="15">
        <f t="shared" si="14"/>
        <v>0</v>
      </c>
      <c r="AF100" s="15">
        <f t="shared" si="15"/>
        <v>0</v>
      </c>
      <c r="AG100" s="18">
        <f>IF(AND(S100=1,Z100="Y"),IF(Settings!$B$6="Percentage",IF(AD100=0,0,AC100*AA100*(N100/AD100)),IF(Settings!$B$6="Points",IF(AF100=0,0,AC100*(N100*AB100)/AF100),IF(Settings!$B$6="Equally",IF(AE100=0,0,AC100*N100/AE100),0))),0)</f>
        <v>0</v>
      </c>
      <c r="AH100" s="18">
        <f t="shared" si="16"/>
        <v>0</v>
      </c>
      <c r="AI100" s="15">
        <f>IF(S100=1,IF(COUNTIFS($R$2:R100,R100,$S$2:S100,1)=1,1,0),0)</f>
        <v>0</v>
      </c>
      <c r="AJ100" s="15">
        <f>SUM($AI$2:AI100)</f>
        <v>12</v>
      </c>
    </row>
    <row r="101" spans="2:36">
      <c r="B101" s="30" t="s">
        <v>44</v>
      </c>
      <c r="D101" s="31">
        <v>46281</v>
      </c>
      <c r="N101" s="30">
        <v>1</v>
      </c>
      <c r="P101">
        <v>14.34</v>
      </c>
      <c r="R101" s="15" t="str">
        <f t="shared" si="17"/>
        <v>R-Kiosk</v>
      </c>
      <c r="S101" s="15">
        <f t="shared" si="9"/>
        <v>1</v>
      </c>
      <c r="T101" s="16">
        <f>IF(S101=1, DATE(YEAR(Settings!$B$3), MONTH(D101), DAY(D101)), "")</f>
        <v>46281</v>
      </c>
      <c r="U101" s="15" t="str">
        <f>IF(S101=1,IFERROR(INDEX(Settings!$B$12:$B$41,MATCH($B101,Settings!$A$12:$A$41,0)),"N"),"")</f>
        <v>Y</v>
      </c>
      <c r="V101" s="15" t="str">
        <f>IF(S101=1,IFERROR(INDEX(Settings!$C$12:$C$41,MATCH($B101,Settings!$A$12:$A$41,0)),""),"")</f>
        <v>% of Tips</v>
      </c>
      <c r="W101" s="17">
        <f>IF(S101=1,IFERROR(INDEX(Settings!$D$12:$D$41,MATCH($B101,Settings!$A$12:$A$41,0)),0),0)</f>
        <v>1</v>
      </c>
      <c r="X101" s="18">
        <f t="shared" si="10"/>
        <v>14.34</v>
      </c>
      <c r="Y101" s="18">
        <f t="shared" si="11"/>
        <v>0</v>
      </c>
      <c r="Z101" s="15" t="str">
        <f>IF(S101=1,IFERROR(INDEX(Settings!$E$12:$E$41,MATCH($B101,Settings!$A$12:$A$41,0)),"N"),"")</f>
        <v>N</v>
      </c>
      <c r="AA101" s="17">
        <f>IF(S101=1,IFERROR(INDEX(Settings!$F$12:$F$41,MATCH($B101,Settings!$A$12:$A$41,0)),0),0)</f>
        <v>0</v>
      </c>
      <c r="AB101" s="15">
        <f>IF(S101=1,IFERROR(INDEX(Settings!$G$12:$G$41,MATCH($B101,Settings!$A$12:$A$41,0)),0),0)</f>
        <v>1</v>
      </c>
      <c r="AC101" s="18">
        <f t="shared" si="12"/>
        <v>81.58</v>
      </c>
      <c r="AD101" s="15">
        <f t="shared" si="13"/>
        <v>1</v>
      </c>
      <c r="AE101" s="15">
        <f t="shared" si="14"/>
        <v>8.6499999999999986</v>
      </c>
      <c r="AF101" s="15">
        <f t="shared" si="15"/>
        <v>8.6499999999999986</v>
      </c>
      <c r="AG101" s="18">
        <f>IF(AND(S101=1,Z101="Y"),IF(Settings!$B$6="Percentage",IF(AD101=0,0,AC101*AA101*(N101/AD101)),IF(Settings!$B$6="Points",IF(AF101=0,0,AC101*(N101*AB101)/AF101),IF(Settings!$B$6="Equally",IF(AE101=0,0,AC101*N101/AE101),0))),0)</f>
        <v>0</v>
      </c>
      <c r="AH101" s="18">
        <f t="shared" si="16"/>
        <v>0</v>
      </c>
      <c r="AI101" s="15">
        <f>IF(S101=1,IF(COUNTIFS($R$2:R101,R101,$S$2:S101,1)=1,1,0),0)</f>
        <v>0</v>
      </c>
      <c r="AJ101" s="15">
        <f>SUM($AI$2:AI101)</f>
        <v>12</v>
      </c>
    </row>
    <row r="102" spans="2:36">
      <c r="B102" s="30" t="s">
        <v>44</v>
      </c>
      <c r="D102" s="31">
        <v>46282</v>
      </c>
      <c r="N102" s="30">
        <v>1</v>
      </c>
      <c r="P102">
        <v>14.24</v>
      </c>
      <c r="R102" s="15" t="str">
        <f t="shared" si="17"/>
        <v>R-Kiosk</v>
      </c>
      <c r="S102" s="15">
        <f t="shared" si="9"/>
        <v>1</v>
      </c>
      <c r="T102" s="16">
        <f>IF(S102=1, DATE(YEAR(Settings!$B$3), MONTH(D102), DAY(D102)), "")</f>
        <v>46282</v>
      </c>
      <c r="U102" s="15" t="str">
        <f>IF(S102=1,IFERROR(INDEX(Settings!$B$12:$B$41,MATCH($B102,Settings!$A$12:$A$41,0)),"N"),"")</f>
        <v>Y</v>
      </c>
      <c r="V102" s="15" t="str">
        <f>IF(S102=1,IFERROR(INDEX(Settings!$C$12:$C$41,MATCH($B102,Settings!$A$12:$A$41,0)),""),"")</f>
        <v>% of Tips</v>
      </c>
      <c r="W102" s="17">
        <f>IF(S102=1,IFERROR(INDEX(Settings!$D$12:$D$41,MATCH($B102,Settings!$A$12:$A$41,0)),0),0)</f>
        <v>1</v>
      </c>
      <c r="X102" s="18">
        <f t="shared" si="10"/>
        <v>14.24</v>
      </c>
      <c r="Y102" s="18">
        <f t="shared" si="11"/>
        <v>0</v>
      </c>
      <c r="Z102" s="15" t="str">
        <f>IF(S102=1,IFERROR(INDEX(Settings!$E$12:$E$41,MATCH($B102,Settings!$A$12:$A$41,0)),"N"),"")</f>
        <v>N</v>
      </c>
      <c r="AA102" s="17">
        <f>IF(S102=1,IFERROR(INDEX(Settings!$F$12:$F$41,MATCH($B102,Settings!$A$12:$A$41,0)),0),0)</f>
        <v>0</v>
      </c>
      <c r="AB102" s="15">
        <f>IF(S102=1,IFERROR(INDEX(Settings!$G$12:$G$41,MATCH($B102,Settings!$A$12:$A$41,0)),0),0)</f>
        <v>1</v>
      </c>
      <c r="AC102" s="18">
        <f t="shared" si="12"/>
        <v>72.78</v>
      </c>
      <c r="AD102" s="15">
        <f t="shared" si="13"/>
        <v>1</v>
      </c>
      <c r="AE102" s="15">
        <f t="shared" si="14"/>
        <v>8.07</v>
      </c>
      <c r="AF102" s="15">
        <f t="shared" si="15"/>
        <v>8.07</v>
      </c>
      <c r="AG102" s="18">
        <f>IF(AND(S102=1,Z102="Y"),IF(Settings!$B$6="Percentage",IF(AD102=0,0,AC102*AA102*(N102/AD102)),IF(Settings!$B$6="Points",IF(AF102=0,0,AC102*(N102*AB102)/AF102),IF(Settings!$B$6="Equally",IF(AE102=0,0,AC102*N102/AE102),0))),0)</f>
        <v>0</v>
      </c>
      <c r="AH102" s="18">
        <f t="shared" si="16"/>
        <v>0</v>
      </c>
      <c r="AI102" s="15">
        <f>IF(S102=1,IF(COUNTIFS($R$2:R102,R102,$S$2:S102,1)=1,1,0),0)</f>
        <v>0</v>
      </c>
      <c r="AJ102" s="15">
        <f>SUM($AI$2:AI102)</f>
        <v>12</v>
      </c>
    </row>
    <row r="103" spans="2:36">
      <c r="B103" s="30" t="s">
        <v>44</v>
      </c>
      <c r="D103" s="31">
        <v>46283</v>
      </c>
      <c r="N103" s="30">
        <v>1</v>
      </c>
      <c r="P103">
        <v>5.97</v>
      </c>
      <c r="R103" s="15" t="str">
        <f t="shared" si="17"/>
        <v>R-Kiosk</v>
      </c>
      <c r="S103" s="15">
        <f t="shared" si="9"/>
        <v>1</v>
      </c>
      <c r="T103" s="16">
        <f>IF(S103=1, DATE(YEAR(Settings!$B$3), MONTH(D103), DAY(D103)), "")</f>
        <v>46283</v>
      </c>
      <c r="U103" s="15" t="str">
        <f>IF(S103=1,IFERROR(INDEX(Settings!$B$12:$B$41,MATCH($B103,Settings!$A$12:$A$41,0)),"N"),"")</f>
        <v>Y</v>
      </c>
      <c r="V103" s="15" t="str">
        <f>IF(S103=1,IFERROR(INDEX(Settings!$C$12:$C$41,MATCH($B103,Settings!$A$12:$A$41,0)),""),"")</f>
        <v>% of Tips</v>
      </c>
      <c r="W103" s="17">
        <f>IF(S103=1,IFERROR(INDEX(Settings!$D$12:$D$41,MATCH($B103,Settings!$A$12:$A$41,0)),0),0)</f>
        <v>1</v>
      </c>
      <c r="X103" s="18">
        <f t="shared" si="10"/>
        <v>5.97</v>
      </c>
      <c r="Y103" s="18">
        <f t="shared" si="11"/>
        <v>0</v>
      </c>
      <c r="Z103" s="15" t="str">
        <f>IF(S103=1,IFERROR(INDEX(Settings!$E$12:$E$41,MATCH($B103,Settings!$A$12:$A$41,0)),"N"),"")</f>
        <v>N</v>
      </c>
      <c r="AA103" s="17">
        <f>IF(S103=1,IFERROR(INDEX(Settings!$F$12:$F$41,MATCH($B103,Settings!$A$12:$A$41,0)),0),0)</f>
        <v>0</v>
      </c>
      <c r="AB103" s="15">
        <f>IF(S103=1,IFERROR(INDEX(Settings!$G$12:$G$41,MATCH($B103,Settings!$A$12:$A$41,0)),0),0)</f>
        <v>1</v>
      </c>
      <c r="AC103" s="18">
        <f t="shared" si="12"/>
        <v>84.09</v>
      </c>
      <c r="AD103" s="15">
        <f t="shared" si="13"/>
        <v>1</v>
      </c>
      <c r="AE103" s="15">
        <f t="shared" si="14"/>
        <v>12.5</v>
      </c>
      <c r="AF103" s="15">
        <f t="shared" si="15"/>
        <v>12.5</v>
      </c>
      <c r="AG103" s="18">
        <f>IF(AND(S103=1,Z103="Y"),IF(Settings!$B$6="Percentage",IF(AD103=0,0,AC103*AA103*(N103/AD103)),IF(Settings!$B$6="Points",IF(AF103=0,0,AC103*(N103*AB103)/AF103),IF(Settings!$B$6="Equally",IF(AE103=0,0,AC103*N103/AE103),0))),0)</f>
        <v>0</v>
      </c>
      <c r="AH103" s="18">
        <f t="shared" si="16"/>
        <v>0</v>
      </c>
      <c r="AI103" s="15">
        <f>IF(S103=1,IF(COUNTIFS($R$2:R103,R103,$S$2:S103,1)=1,1,0),0)</f>
        <v>0</v>
      </c>
      <c r="AJ103" s="15">
        <f>SUM($AI$2:AI103)</f>
        <v>12</v>
      </c>
    </row>
    <row r="104" spans="2:36">
      <c r="B104" s="30" t="s">
        <v>44</v>
      </c>
      <c r="D104" s="31">
        <v>46284</v>
      </c>
      <c r="N104" s="30">
        <v>1</v>
      </c>
      <c r="P104">
        <v>7.01</v>
      </c>
      <c r="R104" s="15" t="str">
        <f t="shared" si="17"/>
        <v>R-Kiosk</v>
      </c>
      <c r="S104" s="15">
        <f t="shared" si="9"/>
        <v>1</v>
      </c>
      <c r="T104" s="16">
        <f>IF(S104=1, DATE(YEAR(Settings!$B$3), MONTH(D104), DAY(D104)), "")</f>
        <v>46284</v>
      </c>
      <c r="U104" s="15" t="str">
        <f>IF(S104=1,IFERROR(INDEX(Settings!$B$12:$B$41,MATCH($B104,Settings!$A$12:$A$41,0)),"N"),"")</f>
        <v>Y</v>
      </c>
      <c r="V104" s="15" t="str">
        <f>IF(S104=1,IFERROR(INDEX(Settings!$C$12:$C$41,MATCH($B104,Settings!$A$12:$A$41,0)),""),"")</f>
        <v>% of Tips</v>
      </c>
      <c r="W104" s="17">
        <f>IF(S104=1,IFERROR(INDEX(Settings!$D$12:$D$41,MATCH($B104,Settings!$A$12:$A$41,0)),0),0)</f>
        <v>1</v>
      </c>
      <c r="X104" s="18">
        <f t="shared" si="10"/>
        <v>7.01</v>
      </c>
      <c r="Y104" s="18">
        <f t="shared" si="11"/>
        <v>0</v>
      </c>
      <c r="Z104" s="15" t="str">
        <f>IF(S104=1,IFERROR(INDEX(Settings!$E$12:$E$41,MATCH($B104,Settings!$A$12:$A$41,0)),"N"),"")</f>
        <v>N</v>
      </c>
      <c r="AA104" s="17">
        <f>IF(S104=1,IFERROR(INDEX(Settings!$F$12:$F$41,MATCH($B104,Settings!$A$12:$A$41,0)),0),0)</f>
        <v>0</v>
      </c>
      <c r="AB104" s="15">
        <f>IF(S104=1,IFERROR(INDEX(Settings!$G$12:$G$41,MATCH($B104,Settings!$A$12:$A$41,0)),0),0)</f>
        <v>1</v>
      </c>
      <c r="AC104" s="18">
        <f t="shared" si="12"/>
        <v>190.57</v>
      </c>
      <c r="AD104" s="15">
        <f t="shared" si="13"/>
        <v>1</v>
      </c>
      <c r="AE104" s="15">
        <f t="shared" si="14"/>
        <v>28</v>
      </c>
      <c r="AF104" s="15">
        <f t="shared" si="15"/>
        <v>28</v>
      </c>
      <c r="AG104" s="18">
        <f>IF(AND(S104=1,Z104="Y"),IF(Settings!$B$6="Percentage",IF(AD104=0,0,AC104*AA104*(N104/AD104)),IF(Settings!$B$6="Points",IF(AF104=0,0,AC104*(N104*AB104)/AF104),IF(Settings!$B$6="Equally",IF(AE104=0,0,AC104*N104/AE104),0))),0)</f>
        <v>0</v>
      </c>
      <c r="AH104" s="18">
        <f t="shared" si="16"/>
        <v>0</v>
      </c>
      <c r="AI104" s="15">
        <f>IF(S104=1,IF(COUNTIFS($R$2:R104,R104,$S$2:S104,1)=1,1,0),0)</f>
        <v>0</v>
      </c>
      <c r="AJ104" s="15">
        <f>SUM($AI$2:AI104)</f>
        <v>12</v>
      </c>
    </row>
    <row r="105" spans="2:36" thickBot="1">
      <c r="B105" s="30" t="s">
        <v>44</v>
      </c>
      <c r="D105" s="32">
        <v>46285</v>
      </c>
      <c r="N105" s="30">
        <v>1</v>
      </c>
      <c r="P105">
        <v>18.43</v>
      </c>
      <c r="R105" s="15" t="str">
        <f t="shared" si="17"/>
        <v>R-Kiosk</v>
      </c>
      <c r="S105" s="15">
        <f t="shared" si="9"/>
        <v>1</v>
      </c>
      <c r="T105" s="16">
        <f>IF(S105=1, DATE(YEAR(Settings!$B$3), MONTH(D105), DAY(D105)), "")</f>
        <v>46285</v>
      </c>
      <c r="U105" s="15" t="str">
        <f>IF(S105=1,IFERROR(INDEX(Settings!$B$12:$B$41,MATCH($B105,Settings!$A$12:$A$41,0)),"N"),"")</f>
        <v>Y</v>
      </c>
      <c r="V105" s="15" t="str">
        <f>IF(S105=1,IFERROR(INDEX(Settings!$C$12:$C$41,MATCH($B105,Settings!$A$12:$A$41,0)),""),"")</f>
        <v>% of Tips</v>
      </c>
      <c r="W105" s="17">
        <f>IF(S105=1,IFERROR(INDEX(Settings!$D$12:$D$41,MATCH($B105,Settings!$A$12:$A$41,0)),0),0)</f>
        <v>1</v>
      </c>
      <c r="X105" s="18">
        <f t="shared" si="10"/>
        <v>18.43</v>
      </c>
      <c r="Y105" s="18">
        <f t="shared" si="11"/>
        <v>0</v>
      </c>
      <c r="Z105" s="15" t="str">
        <f>IF(S105=1,IFERROR(INDEX(Settings!$E$12:$E$41,MATCH($B105,Settings!$A$12:$A$41,0)),"N"),"")</f>
        <v>N</v>
      </c>
      <c r="AA105" s="17">
        <f>IF(S105=1,IFERROR(INDEX(Settings!$F$12:$F$41,MATCH($B105,Settings!$A$12:$A$41,0)),0),0)</f>
        <v>0</v>
      </c>
      <c r="AB105" s="15">
        <f>IF(S105=1,IFERROR(INDEX(Settings!$G$12:$G$41,MATCH($B105,Settings!$A$12:$A$41,0)),0),0)</f>
        <v>1</v>
      </c>
      <c r="AC105" s="18">
        <f t="shared" si="12"/>
        <v>146.5</v>
      </c>
      <c r="AD105" s="15">
        <f t="shared" si="13"/>
        <v>1</v>
      </c>
      <c r="AE105" s="15">
        <f t="shared" si="14"/>
        <v>22.34</v>
      </c>
      <c r="AF105" s="15">
        <f t="shared" si="15"/>
        <v>22.34</v>
      </c>
      <c r="AG105" s="18">
        <f>IF(AND(S105=1,Z105="Y"),IF(Settings!$B$6="Percentage",IF(AD105=0,0,AC105*AA105*(N105/AD105)),IF(Settings!$B$6="Points",IF(AF105=0,0,AC105*(N105*AB105)/AF105),IF(Settings!$B$6="Equally",IF(AE105=0,0,AC105*N105/AE105),0))),0)</f>
        <v>0</v>
      </c>
      <c r="AH105" s="18">
        <f t="shared" si="16"/>
        <v>0</v>
      </c>
      <c r="AI105" s="15">
        <f>IF(S105=1,IF(COUNTIFS($R$2:R105,R105,$S$2:S105,1)=1,1,0),0)</f>
        <v>0</v>
      </c>
      <c r="AJ105" s="15">
        <f>SUM($AI$2:AI105)</f>
        <v>12</v>
      </c>
    </row>
    <row r="106" spans="2:36">
      <c r="R106" s="15" t="str">
        <f t="shared" si="17"/>
        <v/>
      </c>
      <c r="S106" s="15">
        <f t="shared" si="9"/>
        <v>0</v>
      </c>
      <c r="T106" s="16" t="str">
        <f>IF(S106=1, DATE(YEAR(Settings!$B$3), MONTH(D106), DAY(D106)), "")</f>
        <v/>
      </c>
      <c r="U106" s="15" t="str">
        <f>IF(S106=1,IFERROR(INDEX(Settings!$B$12:$B$41,MATCH($B106,Settings!$A$12:$A$41,0)),"N"),"")</f>
        <v/>
      </c>
      <c r="V106" s="15" t="str">
        <f>IF(S106=1,IFERROR(INDEX(Settings!$C$12:$C$41,MATCH($B106,Settings!$A$12:$A$41,0)),""),"")</f>
        <v/>
      </c>
      <c r="W106" s="17">
        <f>IF(S106=1,IFERROR(INDEX(Settings!$D$12:$D$41,MATCH($B106,Settings!$A$12:$A$41,0)),0),0)</f>
        <v>0</v>
      </c>
      <c r="X106" s="18">
        <f t="shared" si="10"/>
        <v>0</v>
      </c>
      <c r="Y106" s="18" t="str">
        <f t="shared" si="11"/>
        <v/>
      </c>
      <c r="Z106" s="15" t="str">
        <f>IF(S106=1,IFERROR(INDEX(Settings!$E$12:$E$41,MATCH($B106,Settings!$A$12:$A$41,0)),"N"),"")</f>
        <v/>
      </c>
      <c r="AA106" s="17">
        <f>IF(S106=1,IFERROR(INDEX(Settings!$F$12:$F$41,MATCH($B106,Settings!$A$12:$A$41,0)),0),0)</f>
        <v>0</v>
      </c>
      <c r="AB106" s="15">
        <f>IF(S106=1,IFERROR(INDEX(Settings!$G$12:$G$41,MATCH($B106,Settings!$A$12:$A$41,0)),0),0)</f>
        <v>0</v>
      </c>
      <c r="AC106" s="18" t="str">
        <f t="shared" si="12"/>
        <v/>
      </c>
      <c r="AD106" s="15" t="str">
        <f t="shared" si="13"/>
        <v/>
      </c>
      <c r="AE106" s="15" t="str">
        <f t="shared" si="14"/>
        <v/>
      </c>
      <c r="AF106" s="15" t="str">
        <f t="shared" si="15"/>
        <v/>
      </c>
      <c r="AG106" s="18">
        <f>IF(AND(S106=1,Z106="Y"),IF(Settings!$B$6="Percentage",IF(AD106=0,0,AC106*AA106*(N106/AD106)),IF(Settings!$B$6="Points",IF(AF106=0,0,AC106*(N106*AB106)/AF106),IF(Settings!$B$6="Equally",IF(AE106=0,0,AC106*N106/AE106),0))),0)</f>
        <v>0</v>
      </c>
      <c r="AH106" s="18" t="str">
        <f t="shared" si="16"/>
        <v/>
      </c>
      <c r="AI106" s="15">
        <f>IF(S106=1,IF(COUNTIFS($R$2:R106,R106,$S$2:S106,1)=1,1,0),0)</f>
        <v>0</v>
      </c>
      <c r="AJ106" s="15">
        <f>SUM($AI$2:AI106)</f>
        <v>12</v>
      </c>
    </row>
    <row r="107" spans="2:36">
      <c r="R107" s="15" t="str">
        <f t="shared" si="17"/>
        <v/>
      </c>
      <c r="S107" s="15">
        <f t="shared" si="9"/>
        <v>0</v>
      </c>
      <c r="T107" s="16" t="str">
        <f>IF(S107=1, DATE(YEAR(Settings!$B$3), MONTH(D107), DAY(D107)), "")</f>
        <v/>
      </c>
      <c r="U107" s="15" t="str">
        <f>IF(S107=1,IFERROR(INDEX(Settings!$B$12:$B$41,MATCH($B107,Settings!$A$12:$A$41,0)),"N"),"")</f>
        <v/>
      </c>
      <c r="V107" s="15" t="str">
        <f>IF(S107=1,IFERROR(INDEX(Settings!$C$12:$C$41,MATCH($B107,Settings!$A$12:$A$41,0)),""),"")</f>
        <v/>
      </c>
      <c r="W107" s="17">
        <f>IF(S107=1,IFERROR(INDEX(Settings!$D$12:$D$41,MATCH($B107,Settings!$A$12:$A$41,0)),0),0)</f>
        <v>0</v>
      </c>
      <c r="X107" s="18">
        <f t="shared" si="10"/>
        <v>0</v>
      </c>
      <c r="Y107" s="18" t="str">
        <f t="shared" si="11"/>
        <v/>
      </c>
      <c r="Z107" s="15" t="str">
        <f>IF(S107=1,IFERROR(INDEX(Settings!$E$12:$E$41,MATCH($B107,Settings!$A$12:$A$41,0)),"N"),"")</f>
        <v/>
      </c>
      <c r="AA107" s="17">
        <f>IF(S107=1,IFERROR(INDEX(Settings!$F$12:$F$41,MATCH($B107,Settings!$A$12:$A$41,0)),0),0)</f>
        <v>0</v>
      </c>
      <c r="AB107" s="15">
        <f>IF(S107=1,IFERROR(INDEX(Settings!$G$12:$G$41,MATCH($B107,Settings!$A$12:$A$41,0)),0),0)</f>
        <v>0</v>
      </c>
      <c r="AC107" s="18" t="str">
        <f t="shared" si="12"/>
        <v/>
      </c>
      <c r="AD107" s="15" t="str">
        <f t="shared" si="13"/>
        <v/>
      </c>
      <c r="AE107" s="15" t="str">
        <f t="shared" si="14"/>
        <v/>
      </c>
      <c r="AF107" s="15" t="str">
        <f t="shared" si="15"/>
        <v/>
      </c>
      <c r="AG107" s="18">
        <f>IF(AND(S107=1,Z107="Y"),IF(Settings!$B$6="Percentage",IF(AD107=0,0,AC107*AA107*(N107/AD107)),IF(Settings!$B$6="Points",IF(AF107=0,0,AC107*(N107*AB107)/AF107),IF(Settings!$B$6="Equally",IF(AE107=0,0,AC107*N107/AE107),0))),0)</f>
        <v>0</v>
      </c>
      <c r="AH107" s="18" t="str">
        <f t="shared" si="16"/>
        <v/>
      </c>
      <c r="AI107" s="15">
        <f>IF(S107=1,IF(COUNTIFS($R$2:R107,R107,$S$2:S107,1)=1,1,0),0)</f>
        <v>0</v>
      </c>
      <c r="AJ107" s="15">
        <f>SUM($AI$2:AI107)</f>
        <v>12</v>
      </c>
    </row>
    <row r="108" spans="2:36">
      <c r="R108" s="15" t="str">
        <f t="shared" si="17"/>
        <v/>
      </c>
      <c r="S108" s="15">
        <f t="shared" si="9"/>
        <v>0</v>
      </c>
      <c r="T108" s="16" t="str">
        <f>IF(S108=1, DATE(YEAR(Settings!$B$3), MONTH(D108), DAY(D108)), "")</f>
        <v/>
      </c>
      <c r="U108" s="15" t="str">
        <f>IF(S108=1,IFERROR(INDEX(Settings!$B$12:$B$41,MATCH($B108,Settings!$A$12:$A$41,0)),"N"),"")</f>
        <v/>
      </c>
      <c r="V108" s="15" t="str">
        <f>IF(S108=1,IFERROR(INDEX(Settings!$C$12:$C$41,MATCH($B108,Settings!$A$12:$A$41,0)),""),"")</f>
        <v/>
      </c>
      <c r="W108" s="17">
        <f>IF(S108=1,IFERROR(INDEX(Settings!$D$12:$D$41,MATCH($B108,Settings!$A$12:$A$41,0)),0),0)</f>
        <v>0</v>
      </c>
      <c r="X108" s="18">
        <f t="shared" si="10"/>
        <v>0</v>
      </c>
      <c r="Y108" s="18" t="str">
        <f t="shared" si="11"/>
        <v/>
      </c>
      <c r="Z108" s="15" t="str">
        <f>IF(S108=1,IFERROR(INDEX(Settings!$E$12:$E$41,MATCH($B108,Settings!$A$12:$A$41,0)),"N"),"")</f>
        <v/>
      </c>
      <c r="AA108" s="17">
        <f>IF(S108=1,IFERROR(INDEX(Settings!$F$12:$F$41,MATCH($B108,Settings!$A$12:$A$41,0)),0),0)</f>
        <v>0</v>
      </c>
      <c r="AB108" s="15">
        <f>IF(S108=1,IFERROR(INDEX(Settings!$G$12:$G$41,MATCH($B108,Settings!$A$12:$A$41,0)),0),0)</f>
        <v>0</v>
      </c>
      <c r="AC108" s="18" t="str">
        <f t="shared" si="12"/>
        <v/>
      </c>
      <c r="AD108" s="15" t="str">
        <f t="shared" si="13"/>
        <v/>
      </c>
      <c r="AE108" s="15" t="str">
        <f t="shared" si="14"/>
        <v/>
      </c>
      <c r="AF108" s="15" t="str">
        <f t="shared" si="15"/>
        <v/>
      </c>
      <c r="AG108" s="18">
        <f>IF(AND(S108=1,Z108="Y"),IF(Settings!$B$6="Percentage",IF(AD108=0,0,AC108*AA108*(N108/AD108)),IF(Settings!$B$6="Points",IF(AF108=0,0,AC108*(N108*AB108)/AF108),IF(Settings!$B$6="Equally",IF(AE108=0,0,AC108*N108/AE108),0))),0)</f>
        <v>0</v>
      </c>
      <c r="AH108" s="18" t="str">
        <f t="shared" si="16"/>
        <v/>
      </c>
      <c r="AI108" s="15">
        <f>IF(S108=1,IF(COUNTIFS($R$2:R108,R108,$S$2:S108,1)=1,1,0),0)</f>
        <v>0</v>
      </c>
      <c r="AJ108" s="15">
        <f>SUM($AI$2:AI108)</f>
        <v>12</v>
      </c>
    </row>
    <row r="109" spans="2:36">
      <c r="R109" s="15" t="str">
        <f t="shared" si="17"/>
        <v/>
      </c>
      <c r="S109" s="15">
        <f t="shared" si="9"/>
        <v>0</v>
      </c>
      <c r="T109" s="16" t="str">
        <f>IF(S109=1, DATE(YEAR(Settings!$B$3), MONTH(D109), DAY(D109)), "")</f>
        <v/>
      </c>
      <c r="U109" s="15" t="str">
        <f>IF(S109=1,IFERROR(INDEX(Settings!$B$12:$B$41,MATCH($B109,Settings!$A$12:$A$41,0)),"N"),"")</f>
        <v/>
      </c>
      <c r="V109" s="15" t="str">
        <f>IF(S109=1,IFERROR(INDEX(Settings!$C$12:$C$41,MATCH($B109,Settings!$A$12:$A$41,0)),""),"")</f>
        <v/>
      </c>
      <c r="W109" s="17">
        <f>IF(S109=1,IFERROR(INDEX(Settings!$D$12:$D$41,MATCH($B109,Settings!$A$12:$A$41,0)),0),0)</f>
        <v>0</v>
      </c>
      <c r="X109" s="18">
        <f t="shared" si="10"/>
        <v>0</v>
      </c>
      <c r="Y109" s="18" t="str">
        <f t="shared" si="11"/>
        <v/>
      </c>
      <c r="Z109" s="15" t="str">
        <f>IF(S109=1,IFERROR(INDEX(Settings!$E$12:$E$41,MATCH($B109,Settings!$A$12:$A$41,0)),"N"),"")</f>
        <v/>
      </c>
      <c r="AA109" s="17">
        <f>IF(S109=1,IFERROR(INDEX(Settings!$F$12:$F$41,MATCH($B109,Settings!$A$12:$A$41,0)),0),0)</f>
        <v>0</v>
      </c>
      <c r="AB109" s="15">
        <f>IF(S109=1,IFERROR(INDEX(Settings!$G$12:$G$41,MATCH($B109,Settings!$A$12:$A$41,0)),0),0)</f>
        <v>0</v>
      </c>
      <c r="AC109" s="18" t="str">
        <f t="shared" si="12"/>
        <v/>
      </c>
      <c r="AD109" s="15" t="str">
        <f t="shared" si="13"/>
        <v/>
      </c>
      <c r="AE109" s="15" t="str">
        <f t="shared" si="14"/>
        <v/>
      </c>
      <c r="AF109" s="15" t="str">
        <f t="shared" si="15"/>
        <v/>
      </c>
      <c r="AG109" s="18">
        <f>IF(AND(S109=1,Z109="Y"),IF(Settings!$B$6="Percentage",IF(AD109=0,0,AC109*AA109*(N109/AD109)),IF(Settings!$B$6="Points",IF(AF109=0,0,AC109*(N109*AB109)/AF109),IF(Settings!$B$6="Equally",IF(AE109=0,0,AC109*N109/AE109),0))),0)</f>
        <v>0</v>
      </c>
      <c r="AH109" s="18" t="str">
        <f t="shared" si="16"/>
        <v/>
      </c>
      <c r="AI109" s="15">
        <f>IF(S109=1,IF(COUNTIFS($R$2:R109,R109,$S$2:S109,1)=1,1,0),0)</f>
        <v>0</v>
      </c>
      <c r="AJ109" s="15">
        <f>SUM($AI$2:AI109)</f>
        <v>12</v>
      </c>
    </row>
    <row r="110" spans="2:36">
      <c r="R110" s="15" t="str">
        <f t="shared" si="17"/>
        <v/>
      </c>
      <c r="S110" s="15">
        <f t="shared" si="9"/>
        <v>0</v>
      </c>
      <c r="T110" s="16" t="str">
        <f>IF(S110=1, DATE(YEAR(Settings!$B$3), MONTH(D110), DAY(D110)), "")</f>
        <v/>
      </c>
      <c r="U110" s="15" t="str">
        <f>IF(S110=1,IFERROR(INDEX(Settings!$B$12:$B$41,MATCH($B110,Settings!$A$12:$A$41,0)),"N"),"")</f>
        <v/>
      </c>
      <c r="V110" s="15" t="str">
        <f>IF(S110=1,IFERROR(INDEX(Settings!$C$12:$C$41,MATCH($B110,Settings!$A$12:$A$41,0)),""),"")</f>
        <v/>
      </c>
      <c r="W110" s="17">
        <f>IF(S110=1,IFERROR(INDEX(Settings!$D$12:$D$41,MATCH($B110,Settings!$A$12:$A$41,0)),0),0)</f>
        <v>0</v>
      </c>
      <c r="X110" s="18">
        <f t="shared" si="10"/>
        <v>0</v>
      </c>
      <c r="Y110" s="18" t="str">
        <f t="shared" si="11"/>
        <v/>
      </c>
      <c r="Z110" s="15" t="str">
        <f>IF(S110=1,IFERROR(INDEX(Settings!$E$12:$E$41,MATCH($B110,Settings!$A$12:$A$41,0)),"N"),"")</f>
        <v/>
      </c>
      <c r="AA110" s="17">
        <f>IF(S110=1,IFERROR(INDEX(Settings!$F$12:$F$41,MATCH($B110,Settings!$A$12:$A$41,0)),0),0)</f>
        <v>0</v>
      </c>
      <c r="AB110" s="15">
        <f>IF(S110=1,IFERROR(INDEX(Settings!$G$12:$G$41,MATCH($B110,Settings!$A$12:$A$41,0)),0),0)</f>
        <v>0</v>
      </c>
      <c r="AC110" s="18" t="str">
        <f t="shared" si="12"/>
        <v/>
      </c>
      <c r="AD110" s="15" t="str">
        <f t="shared" si="13"/>
        <v/>
      </c>
      <c r="AE110" s="15" t="str">
        <f t="shared" si="14"/>
        <v/>
      </c>
      <c r="AF110" s="15" t="str">
        <f t="shared" si="15"/>
        <v/>
      </c>
      <c r="AG110" s="18">
        <f>IF(AND(S110=1,Z110="Y"),IF(Settings!$B$6="Percentage",IF(AD110=0,0,AC110*AA110*(N110/AD110)),IF(Settings!$B$6="Points",IF(AF110=0,0,AC110*(N110*AB110)/AF110),IF(Settings!$B$6="Equally",IF(AE110=0,0,AC110*N110/AE110),0))),0)</f>
        <v>0</v>
      </c>
      <c r="AH110" s="18" t="str">
        <f t="shared" si="16"/>
        <v/>
      </c>
      <c r="AI110" s="15">
        <f>IF(S110=1,IF(COUNTIFS($R$2:R110,R110,$S$2:S110,1)=1,1,0),0)</f>
        <v>0</v>
      </c>
      <c r="AJ110" s="15">
        <f>SUM($AI$2:AI110)</f>
        <v>12</v>
      </c>
    </row>
    <row r="111" spans="2:36">
      <c r="R111" s="15" t="str">
        <f t="shared" si="17"/>
        <v/>
      </c>
      <c r="S111" s="15">
        <f t="shared" si="9"/>
        <v>0</v>
      </c>
      <c r="T111" s="16" t="str">
        <f>IF(S111=1, DATE(YEAR(Settings!$B$3), MONTH(D111), DAY(D111)), "")</f>
        <v/>
      </c>
      <c r="U111" s="15" t="str">
        <f>IF(S111=1,IFERROR(INDEX(Settings!$B$12:$B$41,MATCH($B111,Settings!$A$12:$A$41,0)),"N"),"")</f>
        <v/>
      </c>
      <c r="V111" s="15" t="str">
        <f>IF(S111=1,IFERROR(INDEX(Settings!$C$12:$C$41,MATCH($B111,Settings!$A$12:$A$41,0)),""),"")</f>
        <v/>
      </c>
      <c r="W111" s="17">
        <f>IF(S111=1,IFERROR(INDEX(Settings!$D$12:$D$41,MATCH($B111,Settings!$A$12:$A$41,0)),0),0)</f>
        <v>0</v>
      </c>
      <c r="X111" s="18">
        <f t="shared" si="10"/>
        <v>0</v>
      </c>
      <c r="Y111" s="18" t="str">
        <f t="shared" si="11"/>
        <v/>
      </c>
      <c r="Z111" s="15" t="str">
        <f>IF(S111=1,IFERROR(INDEX(Settings!$E$12:$E$41,MATCH($B111,Settings!$A$12:$A$41,0)),"N"),"")</f>
        <v/>
      </c>
      <c r="AA111" s="17">
        <f>IF(S111=1,IFERROR(INDEX(Settings!$F$12:$F$41,MATCH($B111,Settings!$A$12:$A$41,0)),0),0)</f>
        <v>0</v>
      </c>
      <c r="AB111" s="15">
        <f>IF(S111=1,IFERROR(INDEX(Settings!$G$12:$G$41,MATCH($B111,Settings!$A$12:$A$41,0)),0),0)</f>
        <v>0</v>
      </c>
      <c r="AC111" s="18" t="str">
        <f t="shared" si="12"/>
        <v/>
      </c>
      <c r="AD111" s="15" t="str">
        <f t="shared" si="13"/>
        <v/>
      </c>
      <c r="AE111" s="15" t="str">
        <f t="shared" si="14"/>
        <v/>
      </c>
      <c r="AF111" s="15" t="str">
        <f t="shared" si="15"/>
        <v/>
      </c>
      <c r="AG111" s="18">
        <f>IF(AND(S111=1,Z111="Y"),IF(Settings!$B$6="Percentage",IF(AD111=0,0,AC111*AA111*(N111/AD111)),IF(Settings!$B$6="Points",IF(AF111=0,0,AC111*(N111*AB111)/AF111),IF(Settings!$B$6="Equally",IF(AE111=0,0,AC111*N111/AE111),0))),0)</f>
        <v>0</v>
      </c>
      <c r="AH111" s="18" t="str">
        <f t="shared" si="16"/>
        <v/>
      </c>
      <c r="AI111" s="15">
        <f>IF(S111=1,IF(COUNTIFS($R$2:R111,R111,$S$2:S111,1)=1,1,0),0)</f>
        <v>0</v>
      </c>
      <c r="AJ111" s="15">
        <f>SUM($AI$2:AI111)</f>
        <v>12</v>
      </c>
    </row>
    <row r="112" spans="2:36">
      <c r="R112" s="15" t="str">
        <f t="shared" si="17"/>
        <v/>
      </c>
      <c r="S112" s="15">
        <f t="shared" si="9"/>
        <v>0</v>
      </c>
      <c r="T112" s="16" t="str">
        <f>IF(S112=1, DATE(YEAR(Settings!$B$3), MONTH(D112), DAY(D112)), "")</f>
        <v/>
      </c>
      <c r="U112" s="15" t="str">
        <f>IF(S112=1,IFERROR(INDEX(Settings!$B$12:$B$41,MATCH($B112,Settings!$A$12:$A$41,0)),"N"),"")</f>
        <v/>
      </c>
      <c r="V112" s="15" t="str">
        <f>IF(S112=1,IFERROR(INDEX(Settings!$C$12:$C$41,MATCH($B112,Settings!$A$12:$A$41,0)),""),"")</f>
        <v/>
      </c>
      <c r="W112" s="17">
        <f>IF(S112=1,IFERROR(INDEX(Settings!$D$12:$D$41,MATCH($B112,Settings!$A$12:$A$41,0)),0),0)</f>
        <v>0</v>
      </c>
      <c r="X112" s="18">
        <f t="shared" si="10"/>
        <v>0</v>
      </c>
      <c r="Y112" s="18" t="str">
        <f t="shared" si="11"/>
        <v/>
      </c>
      <c r="Z112" s="15" t="str">
        <f>IF(S112=1,IFERROR(INDEX(Settings!$E$12:$E$41,MATCH($B112,Settings!$A$12:$A$41,0)),"N"),"")</f>
        <v/>
      </c>
      <c r="AA112" s="17">
        <f>IF(S112=1,IFERROR(INDEX(Settings!$F$12:$F$41,MATCH($B112,Settings!$A$12:$A$41,0)),0),0)</f>
        <v>0</v>
      </c>
      <c r="AB112" s="15">
        <f>IF(S112=1,IFERROR(INDEX(Settings!$G$12:$G$41,MATCH($B112,Settings!$A$12:$A$41,0)),0),0)</f>
        <v>0</v>
      </c>
      <c r="AC112" s="18" t="str">
        <f t="shared" si="12"/>
        <v/>
      </c>
      <c r="AD112" s="15" t="str">
        <f t="shared" si="13"/>
        <v/>
      </c>
      <c r="AE112" s="15" t="str">
        <f t="shared" si="14"/>
        <v/>
      </c>
      <c r="AF112" s="15" t="str">
        <f t="shared" si="15"/>
        <v/>
      </c>
      <c r="AG112" s="18">
        <f>IF(AND(S112=1,Z112="Y"),IF(Settings!$B$6="Percentage",IF(AD112=0,0,AC112*AA112*(N112/AD112)),IF(Settings!$B$6="Points",IF(AF112=0,0,AC112*(N112*AB112)/AF112),IF(Settings!$B$6="Equally",IF(AE112=0,0,AC112*N112/AE112),0))),0)</f>
        <v>0</v>
      </c>
      <c r="AH112" s="18" t="str">
        <f t="shared" si="16"/>
        <v/>
      </c>
      <c r="AI112" s="15">
        <f>IF(S112=1,IF(COUNTIFS($R$2:R112,R112,$S$2:S112,1)=1,1,0),0)</f>
        <v>0</v>
      </c>
      <c r="AJ112" s="15">
        <f>SUM($AI$2:AI112)</f>
        <v>12</v>
      </c>
    </row>
    <row r="113" spans="18:36">
      <c r="R113" s="15" t="str">
        <f t="shared" si="17"/>
        <v/>
      </c>
      <c r="S113" s="15">
        <f t="shared" si="9"/>
        <v>0</v>
      </c>
      <c r="T113" s="16" t="str">
        <f>IF(S113=1, DATE(YEAR(Settings!$B$3), MONTH(D113), DAY(D113)), "")</f>
        <v/>
      </c>
      <c r="U113" s="15" t="str">
        <f>IF(S113=1,IFERROR(INDEX(Settings!$B$12:$B$41,MATCH($B113,Settings!$A$12:$A$41,0)),"N"),"")</f>
        <v/>
      </c>
      <c r="V113" s="15" t="str">
        <f>IF(S113=1,IFERROR(INDEX(Settings!$C$12:$C$41,MATCH($B113,Settings!$A$12:$A$41,0)),""),"")</f>
        <v/>
      </c>
      <c r="W113" s="17">
        <f>IF(S113=1,IFERROR(INDEX(Settings!$D$12:$D$41,MATCH($B113,Settings!$A$12:$A$41,0)),0),0)</f>
        <v>0</v>
      </c>
      <c r="X113" s="18">
        <f t="shared" si="10"/>
        <v>0</v>
      </c>
      <c r="Y113" s="18" t="str">
        <f t="shared" si="11"/>
        <v/>
      </c>
      <c r="Z113" s="15" t="str">
        <f>IF(S113=1,IFERROR(INDEX(Settings!$E$12:$E$41,MATCH($B113,Settings!$A$12:$A$41,0)),"N"),"")</f>
        <v/>
      </c>
      <c r="AA113" s="17">
        <f>IF(S113=1,IFERROR(INDEX(Settings!$F$12:$F$41,MATCH($B113,Settings!$A$12:$A$41,0)),0),0)</f>
        <v>0</v>
      </c>
      <c r="AB113" s="15">
        <f>IF(S113=1,IFERROR(INDEX(Settings!$G$12:$G$41,MATCH($B113,Settings!$A$12:$A$41,0)),0),0)</f>
        <v>0</v>
      </c>
      <c r="AC113" s="18" t="str">
        <f t="shared" si="12"/>
        <v/>
      </c>
      <c r="AD113" s="15" t="str">
        <f t="shared" si="13"/>
        <v/>
      </c>
      <c r="AE113" s="15" t="str">
        <f t="shared" si="14"/>
        <v/>
      </c>
      <c r="AF113" s="15" t="str">
        <f t="shared" si="15"/>
        <v/>
      </c>
      <c r="AG113" s="18">
        <f>IF(AND(S113=1,Z113="Y"),IF(Settings!$B$6="Percentage",IF(AD113=0,0,AC113*AA113*(N113/AD113)),IF(Settings!$B$6="Points",IF(AF113=0,0,AC113*(N113*AB113)/AF113),IF(Settings!$B$6="Equally",IF(AE113=0,0,AC113*N113/AE113),0))),0)</f>
        <v>0</v>
      </c>
      <c r="AH113" s="18" t="str">
        <f t="shared" si="16"/>
        <v/>
      </c>
      <c r="AI113" s="15">
        <f>IF(S113=1,IF(COUNTIFS($R$2:R113,R113,$S$2:S113,1)=1,1,0),0)</f>
        <v>0</v>
      </c>
      <c r="AJ113" s="15">
        <f>SUM($AI$2:AI113)</f>
        <v>12</v>
      </c>
    </row>
    <row r="114" spans="18:36">
      <c r="R114" s="15" t="str">
        <f t="shared" si="17"/>
        <v/>
      </c>
      <c r="S114" s="15">
        <f t="shared" si="9"/>
        <v>0</v>
      </c>
      <c r="T114" s="16" t="str">
        <f>IF(S114=1, DATE(YEAR(Settings!$B$3), MONTH(D114), DAY(D114)), "")</f>
        <v/>
      </c>
      <c r="U114" s="15" t="str">
        <f>IF(S114=1,IFERROR(INDEX(Settings!$B$12:$B$41,MATCH($B114,Settings!$A$12:$A$41,0)),"N"),"")</f>
        <v/>
      </c>
      <c r="V114" s="15" t="str">
        <f>IF(S114=1,IFERROR(INDEX(Settings!$C$12:$C$41,MATCH($B114,Settings!$A$12:$A$41,0)),""),"")</f>
        <v/>
      </c>
      <c r="W114" s="17">
        <f>IF(S114=1,IFERROR(INDEX(Settings!$D$12:$D$41,MATCH($B114,Settings!$A$12:$A$41,0)),0),0)</f>
        <v>0</v>
      </c>
      <c r="X114" s="18">
        <f t="shared" si="10"/>
        <v>0</v>
      </c>
      <c r="Y114" s="18" t="str">
        <f t="shared" si="11"/>
        <v/>
      </c>
      <c r="Z114" s="15" t="str">
        <f>IF(S114=1,IFERROR(INDEX(Settings!$E$12:$E$41,MATCH($B114,Settings!$A$12:$A$41,0)),"N"),"")</f>
        <v/>
      </c>
      <c r="AA114" s="17">
        <f>IF(S114=1,IFERROR(INDEX(Settings!$F$12:$F$41,MATCH($B114,Settings!$A$12:$A$41,0)),0),0)</f>
        <v>0</v>
      </c>
      <c r="AB114" s="15">
        <f>IF(S114=1,IFERROR(INDEX(Settings!$G$12:$G$41,MATCH($B114,Settings!$A$12:$A$41,0)),0),0)</f>
        <v>0</v>
      </c>
      <c r="AC114" s="18" t="str">
        <f t="shared" si="12"/>
        <v/>
      </c>
      <c r="AD114" s="15" t="str">
        <f t="shared" si="13"/>
        <v/>
      </c>
      <c r="AE114" s="15" t="str">
        <f t="shared" si="14"/>
        <v/>
      </c>
      <c r="AF114" s="15" t="str">
        <f t="shared" si="15"/>
        <v/>
      </c>
      <c r="AG114" s="18">
        <f>IF(AND(S114=1,Z114="Y"),IF(Settings!$B$6="Percentage",IF(AD114=0,0,AC114*AA114*(N114/AD114)),IF(Settings!$B$6="Points",IF(AF114=0,0,AC114*(N114*AB114)/AF114),IF(Settings!$B$6="Equally",IF(AE114=0,0,AC114*N114/AE114),0))),0)</f>
        <v>0</v>
      </c>
      <c r="AH114" s="18" t="str">
        <f t="shared" si="16"/>
        <v/>
      </c>
      <c r="AI114" s="15">
        <f>IF(S114=1,IF(COUNTIFS($R$2:R114,R114,$S$2:S114,1)=1,1,0),0)</f>
        <v>0</v>
      </c>
      <c r="AJ114" s="15">
        <f>SUM($AI$2:AI114)</f>
        <v>12</v>
      </c>
    </row>
    <row r="115" spans="18:36">
      <c r="R115" s="15" t="str">
        <f t="shared" si="17"/>
        <v/>
      </c>
      <c r="S115" s="15">
        <f t="shared" si="9"/>
        <v>0</v>
      </c>
      <c r="T115" s="16" t="str">
        <f>IF(S115=1, DATE(YEAR(Settings!$B$3), MONTH(D115), DAY(D115)), "")</f>
        <v/>
      </c>
      <c r="U115" s="15" t="str">
        <f>IF(S115=1,IFERROR(INDEX(Settings!$B$12:$B$41,MATCH($B115,Settings!$A$12:$A$41,0)),"N"),"")</f>
        <v/>
      </c>
      <c r="V115" s="15" t="str">
        <f>IF(S115=1,IFERROR(INDEX(Settings!$C$12:$C$41,MATCH($B115,Settings!$A$12:$A$41,0)),""),"")</f>
        <v/>
      </c>
      <c r="W115" s="17">
        <f>IF(S115=1,IFERROR(INDEX(Settings!$D$12:$D$41,MATCH($B115,Settings!$A$12:$A$41,0)),0),0)</f>
        <v>0</v>
      </c>
      <c r="X115" s="18">
        <f t="shared" si="10"/>
        <v>0</v>
      </c>
      <c r="Y115" s="18" t="str">
        <f t="shared" si="11"/>
        <v/>
      </c>
      <c r="Z115" s="15" t="str">
        <f>IF(S115=1,IFERROR(INDEX(Settings!$E$12:$E$41,MATCH($B115,Settings!$A$12:$A$41,0)),"N"),"")</f>
        <v/>
      </c>
      <c r="AA115" s="17">
        <f>IF(S115=1,IFERROR(INDEX(Settings!$F$12:$F$41,MATCH($B115,Settings!$A$12:$A$41,0)),0),0)</f>
        <v>0</v>
      </c>
      <c r="AB115" s="15">
        <f>IF(S115=1,IFERROR(INDEX(Settings!$G$12:$G$41,MATCH($B115,Settings!$A$12:$A$41,0)),0),0)</f>
        <v>0</v>
      </c>
      <c r="AC115" s="18" t="str">
        <f t="shared" si="12"/>
        <v/>
      </c>
      <c r="AD115" s="15" t="str">
        <f t="shared" si="13"/>
        <v/>
      </c>
      <c r="AE115" s="15" t="str">
        <f t="shared" si="14"/>
        <v/>
      </c>
      <c r="AF115" s="15" t="str">
        <f t="shared" si="15"/>
        <v/>
      </c>
      <c r="AG115" s="18">
        <f>IF(AND(S115=1,Z115="Y"),IF(Settings!$B$6="Percentage",IF(AD115=0,0,AC115*AA115*(N115/AD115)),IF(Settings!$B$6="Points",IF(AF115=0,0,AC115*(N115*AB115)/AF115),IF(Settings!$B$6="Equally",IF(AE115=0,0,AC115*N115/AE115),0))),0)</f>
        <v>0</v>
      </c>
      <c r="AH115" s="18" t="str">
        <f t="shared" si="16"/>
        <v/>
      </c>
      <c r="AI115" s="15">
        <f>IF(S115=1,IF(COUNTIFS($R$2:R115,R115,$S$2:S115,1)=1,1,0),0)</f>
        <v>0</v>
      </c>
      <c r="AJ115" s="15">
        <f>SUM($AI$2:AI115)</f>
        <v>12</v>
      </c>
    </row>
    <row r="116" spans="18:36">
      <c r="R116" s="15" t="str">
        <f t="shared" si="17"/>
        <v/>
      </c>
      <c r="S116" s="15">
        <f t="shared" si="9"/>
        <v>0</v>
      </c>
      <c r="T116" s="16" t="str">
        <f>IF(S116=1, DATE(YEAR(Settings!$B$3), MONTH(D116), DAY(D116)), "")</f>
        <v/>
      </c>
      <c r="U116" s="15" t="str">
        <f>IF(S116=1,IFERROR(INDEX(Settings!$B$12:$B$41,MATCH($B116,Settings!$A$12:$A$41,0)),"N"),"")</f>
        <v/>
      </c>
      <c r="V116" s="15" t="str">
        <f>IF(S116=1,IFERROR(INDEX(Settings!$C$12:$C$41,MATCH($B116,Settings!$A$12:$A$41,0)),""),"")</f>
        <v/>
      </c>
      <c r="W116" s="17">
        <f>IF(S116=1,IFERROR(INDEX(Settings!$D$12:$D$41,MATCH($B116,Settings!$A$12:$A$41,0)),0),0)</f>
        <v>0</v>
      </c>
      <c r="X116" s="18">
        <f t="shared" si="10"/>
        <v>0</v>
      </c>
      <c r="Y116" s="18" t="str">
        <f t="shared" si="11"/>
        <v/>
      </c>
      <c r="Z116" s="15" t="str">
        <f>IF(S116=1,IFERROR(INDEX(Settings!$E$12:$E$41,MATCH($B116,Settings!$A$12:$A$41,0)),"N"),"")</f>
        <v/>
      </c>
      <c r="AA116" s="17">
        <f>IF(S116=1,IFERROR(INDEX(Settings!$F$12:$F$41,MATCH($B116,Settings!$A$12:$A$41,0)),0),0)</f>
        <v>0</v>
      </c>
      <c r="AB116" s="15">
        <f>IF(S116=1,IFERROR(INDEX(Settings!$G$12:$G$41,MATCH($B116,Settings!$A$12:$A$41,0)),0),0)</f>
        <v>0</v>
      </c>
      <c r="AC116" s="18" t="str">
        <f t="shared" si="12"/>
        <v/>
      </c>
      <c r="AD116" s="15" t="str">
        <f t="shared" si="13"/>
        <v/>
      </c>
      <c r="AE116" s="15" t="str">
        <f t="shared" si="14"/>
        <v/>
      </c>
      <c r="AF116" s="15" t="str">
        <f t="shared" si="15"/>
        <v/>
      </c>
      <c r="AG116" s="18">
        <f>IF(AND(S116=1,Z116="Y"),IF(Settings!$B$6="Percentage",IF(AD116=0,0,AC116*AA116*(N116/AD116)),IF(Settings!$B$6="Points",IF(AF116=0,0,AC116*(N116*AB116)/AF116),IF(Settings!$B$6="Equally",IF(AE116=0,0,AC116*N116/AE116),0))),0)</f>
        <v>0</v>
      </c>
      <c r="AH116" s="18" t="str">
        <f t="shared" si="16"/>
        <v/>
      </c>
      <c r="AI116" s="15">
        <f>IF(S116=1,IF(COUNTIFS($R$2:R116,R116,$S$2:S116,1)=1,1,0),0)</f>
        <v>0</v>
      </c>
      <c r="AJ116" s="15">
        <f>SUM($AI$2:AI116)</f>
        <v>12</v>
      </c>
    </row>
    <row r="117" spans="18:36">
      <c r="R117" s="15" t="str">
        <f t="shared" si="17"/>
        <v/>
      </c>
      <c r="S117" s="15">
        <f t="shared" si="9"/>
        <v>0</v>
      </c>
      <c r="T117" s="16" t="str">
        <f>IF(S117=1, DATE(YEAR(Settings!$B$3), MONTH(D117), DAY(D117)), "")</f>
        <v/>
      </c>
      <c r="U117" s="15" t="str">
        <f>IF(S117=1,IFERROR(INDEX(Settings!$B$12:$B$41,MATCH($B117,Settings!$A$12:$A$41,0)),"N"),"")</f>
        <v/>
      </c>
      <c r="V117" s="15" t="str">
        <f>IF(S117=1,IFERROR(INDEX(Settings!$C$12:$C$41,MATCH($B117,Settings!$A$12:$A$41,0)),""),"")</f>
        <v/>
      </c>
      <c r="W117" s="17">
        <f>IF(S117=1,IFERROR(INDEX(Settings!$D$12:$D$41,MATCH($B117,Settings!$A$12:$A$41,0)),0),0)</f>
        <v>0</v>
      </c>
      <c r="X117" s="18">
        <f t="shared" si="10"/>
        <v>0</v>
      </c>
      <c r="Y117" s="18" t="str">
        <f t="shared" si="11"/>
        <v/>
      </c>
      <c r="Z117" s="15" t="str">
        <f>IF(S117=1,IFERROR(INDEX(Settings!$E$12:$E$41,MATCH($B117,Settings!$A$12:$A$41,0)),"N"),"")</f>
        <v/>
      </c>
      <c r="AA117" s="17">
        <f>IF(S117=1,IFERROR(INDEX(Settings!$F$12:$F$41,MATCH($B117,Settings!$A$12:$A$41,0)),0),0)</f>
        <v>0</v>
      </c>
      <c r="AB117" s="15">
        <f>IF(S117=1,IFERROR(INDEX(Settings!$G$12:$G$41,MATCH($B117,Settings!$A$12:$A$41,0)),0),0)</f>
        <v>0</v>
      </c>
      <c r="AC117" s="18" t="str">
        <f t="shared" si="12"/>
        <v/>
      </c>
      <c r="AD117" s="15" t="str">
        <f t="shared" si="13"/>
        <v/>
      </c>
      <c r="AE117" s="15" t="str">
        <f t="shared" si="14"/>
        <v/>
      </c>
      <c r="AF117" s="15" t="str">
        <f t="shared" si="15"/>
        <v/>
      </c>
      <c r="AG117" s="18">
        <f>IF(AND(S117=1,Z117="Y"),IF(Settings!$B$6="Percentage",IF(AD117=0,0,AC117*AA117*(N117/AD117)),IF(Settings!$B$6="Points",IF(AF117=0,0,AC117*(N117*AB117)/AF117),IF(Settings!$B$6="Equally",IF(AE117=0,0,AC117*N117/AE117),0))),0)</f>
        <v>0</v>
      </c>
      <c r="AH117" s="18" t="str">
        <f t="shared" si="16"/>
        <v/>
      </c>
      <c r="AI117" s="15">
        <f>IF(S117=1,IF(COUNTIFS($R$2:R117,R117,$S$2:S117,1)=1,1,0),0)</f>
        <v>0</v>
      </c>
      <c r="AJ117" s="15">
        <f>SUM($AI$2:AI117)</f>
        <v>12</v>
      </c>
    </row>
    <row r="118" spans="18:36">
      <c r="R118" s="15" t="str">
        <f t="shared" si="17"/>
        <v/>
      </c>
      <c r="S118" s="15">
        <f t="shared" si="9"/>
        <v>0</v>
      </c>
      <c r="T118" s="16" t="str">
        <f>IF(S118=1, DATE(YEAR(Settings!$B$3), MONTH(D118), DAY(D118)), "")</f>
        <v/>
      </c>
      <c r="U118" s="15" t="str">
        <f>IF(S118=1,IFERROR(INDEX(Settings!$B$12:$B$41,MATCH($B118,Settings!$A$12:$A$41,0)),"N"),"")</f>
        <v/>
      </c>
      <c r="V118" s="15" t="str">
        <f>IF(S118=1,IFERROR(INDEX(Settings!$C$12:$C$41,MATCH($B118,Settings!$A$12:$A$41,0)),""),"")</f>
        <v/>
      </c>
      <c r="W118" s="17">
        <f>IF(S118=1,IFERROR(INDEX(Settings!$D$12:$D$41,MATCH($B118,Settings!$A$12:$A$41,0)),0),0)</f>
        <v>0</v>
      </c>
      <c r="X118" s="18">
        <f t="shared" si="10"/>
        <v>0</v>
      </c>
      <c r="Y118" s="18" t="str">
        <f t="shared" si="11"/>
        <v/>
      </c>
      <c r="Z118" s="15" t="str">
        <f>IF(S118=1,IFERROR(INDEX(Settings!$E$12:$E$41,MATCH($B118,Settings!$A$12:$A$41,0)),"N"),"")</f>
        <v/>
      </c>
      <c r="AA118" s="17">
        <f>IF(S118=1,IFERROR(INDEX(Settings!$F$12:$F$41,MATCH($B118,Settings!$A$12:$A$41,0)),0),0)</f>
        <v>0</v>
      </c>
      <c r="AB118" s="15">
        <f>IF(S118=1,IFERROR(INDEX(Settings!$G$12:$G$41,MATCH($B118,Settings!$A$12:$A$41,0)),0),0)</f>
        <v>0</v>
      </c>
      <c r="AC118" s="18" t="str">
        <f t="shared" si="12"/>
        <v/>
      </c>
      <c r="AD118" s="15" t="str">
        <f t="shared" si="13"/>
        <v/>
      </c>
      <c r="AE118" s="15" t="str">
        <f t="shared" si="14"/>
        <v/>
      </c>
      <c r="AF118" s="15" t="str">
        <f t="shared" si="15"/>
        <v/>
      </c>
      <c r="AG118" s="18">
        <f>IF(AND(S118=1,Z118="Y"),IF(Settings!$B$6="Percentage",IF(AD118=0,0,AC118*AA118*(N118/AD118)),IF(Settings!$B$6="Points",IF(AF118=0,0,AC118*(N118*AB118)/AF118),IF(Settings!$B$6="Equally",IF(AE118=0,0,AC118*N118/AE118),0))),0)</f>
        <v>0</v>
      </c>
      <c r="AH118" s="18" t="str">
        <f t="shared" si="16"/>
        <v/>
      </c>
      <c r="AI118" s="15">
        <f>IF(S118=1,IF(COUNTIFS($R$2:R118,R118,$S$2:S118,1)=1,1,0),0)</f>
        <v>0</v>
      </c>
      <c r="AJ118" s="15">
        <f>SUM($AI$2:AI118)</f>
        <v>12</v>
      </c>
    </row>
    <row r="119" spans="18:36">
      <c r="R119" s="15" t="str">
        <f t="shared" si="17"/>
        <v/>
      </c>
      <c r="S119" s="15">
        <f t="shared" si="9"/>
        <v>0</v>
      </c>
      <c r="T119" s="16" t="str">
        <f>IF(S119=1, DATE(YEAR(Settings!$B$3), MONTH(D119), DAY(D119)), "")</f>
        <v/>
      </c>
      <c r="U119" s="15" t="str">
        <f>IF(S119=1,IFERROR(INDEX(Settings!$B$12:$B$41,MATCH($B119,Settings!$A$12:$A$41,0)),"N"),"")</f>
        <v/>
      </c>
      <c r="V119" s="15" t="str">
        <f>IF(S119=1,IFERROR(INDEX(Settings!$C$12:$C$41,MATCH($B119,Settings!$A$12:$A$41,0)),""),"")</f>
        <v/>
      </c>
      <c r="W119" s="17">
        <f>IF(S119=1,IFERROR(INDEX(Settings!$D$12:$D$41,MATCH($B119,Settings!$A$12:$A$41,0)),0),0)</f>
        <v>0</v>
      </c>
      <c r="X119" s="18">
        <f t="shared" si="10"/>
        <v>0</v>
      </c>
      <c r="Y119" s="18" t="str">
        <f t="shared" si="11"/>
        <v/>
      </c>
      <c r="Z119" s="15" t="str">
        <f>IF(S119=1,IFERROR(INDEX(Settings!$E$12:$E$41,MATCH($B119,Settings!$A$12:$A$41,0)),"N"),"")</f>
        <v/>
      </c>
      <c r="AA119" s="17">
        <f>IF(S119=1,IFERROR(INDEX(Settings!$F$12:$F$41,MATCH($B119,Settings!$A$12:$A$41,0)),0),0)</f>
        <v>0</v>
      </c>
      <c r="AB119" s="15">
        <f>IF(S119=1,IFERROR(INDEX(Settings!$G$12:$G$41,MATCH($B119,Settings!$A$12:$A$41,0)),0),0)</f>
        <v>0</v>
      </c>
      <c r="AC119" s="18" t="str">
        <f t="shared" si="12"/>
        <v/>
      </c>
      <c r="AD119" s="15" t="str">
        <f t="shared" si="13"/>
        <v/>
      </c>
      <c r="AE119" s="15" t="str">
        <f t="shared" si="14"/>
        <v/>
      </c>
      <c r="AF119" s="15" t="str">
        <f t="shared" si="15"/>
        <v/>
      </c>
      <c r="AG119" s="18">
        <f>IF(AND(S119=1,Z119="Y"),IF(Settings!$B$6="Percentage",IF(AD119=0,0,AC119*AA119*(N119/AD119)),IF(Settings!$B$6="Points",IF(AF119=0,0,AC119*(N119*AB119)/AF119),IF(Settings!$B$6="Equally",IF(AE119=0,0,AC119*N119/AE119),0))),0)</f>
        <v>0</v>
      </c>
      <c r="AH119" s="18" t="str">
        <f t="shared" si="16"/>
        <v/>
      </c>
      <c r="AI119" s="15">
        <f>IF(S119=1,IF(COUNTIFS($R$2:R119,R119,$S$2:S119,1)=1,1,0),0)</f>
        <v>0</v>
      </c>
      <c r="AJ119" s="15">
        <f>SUM($AI$2:AI119)</f>
        <v>12</v>
      </c>
    </row>
    <row r="120" spans="18:36">
      <c r="R120" s="15" t="str">
        <f t="shared" si="17"/>
        <v/>
      </c>
      <c r="S120" s="15">
        <f t="shared" si="9"/>
        <v>0</v>
      </c>
      <c r="T120" s="16" t="str">
        <f>IF(S120=1, DATE(YEAR(Settings!$B$3), MONTH(D120), DAY(D120)), "")</f>
        <v/>
      </c>
      <c r="U120" s="15" t="str">
        <f>IF(S120=1,IFERROR(INDEX(Settings!$B$12:$B$41,MATCH($B120,Settings!$A$12:$A$41,0)),"N"),"")</f>
        <v/>
      </c>
      <c r="V120" s="15" t="str">
        <f>IF(S120=1,IFERROR(INDEX(Settings!$C$12:$C$41,MATCH($B120,Settings!$A$12:$A$41,0)),""),"")</f>
        <v/>
      </c>
      <c r="W120" s="17">
        <f>IF(S120=1,IFERROR(INDEX(Settings!$D$12:$D$41,MATCH($B120,Settings!$A$12:$A$41,0)),0),0)</f>
        <v>0</v>
      </c>
      <c r="X120" s="18">
        <f t="shared" si="10"/>
        <v>0</v>
      </c>
      <c r="Y120" s="18" t="str">
        <f t="shared" si="11"/>
        <v/>
      </c>
      <c r="Z120" s="15" t="str">
        <f>IF(S120=1,IFERROR(INDEX(Settings!$E$12:$E$41,MATCH($B120,Settings!$A$12:$A$41,0)),"N"),"")</f>
        <v/>
      </c>
      <c r="AA120" s="17">
        <f>IF(S120=1,IFERROR(INDEX(Settings!$F$12:$F$41,MATCH($B120,Settings!$A$12:$A$41,0)),0),0)</f>
        <v>0</v>
      </c>
      <c r="AB120" s="15">
        <f>IF(S120=1,IFERROR(INDEX(Settings!$G$12:$G$41,MATCH($B120,Settings!$A$12:$A$41,0)),0),0)</f>
        <v>0</v>
      </c>
      <c r="AC120" s="18" t="str">
        <f t="shared" si="12"/>
        <v/>
      </c>
      <c r="AD120" s="15" t="str">
        <f t="shared" si="13"/>
        <v/>
      </c>
      <c r="AE120" s="15" t="str">
        <f t="shared" si="14"/>
        <v/>
      </c>
      <c r="AF120" s="15" t="str">
        <f t="shared" si="15"/>
        <v/>
      </c>
      <c r="AG120" s="18">
        <f>IF(AND(S120=1,Z120="Y"),IF(Settings!$B$6="Percentage",IF(AD120=0,0,AC120*AA120*(N120/AD120)),IF(Settings!$B$6="Points",IF(AF120=0,0,AC120*(N120*AB120)/AF120),IF(Settings!$B$6="Equally",IF(AE120=0,0,AC120*N120/AE120),0))),0)</f>
        <v>0</v>
      </c>
      <c r="AH120" s="18" t="str">
        <f t="shared" si="16"/>
        <v/>
      </c>
      <c r="AI120" s="15">
        <f>IF(S120=1,IF(COUNTIFS($R$2:R120,R120,$S$2:S120,1)=1,1,0),0)</f>
        <v>0</v>
      </c>
      <c r="AJ120" s="15">
        <f>SUM($AI$2:AI120)</f>
        <v>12</v>
      </c>
    </row>
    <row r="121" spans="18:36">
      <c r="R121" s="15" t="str">
        <f t="shared" si="17"/>
        <v/>
      </c>
      <c r="S121" s="15">
        <f t="shared" si="9"/>
        <v>0</v>
      </c>
      <c r="T121" s="16" t="str">
        <f>IF(S121=1, DATE(YEAR(Settings!$B$3), MONTH(D121), DAY(D121)), "")</f>
        <v/>
      </c>
      <c r="U121" s="15" t="str">
        <f>IF(S121=1,IFERROR(INDEX(Settings!$B$12:$B$41,MATCH($B121,Settings!$A$12:$A$41,0)),"N"),"")</f>
        <v/>
      </c>
      <c r="V121" s="15" t="str">
        <f>IF(S121=1,IFERROR(INDEX(Settings!$C$12:$C$41,MATCH($B121,Settings!$A$12:$A$41,0)),""),"")</f>
        <v/>
      </c>
      <c r="W121" s="17">
        <f>IF(S121=1,IFERROR(INDEX(Settings!$D$12:$D$41,MATCH($B121,Settings!$A$12:$A$41,0)),0),0)</f>
        <v>0</v>
      </c>
      <c r="X121" s="18">
        <f t="shared" si="10"/>
        <v>0</v>
      </c>
      <c r="Y121" s="18" t="str">
        <f t="shared" si="11"/>
        <v/>
      </c>
      <c r="Z121" s="15" t="str">
        <f>IF(S121=1,IFERROR(INDEX(Settings!$E$12:$E$41,MATCH($B121,Settings!$A$12:$A$41,0)),"N"),"")</f>
        <v/>
      </c>
      <c r="AA121" s="17">
        <f>IF(S121=1,IFERROR(INDEX(Settings!$F$12:$F$41,MATCH($B121,Settings!$A$12:$A$41,0)),0),0)</f>
        <v>0</v>
      </c>
      <c r="AB121" s="15">
        <f>IF(S121=1,IFERROR(INDEX(Settings!$G$12:$G$41,MATCH($B121,Settings!$A$12:$A$41,0)),0),0)</f>
        <v>0</v>
      </c>
      <c r="AC121" s="18" t="str">
        <f t="shared" si="12"/>
        <v/>
      </c>
      <c r="AD121" s="15" t="str">
        <f t="shared" si="13"/>
        <v/>
      </c>
      <c r="AE121" s="15" t="str">
        <f t="shared" si="14"/>
        <v/>
      </c>
      <c r="AF121" s="15" t="str">
        <f t="shared" si="15"/>
        <v/>
      </c>
      <c r="AG121" s="18">
        <f>IF(AND(S121=1,Z121="Y"),IF(Settings!$B$6="Percentage",IF(AD121=0,0,AC121*AA121*(N121/AD121)),IF(Settings!$B$6="Points",IF(AF121=0,0,AC121*(N121*AB121)/AF121),IF(Settings!$B$6="Equally",IF(AE121=0,0,AC121*N121/AE121),0))),0)</f>
        <v>0</v>
      </c>
      <c r="AH121" s="18" t="str">
        <f t="shared" si="16"/>
        <v/>
      </c>
      <c r="AI121" s="15">
        <f>IF(S121=1,IF(COUNTIFS($R$2:R121,R121,$S$2:S121,1)=1,1,0),0)</f>
        <v>0</v>
      </c>
      <c r="AJ121" s="15">
        <f>SUM($AI$2:AI121)</f>
        <v>12</v>
      </c>
    </row>
    <row r="122" spans="18:36">
      <c r="R122" s="15" t="str">
        <f t="shared" si="17"/>
        <v/>
      </c>
      <c r="S122" s="15">
        <f t="shared" si="9"/>
        <v>0</v>
      </c>
      <c r="T122" s="16" t="str">
        <f>IF(S122=1, DATE(YEAR(Settings!$B$3), MONTH(D122), DAY(D122)), "")</f>
        <v/>
      </c>
      <c r="U122" s="15" t="str">
        <f>IF(S122=1,IFERROR(INDEX(Settings!$B$12:$B$41,MATCH($B122,Settings!$A$12:$A$41,0)),"N"),"")</f>
        <v/>
      </c>
      <c r="V122" s="15" t="str">
        <f>IF(S122=1,IFERROR(INDEX(Settings!$C$12:$C$41,MATCH($B122,Settings!$A$12:$A$41,0)),""),"")</f>
        <v/>
      </c>
      <c r="W122" s="17">
        <f>IF(S122=1,IFERROR(INDEX(Settings!$D$12:$D$41,MATCH($B122,Settings!$A$12:$A$41,0)),0),0)</f>
        <v>0</v>
      </c>
      <c r="X122" s="18">
        <f t="shared" si="10"/>
        <v>0</v>
      </c>
      <c r="Y122" s="18" t="str">
        <f t="shared" si="11"/>
        <v/>
      </c>
      <c r="Z122" s="15" t="str">
        <f>IF(S122=1,IFERROR(INDEX(Settings!$E$12:$E$41,MATCH($B122,Settings!$A$12:$A$41,0)),"N"),"")</f>
        <v/>
      </c>
      <c r="AA122" s="17">
        <f>IF(S122=1,IFERROR(INDEX(Settings!$F$12:$F$41,MATCH($B122,Settings!$A$12:$A$41,0)),0),0)</f>
        <v>0</v>
      </c>
      <c r="AB122" s="15">
        <f>IF(S122=1,IFERROR(INDEX(Settings!$G$12:$G$41,MATCH($B122,Settings!$A$12:$A$41,0)),0),0)</f>
        <v>0</v>
      </c>
      <c r="AC122" s="18" t="str">
        <f t="shared" si="12"/>
        <v/>
      </c>
      <c r="AD122" s="15" t="str">
        <f t="shared" si="13"/>
        <v/>
      </c>
      <c r="AE122" s="15" t="str">
        <f t="shared" si="14"/>
        <v/>
      </c>
      <c r="AF122" s="15" t="str">
        <f t="shared" si="15"/>
        <v/>
      </c>
      <c r="AG122" s="18">
        <f>IF(AND(S122=1,Z122="Y"),IF(Settings!$B$6="Percentage",IF(AD122=0,0,AC122*AA122*(N122/AD122)),IF(Settings!$B$6="Points",IF(AF122=0,0,AC122*(N122*AB122)/AF122),IF(Settings!$B$6="Equally",IF(AE122=0,0,AC122*N122/AE122),0))),0)</f>
        <v>0</v>
      </c>
      <c r="AH122" s="18" t="str">
        <f t="shared" si="16"/>
        <v/>
      </c>
      <c r="AI122" s="15">
        <f>IF(S122=1,IF(COUNTIFS($R$2:R122,R122,$S$2:S122,1)=1,1,0),0)</f>
        <v>0</v>
      </c>
      <c r="AJ122" s="15">
        <f>SUM($AI$2:AI122)</f>
        <v>12</v>
      </c>
    </row>
    <row r="123" spans="18:36">
      <c r="R123" s="15" t="str">
        <f t="shared" si="17"/>
        <v/>
      </c>
      <c r="S123" s="15">
        <f t="shared" si="9"/>
        <v>0</v>
      </c>
      <c r="T123" s="16" t="str">
        <f>IF(S123=1, DATE(YEAR(Settings!$B$3), MONTH(D123), DAY(D123)), "")</f>
        <v/>
      </c>
      <c r="U123" s="15" t="str">
        <f>IF(S123=1,IFERROR(INDEX(Settings!$B$12:$B$41,MATCH($B123,Settings!$A$12:$A$41,0)),"N"),"")</f>
        <v/>
      </c>
      <c r="V123" s="15" t="str">
        <f>IF(S123=1,IFERROR(INDEX(Settings!$C$12:$C$41,MATCH($B123,Settings!$A$12:$A$41,0)),""),"")</f>
        <v/>
      </c>
      <c r="W123" s="17">
        <f>IF(S123=1,IFERROR(INDEX(Settings!$D$12:$D$41,MATCH($B123,Settings!$A$12:$A$41,0)),0),0)</f>
        <v>0</v>
      </c>
      <c r="X123" s="18">
        <f t="shared" si="10"/>
        <v>0</v>
      </c>
      <c r="Y123" s="18" t="str">
        <f t="shared" si="11"/>
        <v/>
      </c>
      <c r="Z123" s="15" t="str">
        <f>IF(S123=1,IFERROR(INDEX(Settings!$E$12:$E$41,MATCH($B123,Settings!$A$12:$A$41,0)),"N"),"")</f>
        <v/>
      </c>
      <c r="AA123" s="17">
        <f>IF(S123=1,IFERROR(INDEX(Settings!$F$12:$F$41,MATCH($B123,Settings!$A$12:$A$41,0)),0),0)</f>
        <v>0</v>
      </c>
      <c r="AB123" s="15">
        <f>IF(S123=1,IFERROR(INDEX(Settings!$G$12:$G$41,MATCH($B123,Settings!$A$12:$A$41,0)),0),0)</f>
        <v>0</v>
      </c>
      <c r="AC123" s="18" t="str">
        <f t="shared" si="12"/>
        <v/>
      </c>
      <c r="AD123" s="15" t="str">
        <f t="shared" si="13"/>
        <v/>
      </c>
      <c r="AE123" s="15" t="str">
        <f t="shared" si="14"/>
        <v/>
      </c>
      <c r="AF123" s="15" t="str">
        <f t="shared" si="15"/>
        <v/>
      </c>
      <c r="AG123" s="18">
        <f>IF(AND(S123=1,Z123="Y"),IF(Settings!$B$6="Percentage",IF(AD123=0,0,AC123*AA123*(N123/AD123)),IF(Settings!$B$6="Points",IF(AF123=0,0,AC123*(N123*AB123)/AF123),IF(Settings!$B$6="Equally",IF(AE123=0,0,AC123*N123/AE123),0))),0)</f>
        <v>0</v>
      </c>
      <c r="AH123" s="18" t="str">
        <f t="shared" si="16"/>
        <v/>
      </c>
      <c r="AI123" s="15">
        <f>IF(S123=1,IF(COUNTIFS($R$2:R123,R123,$S$2:S123,1)=1,1,0),0)</f>
        <v>0</v>
      </c>
      <c r="AJ123" s="15">
        <f>SUM($AI$2:AI123)</f>
        <v>12</v>
      </c>
    </row>
    <row r="124" spans="18:36">
      <c r="R124" s="15" t="str">
        <f t="shared" si="17"/>
        <v/>
      </c>
      <c r="S124" s="15">
        <f t="shared" si="9"/>
        <v>0</v>
      </c>
      <c r="T124" s="16" t="str">
        <f>IF(S124=1, DATE(YEAR(Settings!$B$3), MONTH(D124), DAY(D124)), "")</f>
        <v/>
      </c>
      <c r="U124" s="15" t="str">
        <f>IF(S124=1,IFERROR(INDEX(Settings!$B$12:$B$41,MATCH($B124,Settings!$A$12:$A$41,0)),"N"),"")</f>
        <v/>
      </c>
      <c r="V124" s="15" t="str">
        <f>IF(S124=1,IFERROR(INDEX(Settings!$C$12:$C$41,MATCH($B124,Settings!$A$12:$A$41,0)),""),"")</f>
        <v/>
      </c>
      <c r="W124" s="17">
        <f>IF(S124=1,IFERROR(INDEX(Settings!$D$12:$D$41,MATCH($B124,Settings!$A$12:$A$41,0)),0),0)</f>
        <v>0</v>
      </c>
      <c r="X124" s="18">
        <f t="shared" si="10"/>
        <v>0</v>
      </c>
      <c r="Y124" s="18" t="str">
        <f t="shared" si="11"/>
        <v/>
      </c>
      <c r="Z124" s="15" t="str">
        <f>IF(S124=1,IFERROR(INDEX(Settings!$E$12:$E$41,MATCH($B124,Settings!$A$12:$A$41,0)),"N"),"")</f>
        <v/>
      </c>
      <c r="AA124" s="17">
        <f>IF(S124=1,IFERROR(INDEX(Settings!$F$12:$F$41,MATCH($B124,Settings!$A$12:$A$41,0)),0),0)</f>
        <v>0</v>
      </c>
      <c r="AB124" s="15">
        <f>IF(S124=1,IFERROR(INDEX(Settings!$G$12:$G$41,MATCH($B124,Settings!$A$12:$A$41,0)),0),0)</f>
        <v>0</v>
      </c>
      <c r="AC124" s="18" t="str">
        <f t="shared" si="12"/>
        <v/>
      </c>
      <c r="AD124" s="15" t="str">
        <f t="shared" si="13"/>
        <v/>
      </c>
      <c r="AE124" s="15" t="str">
        <f t="shared" si="14"/>
        <v/>
      </c>
      <c r="AF124" s="15" t="str">
        <f t="shared" si="15"/>
        <v/>
      </c>
      <c r="AG124" s="18">
        <f>IF(AND(S124=1,Z124="Y"),IF(Settings!$B$6="Percentage",IF(AD124=0,0,AC124*AA124*(N124/AD124)),IF(Settings!$B$6="Points",IF(AF124=0,0,AC124*(N124*AB124)/AF124),IF(Settings!$B$6="Equally",IF(AE124=0,0,AC124*N124/AE124),0))),0)</f>
        <v>0</v>
      </c>
      <c r="AH124" s="18" t="str">
        <f t="shared" si="16"/>
        <v/>
      </c>
      <c r="AI124" s="15">
        <f>IF(S124=1,IF(COUNTIFS($R$2:R124,R124,$S$2:S124,1)=1,1,0),0)</f>
        <v>0</v>
      </c>
      <c r="AJ124" s="15">
        <f>SUM($AI$2:AI124)</f>
        <v>12</v>
      </c>
    </row>
    <row r="125" spans="18:36">
      <c r="R125" s="15" t="str">
        <f t="shared" si="17"/>
        <v/>
      </c>
      <c r="S125" s="15">
        <f t="shared" si="9"/>
        <v>0</v>
      </c>
      <c r="T125" s="16" t="str">
        <f>IF(S125=1, DATE(YEAR(Settings!$B$3), MONTH(D125), DAY(D125)), "")</f>
        <v/>
      </c>
      <c r="U125" s="15" t="str">
        <f>IF(S125=1,IFERROR(INDEX(Settings!$B$12:$B$41,MATCH($B125,Settings!$A$12:$A$41,0)),"N"),"")</f>
        <v/>
      </c>
      <c r="V125" s="15" t="str">
        <f>IF(S125=1,IFERROR(INDEX(Settings!$C$12:$C$41,MATCH($B125,Settings!$A$12:$A$41,0)),""),"")</f>
        <v/>
      </c>
      <c r="W125" s="17">
        <f>IF(S125=1,IFERROR(INDEX(Settings!$D$12:$D$41,MATCH($B125,Settings!$A$12:$A$41,0)),0),0)</f>
        <v>0</v>
      </c>
      <c r="X125" s="18">
        <f t="shared" si="10"/>
        <v>0</v>
      </c>
      <c r="Y125" s="18" t="str">
        <f t="shared" si="11"/>
        <v/>
      </c>
      <c r="Z125" s="15" t="str">
        <f>IF(S125=1,IFERROR(INDEX(Settings!$E$12:$E$41,MATCH($B125,Settings!$A$12:$A$41,0)),"N"),"")</f>
        <v/>
      </c>
      <c r="AA125" s="17">
        <f>IF(S125=1,IFERROR(INDEX(Settings!$F$12:$F$41,MATCH($B125,Settings!$A$12:$A$41,0)),0),0)</f>
        <v>0</v>
      </c>
      <c r="AB125" s="15">
        <f>IF(S125=1,IFERROR(INDEX(Settings!$G$12:$G$41,MATCH($B125,Settings!$A$12:$A$41,0)),0),0)</f>
        <v>0</v>
      </c>
      <c r="AC125" s="18" t="str">
        <f t="shared" si="12"/>
        <v/>
      </c>
      <c r="AD125" s="15" t="str">
        <f t="shared" si="13"/>
        <v/>
      </c>
      <c r="AE125" s="15" t="str">
        <f t="shared" si="14"/>
        <v/>
      </c>
      <c r="AF125" s="15" t="str">
        <f t="shared" si="15"/>
        <v/>
      </c>
      <c r="AG125" s="18">
        <f>IF(AND(S125=1,Z125="Y"),IF(Settings!$B$6="Percentage",IF(AD125=0,0,AC125*AA125*(N125/AD125)),IF(Settings!$B$6="Points",IF(AF125=0,0,AC125*(N125*AB125)/AF125),IF(Settings!$B$6="Equally",IF(AE125=0,0,AC125*N125/AE125),0))),0)</f>
        <v>0</v>
      </c>
      <c r="AH125" s="18" t="str">
        <f t="shared" si="16"/>
        <v/>
      </c>
      <c r="AI125" s="15">
        <f>IF(S125=1,IF(COUNTIFS($R$2:R125,R125,$S$2:S125,1)=1,1,0),0)</f>
        <v>0</v>
      </c>
      <c r="AJ125" s="15">
        <f>SUM($AI$2:AI125)</f>
        <v>12</v>
      </c>
    </row>
    <row r="126" spans="18:36">
      <c r="R126" s="15" t="str">
        <f t="shared" si="17"/>
        <v/>
      </c>
      <c r="S126" s="15">
        <f t="shared" si="9"/>
        <v>0</v>
      </c>
      <c r="T126" s="16" t="str">
        <f>IF(S126=1, DATE(YEAR(Settings!$B$3), MONTH(D126), DAY(D126)), "")</f>
        <v/>
      </c>
      <c r="U126" s="15" t="str">
        <f>IF(S126=1,IFERROR(INDEX(Settings!$B$12:$B$41,MATCH($B126,Settings!$A$12:$A$41,0)),"N"),"")</f>
        <v/>
      </c>
      <c r="V126" s="15" t="str">
        <f>IF(S126=1,IFERROR(INDEX(Settings!$C$12:$C$41,MATCH($B126,Settings!$A$12:$A$41,0)),""),"")</f>
        <v/>
      </c>
      <c r="W126" s="17">
        <f>IF(S126=1,IFERROR(INDEX(Settings!$D$12:$D$41,MATCH($B126,Settings!$A$12:$A$41,0)),0),0)</f>
        <v>0</v>
      </c>
      <c r="X126" s="18">
        <f t="shared" si="10"/>
        <v>0</v>
      </c>
      <c r="Y126" s="18" t="str">
        <f t="shared" si="11"/>
        <v/>
      </c>
      <c r="Z126" s="15" t="str">
        <f>IF(S126=1,IFERROR(INDEX(Settings!$E$12:$E$41,MATCH($B126,Settings!$A$12:$A$41,0)),"N"),"")</f>
        <v/>
      </c>
      <c r="AA126" s="17">
        <f>IF(S126=1,IFERROR(INDEX(Settings!$F$12:$F$41,MATCH($B126,Settings!$A$12:$A$41,0)),0),0)</f>
        <v>0</v>
      </c>
      <c r="AB126" s="15">
        <f>IF(S126=1,IFERROR(INDEX(Settings!$G$12:$G$41,MATCH($B126,Settings!$A$12:$A$41,0)),0),0)</f>
        <v>0</v>
      </c>
      <c r="AC126" s="18" t="str">
        <f t="shared" si="12"/>
        <v/>
      </c>
      <c r="AD126" s="15" t="str">
        <f t="shared" si="13"/>
        <v/>
      </c>
      <c r="AE126" s="15" t="str">
        <f t="shared" si="14"/>
        <v/>
      </c>
      <c r="AF126" s="15" t="str">
        <f t="shared" si="15"/>
        <v/>
      </c>
      <c r="AG126" s="18">
        <f>IF(AND(S126=1,Z126="Y"),IF(Settings!$B$6="Percentage",IF(AD126=0,0,AC126*AA126*(N126/AD126)),IF(Settings!$B$6="Points",IF(AF126=0,0,AC126*(N126*AB126)/AF126),IF(Settings!$B$6="Equally",IF(AE126=0,0,AC126*N126/AE126),0))),0)</f>
        <v>0</v>
      </c>
      <c r="AH126" s="18" t="str">
        <f t="shared" si="16"/>
        <v/>
      </c>
      <c r="AI126" s="15">
        <f>IF(S126=1,IF(COUNTIFS($R$2:R126,R126,$S$2:S126,1)=1,1,0),0)</f>
        <v>0</v>
      </c>
      <c r="AJ126" s="15">
        <f>SUM($AI$2:AI126)</f>
        <v>12</v>
      </c>
    </row>
    <row r="127" spans="18:36">
      <c r="R127" s="15" t="str">
        <f t="shared" si="17"/>
        <v/>
      </c>
      <c r="S127" s="15">
        <f t="shared" si="9"/>
        <v>0</v>
      </c>
      <c r="T127" s="16" t="str">
        <f>IF(S127=1, DATE(YEAR(Settings!$B$3), MONTH(D127), DAY(D127)), "")</f>
        <v/>
      </c>
      <c r="U127" s="15" t="str">
        <f>IF(S127=1,IFERROR(INDEX(Settings!$B$12:$B$41,MATCH($B127,Settings!$A$12:$A$41,0)),"N"),"")</f>
        <v/>
      </c>
      <c r="V127" s="15" t="str">
        <f>IF(S127=1,IFERROR(INDEX(Settings!$C$12:$C$41,MATCH($B127,Settings!$A$12:$A$41,0)),""),"")</f>
        <v/>
      </c>
      <c r="W127" s="17">
        <f>IF(S127=1,IFERROR(INDEX(Settings!$D$12:$D$41,MATCH($B127,Settings!$A$12:$A$41,0)),0),0)</f>
        <v>0</v>
      </c>
      <c r="X127" s="18">
        <f t="shared" si="10"/>
        <v>0</v>
      </c>
      <c r="Y127" s="18" t="str">
        <f t="shared" si="11"/>
        <v/>
      </c>
      <c r="Z127" s="15" t="str">
        <f>IF(S127=1,IFERROR(INDEX(Settings!$E$12:$E$41,MATCH($B127,Settings!$A$12:$A$41,0)),"N"),"")</f>
        <v/>
      </c>
      <c r="AA127" s="17">
        <f>IF(S127=1,IFERROR(INDEX(Settings!$F$12:$F$41,MATCH($B127,Settings!$A$12:$A$41,0)),0),0)</f>
        <v>0</v>
      </c>
      <c r="AB127" s="15">
        <f>IF(S127=1,IFERROR(INDEX(Settings!$G$12:$G$41,MATCH($B127,Settings!$A$12:$A$41,0)),0),0)</f>
        <v>0</v>
      </c>
      <c r="AC127" s="18" t="str">
        <f t="shared" si="12"/>
        <v/>
      </c>
      <c r="AD127" s="15" t="str">
        <f t="shared" si="13"/>
        <v/>
      </c>
      <c r="AE127" s="15" t="str">
        <f t="shared" si="14"/>
        <v/>
      </c>
      <c r="AF127" s="15" t="str">
        <f t="shared" si="15"/>
        <v/>
      </c>
      <c r="AG127" s="18">
        <f>IF(AND(S127=1,Z127="Y"),IF(Settings!$B$6="Percentage",IF(AD127=0,0,AC127*AA127*(N127/AD127)),IF(Settings!$B$6="Points",IF(AF127=0,0,AC127*(N127*AB127)/AF127),IF(Settings!$B$6="Equally",IF(AE127=0,0,AC127*N127/AE127),0))),0)</f>
        <v>0</v>
      </c>
      <c r="AH127" s="18" t="str">
        <f t="shared" si="16"/>
        <v/>
      </c>
      <c r="AI127" s="15">
        <f>IF(S127=1,IF(COUNTIFS($R$2:R127,R127,$S$2:S127,1)=1,1,0),0)</f>
        <v>0</v>
      </c>
      <c r="AJ127" s="15">
        <f>SUM($AI$2:AI127)</f>
        <v>12</v>
      </c>
    </row>
    <row r="128" spans="18:36">
      <c r="R128" s="15" t="str">
        <f t="shared" si="17"/>
        <v/>
      </c>
      <c r="S128" s="15">
        <f t="shared" si="9"/>
        <v>0</v>
      </c>
      <c r="T128" s="16" t="str">
        <f>IF(S128=1, DATE(YEAR(Settings!$B$3), MONTH(D128), DAY(D128)), "")</f>
        <v/>
      </c>
      <c r="U128" s="15" t="str">
        <f>IF(S128=1,IFERROR(INDEX(Settings!$B$12:$B$41,MATCH($B128,Settings!$A$12:$A$41,0)),"N"),"")</f>
        <v/>
      </c>
      <c r="V128" s="15" t="str">
        <f>IF(S128=1,IFERROR(INDEX(Settings!$C$12:$C$41,MATCH($B128,Settings!$A$12:$A$41,0)),""),"")</f>
        <v/>
      </c>
      <c r="W128" s="17">
        <f>IF(S128=1,IFERROR(INDEX(Settings!$D$12:$D$41,MATCH($B128,Settings!$A$12:$A$41,0)),0),0)</f>
        <v>0</v>
      </c>
      <c r="X128" s="18">
        <f t="shared" si="10"/>
        <v>0</v>
      </c>
      <c r="Y128" s="18" t="str">
        <f t="shared" si="11"/>
        <v/>
      </c>
      <c r="Z128" s="15" t="str">
        <f>IF(S128=1,IFERROR(INDEX(Settings!$E$12:$E$41,MATCH($B128,Settings!$A$12:$A$41,0)),"N"),"")</f>
        <v/>
      </c>
      <c r="AA128" s="17">
        <f>IF(S128=1,IFERROR(INDEX(Settings!$F$12:$F$41,MATCH($B128,Settings!$A$12:$A$41,0)),0),0)</f>
        <v>0</v>
      </c>
      <c r="AB128" s="15">
        <f>IF(S128=1,IFERROR(INDEX(Settings!$G$12:$G$41,MATCH($B128,Settings!$A$12:$A$41,0)),0),0)</f>
        <v>0</v>
      </c>
      <c r="AC128" s="18" t="str">
        <f t="shared" si="12"/>
        <v/>
      </c>
      <c r="AD128" s="15" t="str">
        <f t="shared" si="13"/>
        <v/>
      </c>
      <c r="AE128" s="15" t="str">
        <f t="shared" si="14"/>
        <v/>
      </c>
      <c r="AF128" s="15" t="str">
        <f t="shared" si="15"/>
        <v/>
      </c>
      <c r="AG128" s="18">
        <f>IF(AND(S128=1,Z128="Y"),IF(Settings!$B$6="Percentage",IF(AD128=0,0,AC128*AA128*(N128/AD128)),IF(Settings!$B$6="Points",IF(AF128=0,0,AC128*(N128*AB128)/AF128),IF(Settings!$B$6="Equally",IF(AE128=0,0,AC128*N128/AE128),0))),0)</f>
        <v>0</v>
      </c>
      <c r="AH128" s="18" t="str">
        <f t="shared" si="16"/>
        <v/>
      </c>
      <c r="AI128" s="15">
        <f>IF(S128=1,IF(COUNTIFS($R$2:R128,R128,$S$2:S128,1)=1,1,0),0)</f>
        <v>0</v>
      </c>
      <c r="AJ128" s="15">
        <f>SUM($AI$2:AI128)</f>
        <v>12</v>
      </c>
    </row>
    <row r="129" spans="18:36">
      <c r="R129" s="15" t="str">
        <f t="shared" si="17"/>
        <v/>
      </c>
      <c r="S129" s="15">
        <f t="shared" si="9"/>
        <v>0</v>
      </c>
      <c r="T129" s="16" t="str">
        <f>IF(S129=1, DATE(YEAR(Settings!$B$3), MONTH(D129), DAY(D129)), "")</f>
        <v/>
      </c>
      <c r="U129" s="15" t="str">
        <f>IF(S129=1,IFERROR(INDEX(Settings!$B$12:$B$41,MATCH($B129,Settings!$A$12:$A$41,0)),"N"),"")</f>
        <v/>
      </c>
      <c r="V129" s="15" t="str">
        <f>IF(S129=1,IFERROR(INDEX(Settings!$C$12:$C$41,MATCH($B129,Settings!$A$12:$A$41,0)),""),"")</f>
        <v/>
      </c>
      <c r="W129" s="17">
        <f>IF(S129=1,IFERROR(INDEX(Settings!$D$12:$D$41,MATCH($B129,Settings!$A$12:$A$41,0)),0),0)</f>
        <v>0</v>
      </c>
      <c r="X129" s="18">
        <f t="shared" si="10"/>
        <v>0</v>
      </c>
      <c r="Y129" s="18" t="str">
        <f t="shared" si="11"/>
        <v/>
      </c>
      <c r="Z129" s="15" t="str">
        <f>IF(S129=1,IFERROR(INDEX(Settings!$E$12:$E$41,MATCH($B129,Settings!$A$12:$A$41,0)),"N"),"")</f>
        <v/>
      </c>
      <c r="AA129" s="17">
        <f>IF(S129=1,IFERROR(INDEX(Settings!$F$12:$F$41,MATCH($B129,Settings!$A$12:$A$41,0)),0),0)</f>
        <v>0</v>
      </c>
      <c r="AB129" s="15">
        <f>IF(S129=1,IFERROR(INDEX(Settings!$G$12:$G$41,MATCH($B129,Settings!$A$12:$A$41,0)),0),0)</f>
        <v>0</v>
      </c>
      <c r="AC129" s="18" t="str">
        <f t="shared" si="12"/>
        <v/>
      </c>
      <c r="AD129" s="15" t="str">
        <f t="shared" si="13"/>
        <v/>
      </c>
      <c r="AE129" s="15" t="str">
        <f t="shared" si="14"/>
        <v/>
      </c>
      <c r="AF129" s="15" t="str">
        <f t="shared" si="15"/>
        <v/>
      </c>
      <c r="AG129" s="18">
        <f>IF(AND(S129=1,Z129="Y"),IF(Settings!$B$6="Percentage",IF(AD129=0,0,AC129*AA129*(N129/AD129)),IF(Settings!$B$6="Points",IF(AF129=0,0,AC129*(N129*AB129)/AF129),IF(Settings!$B$6="Equally",IF(AE129=0,0,AC129*N129/AE129),0))),0)</f>
        <v>0</v>
      </c>
      <c r="AH129" s="18" t="str">
        <f t="shared" si="16"/>
        <v/>
      </c>
      <c r="AI129" s="15">
        <f>IF(S129=1,IF(COUNTIFS($R$2:R129,R129,$S$2:S129,1)=1,1,0),0)</f>
        <v>0</v>
      </c>
      <c r="AJ129" s="15">
        <f>SUM($AI$2:AI129)</f>
        <v>12</v>
      </c>
    </row>
    <row r="130" spans="18:36">
      <c r="R130" s="15" t="str">
        <f t="shared" si="17"/>
        <v/>
      </c>
      <c r="S130" s="15">
        <f t="shared" ref="S130:S193" si="18">IF(AND(D130&lt;&gt;"",A130&lt;&gt;"Total"),1,0)</f>
        <v>0</v>
      </c>
      <c r="T130" s="16" t="str">
        <f>IF(S130=1, DATE(YEAR(Settings!$B$3), MONTH(D130), DAY(D130)), "")</f>
        <v/>
      </c>
      <c r="U130" s="15" t="str">
        <f>IF(S130=1,IFERROR(INDEX(Settings!$B$12:$B$41,MATCH($B130,Settings!$A$12:$A$41,0)),"N"),"")</f>
        <v/>
      </c>
      <c r="V130" s="15" t="str">
        <f>IF(S130=1,IFERROR(INDEX(Settings!$C$12:$C$41,MATCH($B130,Settings!$A$12:$A$41,0)),""),"")</f>
        <v/>
      </c>
      <c r="W130" s="17">
        <f>IF(S130=1,IFERROR(INDEX(Settings!$D$12:$D$41,MATCH($B130,Settings!$A$12:$A$41,0)),0),0)</f>
        <v>0</v>
      </c>
      <c r="X130" s="18">
        <f t="shared" ref="X130:X193" si="19">IF(AND(S130=1,U130="Y"),IF(V130="% of Sales",O130*W130,IF(V130="% of Tips",P130*W130,0)),0)</f>
        <v>0</v>
      </c>
      <c r="Y130" s="18" t="str">
        <f t="shared" ref="Y130:Y193" si="20">IF(S130=1,P130-X130,"")</f>
        <v/>
      </c>
      <c r="Z130" s="15" t="str">
        <f>IF(S130=1,IFERROR(INDEX(Settings!$E$12:$E$41,MATCH($B130,Settings!$A$12:$A$41,0)),"N"),"")</f>
        <v/>
      </c>
      <c r="AA130" s="17">
        <f>IF(S130=1,IFERROR(INDEX(Settings!$F$12:$F$41,MATCH($B130,Settings!$A$12:$A$41,0)),0),0)</f>
        <v>0</v>
      </c>
      <c r="AB130" s="15">
        <f>IF(S130=1,IFERROR(INDEX(Settings!$G$12:$G$41,MATCH($B130,Settings!$A$12:$A$41,0)),0),0)</f>
        <v>0</v>
      </c>
      <c r="AC130" s="18" t="str">
        <f t="shared" ref="AC130:AC193" si="21">IF(S130=1,SUMIFS($X$2:$X$601,$S$2:$S$601,1,$T$2:$T$601,T130),"")</f>
        <v/>
      </c>
      <c r="AD130" s="15" t="str">
        <f t="shared" ref="AD130:AD193" si="22">IF(S130=1,SUMIFS($N$2:$N$601,$S$2:$S$601,1,$T$2:$T$601,T130,$B$2:$B$601,B130),"")</f>
        <v/>
      </c>
      <c r="AE130" s="15" t="str">
        <f t="shared" ref="AE130:AE193" si="23">IF(S130=1,SUMIFS($N$2:$N$601,$S$2:$S$601,1,$T$2:$T$601,T130,$Z$2:$Z$601,"Y"),"")</f>
        <v/>
      </c>
      <c r="AF130" s="15" t="str">
        <f t="shared" ref="AF130:AF193" si="24">IF(S130=1,SUMPRODUCT(($S$2:$S$601=1)*($T$2:$T$601=T130)*($Z$2:$Z$601="Y")*($N$2:$N$601)*($AB$2:$AB$601)),"")</f>
        <v/>
      </c>
      <c r="AG130" s="18">
        <f>IF(AND(S130=1,Z130="Y"),IF(Settings!$B$6="Percentage",IF(AD130=0,0,AC130*AA130*(N130/AD130)),IF(Settings!$B$6="Points",IF(AF130=0,0,AC130*(N130*AB130)/AF130),IF(Settings!$B$6="Equally",IF(AE130=0,0,AC130*N130/AE130),0))),0)</f>
        <v>0</v>
      </c>
      <c r="AH130" s="18" t="str">
        <f t="shared" ref="AH130:AH193" si="25">IF(S130=1,Y130+AG130,"")</f>
        <v/>
      </c>
      <c r="AI130" s="15">
        <f>IF(S130=1,IF(COUNTIFS($R$2:R130,R130,$S$2:S130,1)=1,1,0),0)</f>
        <v>0</v>
      </c>
      <c r="AJ130" s="15">
        <f>SUM($AI$2:AI130)</f>
        <v>12</v>
      </c>
    </row>
    <row r="131" spans="18:36">
      <c r="R131" s="15" t="str">
        <f t="shared" ref="R131:R194" si="26">IF(A131&lt;&gt;"",IF(A131="Total","",A131),IF(D131&lt;&gt;"",R130,""))</f>
        <v/>
      </c>
      <c r="S131" s="15">
        <f t="shared" si="18"/>
        <v>0</v>
      </c>
      <c r="T131" s="16" t="str">
        <f>IF(S131=1, DATE(YEAR(Settings!$B$3), MONTH(D131), DAY(D131)), "")</f>
        <v/>
      </c>
      <c r="U131" s="15" t="str">
        <f>IF(S131=1,IFERROR(INDEX(Settings!$B$12:$B$41,MATCH($B131,Settings!$A$12:$A$41,0)),"N"),"")</f>
        <v/>
      </c>
      <c r="V131" s="15" t="str">
        <f>IF(S131=1,IFERROR(INDEX(Settings!$C$12:$C$41,MATCH($B131,Settings!$A$12:$A$41,0)),""),"")</f>
        <v/>
      </c>
      <c r="W131" s="17">
        <f>IF(S131=1,IFERROR(INDEX(Settings!$D$12:$D$41,MATCH($B131,Settings!$A$12:$A$41,0)),0),0)</f>
        <v>0</v>
      </c>
      <c r="X131" s="18">
        <f t="shared" si="19"/>
        <v>0</v>
      </c>
      <c r="Y131" s="18" t="str">
        <f t="shared" si="20"/>
        <v/>
      </c>
      <c r="Z131" s="15" t="str">
        <f>IF(S131=1,IFERROR(INDEX(Settings!$E$12:$E$41,MATCH($B131,Settings!$A$12:$A$41,0)),"N"),"")</f>
        <v/>
      </c>
      <c r="AA131" s="17">
        <f>IF(S131=1,IFERROR(INDEX(Settings!$F$12:$F$41,MATCH($B131,Settings!$A$12:$A$41,0)),0),0)</f>
        <v>0</v>
      </c>
      <c r="AB131" s="15">
        <f>IF(S131=1,IFERROR(INDEX(Settings!$G$12:$G$41,MATCH($B131,Settings!$A$12:$A$41,0)),0),0)</f>
        <v>0</v>
      </c>
      <c r="AC131" s="18" t="str">
        <f t="shared" si="21"/>
        <v/>
      </c>
      <c r="AD131" s="15" t="str">
        <f t="shared" si="22"/>
        <v/>
      </c>
      <c r="AE131" s="15" t="str">
        <f t="shared" si="23"/>
        <v/>
      </c>
      <c r="AF131" s="15" t="str">
        <f t="shared" si="24"/>
        <v/>
      </c>
      <c r="AG131" s="18">
        <f>IF(AND(S131=1,Z131="Y"),IF(Settings!$B$6="Percentage",IF(AD131=0,0,AC131*AA131*(N131/AD131)),IF(Settings!$B$6="Points",IF(AF131=0,0,AC131*(N131*AB131)/AF131),IF(Settings!$B$6="Equally",IF(AE131=0,0,AC131*N131/AE131),0))),0)</f>
        <v>0</v>
      </c>
      <c r="AH131" s="18" t="str">
        <f t="shared" si="25"/>
        <v/>
      </c>
      <c r="AI131" s="15">
        <f>IF(S131=1,IF(COUNTIFS($R$2:R131,R131,$S$2:S131,1)=1,1,0),0)</f>
        <v>0</v>
      </c>
      <c r="AJ131" s="15">
        <f>SUM($AI$2:AI131)</f>
        <v>12</v>
      </c>
    </row>
    <row r="132" spans="18:36">
      <c r="R132" s="15" t="str">
        <f t="shared" si="26"/>
        <v/>
      </c>
      <c r="S132" s="15">
        <f t="shared" si="18"/>
        <v>0</v>
      </c>
      <c r="T132" s="16" t="str">
        <f>IF(S132=1, DATE(YEAR(Settings!$B$3), MONTH(D132), DAY(D132)), "")</f>
        <v/>
      </c>
      <c r="U132" s="15" t="str">
        <f>IF(S132=1,IFERROR(INDEX(Settings!$B$12:$B$41,MATCH($B132,Settings!$A$12:$A$41,0)),"N"),"")</f>
        <v/>
      </c>
      <c r="V132" s="15" t="str">
        <f>IF(S132=1,IFERROR(INDEX(Settings!$C$12:$C$41,MATCH($B132,Settings!$A$12:$A$41,0)),""),"")</f>
        <v/>
      </c>
      <c r="W132" s="17">
        <f>IF(S132=1,IFERROR(INDEX(Settings!$D$12:$D$41,MATCH($B132,Settings!$A$12:$A$41,0)),0),0)</f>
        <v>0</v>
      </c>
      <c r="X132" s="18">
        <f t="shared" si="19"/>
        <v>0</v>
      </c>
      <c r="Y132" s="18" t="str">
        <f t="shared" si="20"/>
        <v/>
      </c>
      <c r="Z132" s="15" t="str">
        <f>IF(S132=1,IFERROR(INDEX(Settings!$E$12:$E$41,MATCH($B132,Settings!$A$12:$A$41,0)),"N"),"")</f>
        <v/>
      </c>
      <c r="AA132" s="17">
        <f>IF(S132=1,IFERROR(INDEX(Settings!$F$12:$F$41,MATCH($B132,Settings!$A$12:$A$41,0)),0),0)</f>
        <v>0</v>
      </c>
      <c r="AB132" s="15">
        <f>IF(S132=1,IFERROR(INDEX(Settings!$G$12:$G$41,MATCH($B132,Settings!$A$12:$A$41,0)),0),0)</f>
        <v>0</v>
      </c>
      <c r="AC132" s="18" t="str">
        <f t="shared" si="21"/>
        <v/>
      </c>
      <c r="AD132" s="15" t="str">
        <f t="shared" si="22"/>
        <v/>
      </c>
      <c r="AE132" s="15" t="str">
        <f t="shared" si="23"/>
        <v/>
      </c>
      <c r="AF132" s="15" t="str">
        <f t="shared" si="24"/>
        <v/>
      </c>
      <c r="AG132" s="18">
        <f>IF(AND(S132=1,Z132="Y"),IF(Settings!$B$6="Percentage",IF(AD132=0,0,AC132*AA132*(N132/AD132)),IF(Settings!$B$6="Points",IF(AF132=0,0,AC132*(N132*AB132)/AF132),IF(Settings!$B$6="Equally",IF(AE132=0,0,AC132*N132/AE132),0))),0)</f>
        <v>0</v>
      </c>
      <c r="AH132" s="18" t="str">
        <f t="shared" si="25"/>
        <v/>
      </c>
      <c r="AI132" s="15">
        <f>IF(S132=1,IF(COUNTIFS($R$2:R132,R132,$S$2:S132,1)=1,1,0),0)</f>
        <v>0</v>
      </c>
      <c r="AJ132" s="15">
        <f>SUM($AI$2:AI132)</f>
        <v>12</v>
      </c>
    </row>
    <row r="133" spans="18:36">
      <c r="R133" s="15" t="str">
        <f t="shared" si="26"/>
        <v/>
      </c>
      <c r="S133" s="15">
        <f t="shared" si="18"/>
        <v>0</v>
      </c>
      <c r="T133" s="16" t="str">
        <f>IF(S133=1, DATE(YEAR(Settings!$B$3), MONTH(D133), DAY(D133)), "")</f>
        <v/>
      </c>
      <c r="U133" s="15" t="str">
        <f>IF(S133=1,IFERROR(INDEX(Settings!$B$12:$B$41,MATCH($B133,Settings!$A$12:$A$41,0)),"N"),"")</f>
        <v/>
      </c>
      <c r="V133" s="15" t="str">
        <f>IF(S133=1,IFERROR(INDEX(Settings!$C$12:$C$41,MATCH($B133,Settings!$A$12:$A$41,0)),""),"")</f>
        <v/>
      </c>
      <c r="W133" s="17">
        <f>IF(S133=1,IFERROR(INDEX(Settings!$D$12:$D$41,MATCH($B133,Settings!$A$12:$A$41,0)),0),0)</f>
        <v>0</v>
      </c>
      <c r="X133" s="18">
        <f t="shared" si="19"/>
        <v>0</v>
      </c>
      <c r="Y133" s="18" t="str">
        <f t="shared" si="20"/>
        <v/>
      </c>
      <c r="Z133" s="15" t="str">
        <f>IF(S133=1,IFERROR(INDEX(Settings!$E$12:$E$41,MATCH($B133,Settings!$A$12:$A$41,0)),"N"),"")</f>
        <v/>
      </c>
      <c r="AA133" s="17">
        <f>IF(S133=1,IFERROR(INDEX(Settings!$F$12:$F$41,MATCH($B133,Settings!$A$12:$A$41,0)),0),0)</f>
        <v>0</v>
      </c>
      <c r="AB133" s="15">
        <f>IF(S133=1,IFERROR(INDEX(Settings!$G$12:$G$41,MATCH($B133,Settings!$A$12:$A$41,0)),0),0)</f>
        <v>0</v>
      </c>
      <c r="AC133" s="18" t="str">
        <f t="shared" si="21"/>
        <v/>
      </c>
      <c r="AD133" s="15" t="str">
        <f t="shared" si="22"/>
        <v/>
      </c>
      <c r="AE133" s="15" t="str">
        <f t="shared" si="23"/>
        <v/>
      </c>
      <c r="AF133" s="15" t="str">
        <f t="shared" si="24"/>
        <v/>
      </c>
      <c r="AG133" s="18">
        <f>IF(AND(S133=1,Z133="Y"),IF(Settings!$B$6="Percentage",IF(AD133=0,0,AC133*AA133*(N133/AD133)),IF(Settings!$B$6="Points",IF(AF133=0,0,AC133*(N133*AB133)/AF133),IF(Settings!$B$6="Equally",IF(AE133=0,0,AC133*N133/AE133),0))),0)</f>
        <v>0</v>
      </c>
      <c r="AH133" s="18" t="str">
        <f t="shared" si="25"/>
        <v/>
      </c>
      <c r="AI133" s="15">
        <f>IF(S133=1,IF(COUNTIFS($R$2:R133,R133,$S$2:S133,1)=1,1,0),0)</f>
        <v>0</v>
      </c>
      <c r="AJ133" s="15">
        <f>SUM($AI$2:AI133)</f>
        <v>12</v>
      </c>
    </row>
    <row r="134" spans="18:36">
      <c r="R134" s="15" t="str">
        <f t="shared" si="26"/>
        <v/>
      </c>
      <c r="S134" s="15">
        <f t="shared" si="18"/>
        <v>0</v>
      </c>
      <c r="T134" s="16" t="str">
        <f>IF(S134=1, DATE(YEAR(Settings!$B$3), MONTH(D134), DAY(D134)), "")</f>
        <v/>
      </c>
      <c r="U134" s="15" t="str">
        <f>IF(S134=1,IFERROR(INDEX(Settings!$B$12:$B$41,MATCH($B134,Settings!$A$12:$A$41,0)),"N"),"")</f>
        <v/>
      </c>
      <c r="V134" s="15" t="str">
        <f>IF(S134=1,IFERROR(INDEX(Settings!$C$12:$C$41,MATCH($B134,Settings!$A$12:$A$41,0)),""),"")</f>
        <v/>
      </c>
      <c r="W134" s="17">
        <f>IF(S134=1,IFERROR(INDEX(Settings!$D$12:$D$41,MATCH($B134,Settings!$A$12:$A$41,0)),0),0)</f>
        <v>0</v>
      </c>
      <c r="X134" s="18">
        <f t="shared" si="19"/>
        <v>0</v>
      </c>
      <c r="Y134" s="18" t="str">
        <f t="shared" si="20"/>
        <v/>
      </c>
      <c r="Z134" s="15" t="str">
        <f>IF(S134=1,IFERROR(INDEX(Settings!$E$12:$E$41,MATCH($B134,Settings!$A$12:$A$41,0)),"N"),"")</f>
        <v/>
      </c>
      <c r="AA134" s="17">
        <f>IF(S134=1,IFERROR(INDEX(Settings!$F$12:$F$41,MATCH($B134,Settings!$A$12:$A$41,0)),0),0)</f>
        <v>0</v>
      </c>
      <c r="AB134" s="15">
        <f>IF(S134=1,IFERROR(INDEX(Settings!$G$12:$G$41,MATCH($B134,Settings!$A$12:$A$41,0)),0),0)</f>
        <v>0</v>
      </c>
      <c r="AC134" s="18" t="str">
        <f t="shared" si="21"/>
        <v/>
      </c>
      <c r="AD134" s="15" t="str">
        <f t="shared" si="22"/>
        <v/>
      </c>
      <c r="AE134" s="15" t="str">
        <f t="shared" si="23"/>
        <v/>
      </c>
      <c r="AF134" s="15" t="str">
        <f t="shared" si="24"/>
        <v/>
      </c>
      <c r="AG134" s="18">
        <f>IF(AND(S134=1,Z134="Y"),IF(Settings!$B$6="Percentage",IF(AD134=0,0,AC134*AA134*(N134/AD134)),IF(Settings!$B$6="Points",IF(AF134=0,0,AC134*(N134*AB134)/AF134),IF(Settings!$B$6="Equally",IF(AE134=0,0,AC134*N134/AE134),0))),0)</f>
        <v>0</v>
      </c>
      <c r="AH134" s="18" t="str">
        <f t="shared" si="25"/>
        <v/>
      </c>
      <c r="AI134" s="15">
        <f>IF(S134=1,IF(COUNTIFS($R$2:R134,R134,$S$2:S134,1)=1,1,0),0)</f>
        <v>0</v>
      </c>
      <c r="AJ134" s="15">
        <f>SUM($AI$2:AI134)</f>
        <v>12</v>
      </c>
    </row>
    <row r="135" spans="18:36">
      <c r="R135" s="15" t="str">
        <f t="shared" si="26"/>
        <v/>
      </c>
      <c r="S135" s="15">
        <f t="shared" si="18"/>
        <v>0</v>
      </c>
      <c r="T135" s="16" t="str">
        <f>IF(S135=1, DATE(YEAR(Settings!$B$3), MONTH(D135), DAY(D135)), "")</f>
        <v/>
      </c>
      <c r="U135" s="15" t="str">
        <f>IF(S135=1,IFERROR(INDEX(Settings!$B$12:$B$41,MATCH($B135,Settings!$A$12:$A$41,0)),"N"),"")</f>
        <v/>
      </c>
      <c r="V135" s="15" t="str">
        <f>IF(S135=1,IFERROR(INDEX(Settings!$C$12:$C$41,MATCH($B135,Settings!$A$12:$A$41,0)),""),"")</f>
        <v/>
      </c>
      <c r="W135" s="17">
        <f>IF(S135=1,IFERROR(INDEX(Settings!$D$12:$D$41,MATCH($B135,Settings!$A$12:$A$41,0)),0),0)</f>
        <v>0</v>
      </c>
      <c r="X135" s="18">
        <f t="shared" si="19"/>
        <v>0</v>
      </c>
      <c r="Y135" s="18" t="str">
        <f t="shared" si="20"/>
        <v/>
      </c>
      <c r="Z135" s="15" t="str">
        <f>IF(S135=1,IFERROR(INDEX(Settings!$E$12:$E$41,MATCH($B135,Settings!$A$12:$A$41,0)),"N"),"")</f>
        <v/>
      </c>
      <c r="AA135" s="17">
        <f>IF(S135=1,IFERROR(INDEX(Settings!$F$12:$F$41,MATCH($B135,Settings!$A$12:$A$41,0)),0),0)</f>
        <v>0</v>
      </c>
      <c r="AB135" s="15">
        <f>IF(S135=1,IFERROR(INDEX(Settings!$G$12:$G$41,MATCH($B135,Settings!$A$12:$A$41,0)),0),0)</f>
        <v>0</v>
      </c>
      <c r="AC135" s="18" t="str">
        <f t="shared" si="21"/>
        <v/>
      </c>
      <c r="AD135" s="15" t="str">
        <f t="shared" si="22"/>
        <v/>
      </c>
      <c r="AE135" s="15" t="str">
        <f t="shared" si="23"/>
        <v/>
      </c>
      <c r="AF135" s="15" t="str">
        <f t="shared" si="24"/>
        <v/>
      </c>
      <c r="AG135" s="18">
        <f>IF(AND(S135=1,Z135="Y"),IF(Settings!$B$6="Percentage",IF(AD135=0,0,AC135*AA135*(N135/AD135)),IF(Settings!$B$6="Points",IF(AF135=0,0,AC135*(N135*AB135)/AF135),IF(Settings!$B$6="Equally",IF(AE135=0,0,AC135*N135/AE135),0))),0)</f>
        <v>0</v>
      </c>
      <c r="AH135" s="18" t="str">
        <f t="shared" si="25"/>
        <v/>
      </c>
      <c r="AI135" s="15">
        <f>IF(S135=1,IF(COUNTIFS($R$2:R135,R135,$S$2:S135,1)=1,1,0),0)</f>
        <v>0</v>
      </c>
      <c r="AJ135" s="15">
        <f>SUM($AI$2:AI135)</f>
        <v>12</v>
      </c>
    </row>
    <row r="136" spans="18:36">
      <c r="R136" s="15" t="str">
        <f t="shared" si="26"/>
        <v/>
      </c>
      <c r="S136" s="15">
        <f t="shared" si="18"/>
        <v>0</v>
      </c>
      <c r="T136" s="16" t="str">
        <f>IF(S136=1, DATE(YEAR(Settings!$B$3), MONTH(D136), DAY(D136)), "")</f>
        <v/>
      </c>
      <c r="U136" s="15" t="str">
        <f>IF(S136=1,IFERROR(INDEX(Settings!$B$12:$B$41,MATCH($B136,Settings!$A$12:$A$41,0)),"N"),"")</f>
        <v/>
      </c>
      <c r="V136" s="15" t="str">
        <f>IF(S136=1,IFERROR(INDEX(Settings!$C$12:$C$41,MATCH($B136,Settings!$A$12:$A$41,0)),""),"")</f>
        <v/>
      </c>
      <c r="W136" s="17">
        <f>IF(S136=1,IFERROR(INDEX(Settings!$D$12:$D$41,MATCH($B136,Settings!$A$12:$A$41,0)),0),0)</f>
        <v>0</v>
      </c>
      <c r="X136" s="18">
        <f t="shared" si="19"/>
        <v>0</v>
      </c>
      <c r="Y136" s="18" t="str">
        <f t="shared" si="20"/>
        <v/>
      </c>
      <c r="Z136" s="15" t="str">
        <f>IF(S136=1,IFERROR(INDEX(Settings!$E$12:$E$41,MATCH($B136,Settings!$A$12:$A$41,0)),"N"),"")</f>
        <v/>
      </c>
      <c r="AA136" s="17">
        <f>IF(S136=1,IFERROR(INDEX(Settings!$F$12:$F$41,MATCH($B136,Settings!$A$12:$A$41,0)),0),0)</f>
        <v>0</v>
      </c>
      <c r="AB136" s="15">
        <f>IF(S136=1,IFERROR(INDEX(Settings!$G$12:$G$41,MATCH($B136,Settings!$A$12:$A$41,0)),0),0)</f>
        <v>0</v>
      </c>
      <c r="AC136" s="18" t="str">
        <f t="shared" si="21"/>
        <v/>
      </c>
      <c r="AD136" s="15" t="str">
        <f t="shared" si="22"/>
        <v/>
      </c>
      <c r="AE136" s="15" t="str">
        <f t="shared" si="23"/>
        <v/>
      </c>
      <c r="AF136" s="15" t="str">
        <f t="shared" si="24"/>
        <v/>
      </c>
      <c r="AG136" s="18">
        <f>IF(AND(S136=1,Z136="Y"),IF(Settings!$B$6="Percentage",IF(AD136=0,0,AC136*AA136*(N136/AD136)),IF(Settings!$B$6="Points",IF(AF136=0,0,AC136*(N136*AB136)/AF136),IF(Settings!$B$6="Equally",IF(AE136=0,0,AC136*N136/AE136),0))),0)</f>
        <v>0</v>
      </c>
      <c r="AH136" s="18" t="str">
        <f t="shared" si="25"/>
        <v/>
      </c>
      <c r="AI136" s="15">
        <f>IF(S136=1,IF(COUNTIFS($R$2:R136,R136,$S$2:S136,1)=1,1,0),0)</f>
        <v>0</v>
      </c>
      <c r="AJ136" s="15">
        <f>SUM($AI$2:AI136)</f>
        <v>12</v>
      </c>
    </row>
    <row r="137" spans="18:36">
      <c r="R137" s="15" t="str">
        <f t="shared" si="26"/>
        <v/>
      </c>
      <c r="S137" s="15">
        <f t="shared" si="18"/>
        <v>0</v>
      </c>
      <c r="T137" s="16" t="str">
        <f>IF(S137=1, DATE(YEAR(Settings!$B$3), MONTH(D137), DAY(D137)), "")</f>
        <v/>
      </c>
      <c r="U137" s="15" t="str">
        <f>IF(S137=1,IFERROR(INDEX(Settings!$B$12:$B$41,MATCH($B137,Settings!$A$12:$A$41,0)),"N"),"")</f>
        <v/>
      </c>
      <c r="V137" s="15" t="str">
        <f>IF(S137=1,IFERROR(INDEX(Settings!$C$12:$C$41,MATCH($B137,Settings!$A$12:$A$41,0)),""),"")</f>
        <v/>
      </c>
      <c r="W137" s="17">
        <f>IF(S137=1,IFERROR(INDEX(Settings!$D$12:$D$41,MATCH($B137,Settings!$A$12:$A$41,0)),0),0)</f>
        <v>0</v>
      </c>
      <c r="X137" s="18">
        <f t="shared" si="19"/>
        <v>0</v>
      </c>
      <c r="Y137" s="18" t="str">
        <f t="shared" si="20"/>
        <v/>
      </c>
      <c r="Z137" s="15" t="str">
        <f>IF(S137=1,IFERROR(INDEX(Settings!$E$12:$E$41,MATCH($B137,Settings!$A$12:$A$41,0)),"N"),"")</f>
        <v/>
      </c>
      <c r="AA137" s="17">
        <f>IF(S137=1,IFERROR(INDEX(Settings!$F$12:$F$41,MATCH($B137,Settings!$A$12:$A$41,0)),0),0)</f>
        <v>0</v>
      </c>
      <c r="AB137" s="15">
        <f>IF(S137=1,IFERROR(INDEX(Settings!$G$12:$G$41,MATCH($B137,Settings!$A$12:$A$41,0)),0),0)</f>
        <v>0</v>
      </c>
      <c r="AC137" s="18" t="str">
        <f t="shared" si="21"/>
        <v/>
      </c>
      <c r="AD137" s="15" t="str">
        <f t="shared" si="22"/>
        <v/>
      </c>
      <c r="AE137" s="15" t="str">
        <f t="shared" si="23"/>
        <v/>
      </c>
      <c r="AF137" s="15" t="str">
        <f t="shared" si="24"/>
        <v/>
      </c>
      <c r="AG137" s="18">
        <f>IF(AND(S137=1,Z137="Y"),IF(Settings!$B$6="Percentage",IF(AD137=0,0,AC137*AA137*(N137/AD137)),IF(Settings!$B$6="Points",IF(AF137=0,0,AC137*(N137*AB137)/AF137),IF(Settings!$B$6="Equally",IF(AE137=0,0,AC137*N137/AE137),0))),0)</f>
        <v>0</v>
      </c>
      <c r="AH137" s="18" t="str">
        <f t="shared" si="25"/>
        <v/>
      </c>
      <c r="AI137" s="15">
        <f>IF(S137=1,IF(COUNTIFS($R$2:R137,R137,$S$2:S137,1)=1,1,0),0)</f>
        <v>0</v>
      </c>
      <c r="AJ137" s="15">
        <f>SUM($AI$2:AI137)</f>
        <v>12</v>
      </c>
    </row>
    <row r="138" spans="18:36">
      <c r="R138" s="15" t="str">
        <f t="shared" si="26"/>
        <v/>
      </c>
      <c r="S138" s="15">
        <f t="shared" si="18"/>
        <v>0</v>
      </c>
      <c r="T138" s="16" t="str">
        <f>IF(S138=1, DATE(YEAR(Settings!$B$3), MONTH(D138), DAY(D138)), "")</f>
        <v/>
      </c>
      <c r="U138" s="15" t="str">
        <f>IF(S138=1,IFERROR(INDEX(Settings!$B$12:$B$41,MATCH($B138,Settings!$A$12:$A$41,0)),"N"),"")</f>
        <v/>
      </c>
      <c r="V138" s="15" t="str">
        <f>IF(S138=1,IFERROR(INDEX(Settings!$C$12:$C$41,MATCH($B138,Settings!$A$12:$A$41,0)),""),"")</f>
        <v/>
      </c>
      <c r="W138" s="17">
        <f>IF(S138=1,IFERROR(INDEX(Settings!$D$12:$D$41,MATCH($B138,Settings!$A$12:$A$41,0)),0),0)</f>
        <v>0</v>
      </c>
      <c r="X138" s="18">
        <f t="shared" si="19"/>
        <v>0</v>
      </c>
      <c r="Y138" s="18" t="str">
        <f t="shared" si="20"/>
        <v/>
      </c>
      <c r="Z138" s="15" t="str">
        <f>IF(S138=1,IFERROR(INDEX(Settings!$E$12:$E$41,MATCH($B138,Settings!$A$12:$A$41,0)),"N"),"")</f>
        <v/>
      </c>
      <c r="AA138" s="17">
        <f>IF(S138=1,IFERROR(INDEX(Settings!$F$12:$F$41,MATCH($B138,Settings!$A$12:$A$41,0)),0),0)</f>
        <v>0</v>
      </c>
      <c r="AB138" s="15">
        <f>IF(S138=1,IFERROR(INDEX(Settings!$G$12:$G$41,MATCH($B138,Settings!$A$12:$A$41,0)),0),0)</f>
        <v>0</v>
      </c>
      <c r="AC138" s="18" t="str">
        <f t="shared" si="21"/>
        <v/>
      </c>
      <c r="AD138" s="15" t="str">
        <f t="shared" si="22"/>
        <v/>
      </c>
      <c r="AE138" s="15" t="str">
        <f t="shared" si="23"/>
        <v/>
      </c>
      <c r="AF138" s="15" t="str">
        <f t="shared" si="24"/>
        <v/>
      </c>
      <c r="AG138" s="18">
        <f>IF(AND(S138=1,Z138="Y"),IF(Settings!$B$6="Percentage",IF(AD138=0,0,AC138*AA138*(N138/AD138)),IF(Settings!$B$6="Points",IF(AF138=0,0,AC138*(N138*AB138)/AF138),IF(Settings!$B$6="Equally",IF(AE138=0,0,AC138*N138/AE138),0))),0)</f>
        <v>0</v>
      </c>
      <c r="AH138" s="18" t="str">
        <f t="shared" si="25"/>
        <v/>
      </c>
      <c r="AI138" s="15">
        <f>IF(S138=1,IF(COUNTIFS($R$2:R138,R138,$S$2:S138,1)=1,1,0),0)</f>
        <v>0</v>
      </c>
      <c r="AJ138" s="15">
        <f>SUM($AI$2:AI138)</f>
        <v>12</v>
      </c>
    </row>
    <row r="139" spans="18:36">
      <c r="R139" s="15" t="str">
        <f t="shared" si="26"/>
        <v/>
      </c>
      <c r="S139" s="15">
        <f t="shared" si="18"/>
        <v>0</v>
      </c>
      <c r="T139" s="16" t="str">
        <f>IF(S139=1, DATE(YEAR(Settings!$B$3), MONTH(D139), DAY(D139)), "")</f>
        <v/>
      </c>
      <c r="U139" s="15" t="str">
        <f>IF(S139=1,IFERROR(INDEX(Settings!$B$12:$B$41,MATCH($B139,Settings!$A$12:$A$41,0)),"N"),"")</f>
        <v/>
      </c>
      <c r="V139" s="15" t="str">
        <f>IF(S139=1,IFERROR(INDEX(Settings!$C$12:$C$41,MATCH($B139,Settings!$A$12:$A$41,0)),""),"")</f>
        <v/>
      </c>
      <c r="W139" s="17">
        <f>IF(S139=1,IFERROR(INDEX(Settings!$D$12:$D$41,MATCH($B139,Settings!$A$12:$A$41,0)),0),0)</f>
        <v>0</v>
      </c>
      <c r="X139" s="18">
        <f t="shared" si="19"/>
        <v>0</v>
      </c>
      <c r="Y139" s="18" t="str">
        <f t="shared" si="20"/>
        <v/>
      </c>
      <c r="Z139" s="15" t="str">
        <f>IF(S139=1,IFERROR(INDEX(Settings!$E$12:$E$41,MATCH($B139,Settings!$A$12:$A$41,0)),"N"),"")</f>
        <v/>
      </c>
      <c r="AA139" s="17">
        <f>IF(S139=1,IFERROR(INDEX(Settings!$F$12:$F$41,MATCH($B139,Settings!$A$12:$A$41,0)),0),0)</f>
        <v>0</v>
      </c>
      <c r="AB139" s="15">
        <f>IF(S139=1,IFERROR(INDEX(Settings!$G$12:$G$41,MATCH($B139,Settings!$A$12:$A$41,0)),0),0)</f>
        <v>0</v>
      </c>
      <c r="AC139" s="18" t="str">
        <f t="shared" si="21"/>
        <v/>
      </c>
      <c r="AD139" s="15" t="str">
        <f t="shared" si="22"/>
        <v/>
      </c>
      <c r="AE139" s="15" t="str">
        <f t="shared" si="23"/>
        <v/>
      </c>
      <c r="AF139" s="15" t="str">
        <f t="shared" si="24"/>
        <v/>
      </c>
      <c r="AG139" s="18">
        <f>IF(AND(S139=1,Z139="Y"),IF(Settings!$B$6="Percentage",IF(AD139=0,0,AC139*AA139*(N139/AD139)),IF(Settings!$B$6="Points",IF(AF139=0,0,AC139*(N139*AB139)/AF139),IF(Settings!$B$6="Equally",IF(AE139=0,0,AC139*N139/AE139),0))),0)</f>
        <v>0</v>
      </c>
      <c r="AH139" s="18" t="str">
        <f t="shared" si="25"/>
        <v/>
      </c>
      <c r="AI139" s="15">
        <f>IF(S139=1,IF(COUNTIFS($R$2:R139,R139,$S$2:S139,1)=1,1,0),0)</f>
        <v>0</v>
      </c>
      <c r="AJ139" s="15">
        <f>SUM($AI$2:AI139)</f>
        <v>12</v>
      </c>
    </row>
    <row r="140" spans="18:36">
      <c r="R140" s="15" t="str">
        <f t="shared" si="26"/>
        <v/>
      </c>
      <c r="S140" s="15">
        <f t="shared" si="18"/>
        <v>0</v>
      </c>
      <c r="T140" s="16" t="str">
        <f>IF(S140=1, DATE(YEAR(Settings!$B$3), MONTH(D140), DAY(D140)), "")</f>
        <v/>
      </c>
      <c r="U140" s="15" t="str">
        <f>IF(S140=1,IFERROR(INDEX(Settings!$B$12:$B$41,MATCH($B140,Settings!$A$12:$A$41,0)),"N"),"")</f>
        <v/>
      </c>
      <c r="V140" s="15" t="str">
        <f>IF(S140=1,IFERROR(INDEX(Settings!$C$12:$C$41,MATCH($B140,Settings!$A$12:$A$41,0)),""),"")</f>
        <v/>
      </c>
      <c r="W140" s="17">
        <f>IF(S140=1,IFERROR(INDEX(Settings!$D$12:$D$41,MATCH($B140,Settings!$A$12:$A$41,0)),0),0)</f>
        <v>0</v>
      </c>
      <c r="X140" s="18">
        <f t="shared" si="19"/>
        <v>0</v>
      </c>
      <c r="Y140" s="18" t="str">
        <f t="shared" si="20"/>
        <v/>
      </c>
      <c r="Z140" s="15" t="str">
        <f>IF(S140=1,IFERROR(INDEX(Settings!$E$12:$E$41,MATCH($B140,Settings!$A$12:$A$41,0)),"N"),"")</f>
        <v/>
      </c>
      <c r="AA140" s="17">
        <f>IF(S140=1,IFERROR(INDEX(Settings!$F$12:$F$41,MATCH($B140,Settings!$A$12:$A$41,0)),0),0)</f>
        <v>0</v>
      </c>
      <c r="AB140" s="15">
        <f>IF(S140=1,IFERROR(INDEX(Settings!$G$12:$G$41,MATCH($B140,Settings!$A$12:$A$41,0)),0),0)</f>
        <v>0</v>
      </c>
      <c r="AC140" s="18" t="str">
        <f t="shared" si="21"/>
        <v/>
      </c>
      <c r="AD140" s="15" t="str">
        <f t="shared" si="22"/>
        <v/>
      </c>
      <c r="AE140" s="15" t="str">
        <f t="shared" si="23"/>
        <v/>
      </c>
      <c r="AF140" s="15" t="str">
        <f t="shared" si="24"/>
        <v/>
      </c>
      <c r="AG140" s="18">
        <f>IF(AND(S140=1,Z140="Y"),IF(Settings!$B$6="Percentage",IF(AD140=0,0,AC140*AA140*(N140/AD140)),IF(Settings!$B$6="Points",IF(AF140=0,0,AC140*(N140*AB140)/AF140),IF(Settings!$B$6="Equally",IF(AE140=0,0,AC140*N140/AE140),0))),0)</f>
        <v>0</v>
      </c>
      <c r="AH140" s="18" t="str">
        <f t="shared" si="25"/>
        <v/>
      </c>
      <c r="AI140" s="15">
        <f>IF(S140=1,IF(COUNTIFS($R$2:R140,R140,$S$2:S140,1)=1,1,0),0)</f>
        <v>0</v>
      </c>
      <c r="AJ140" s="15">
        <f>SUM($AI$2:AI140)</f>
        <v>12</v>
      </c>
    </row>
    <row r="141" spans="18:36">
      <c r="R141" s="15" t="str">
        <f t="shared" si="26"/>
        <v/>
      </c>
      <c r="S141" s="15">
        <f t="shared" si="18"/>
        <v>0</v>
      </c>
      <c r="T141" s="16" t="str">
        <f>IF(S141=1, DATE(YEAR(Settings!$B$3), MONTH(D141), DAY(D141)), "")</f>
        <v/>
      </c>
      <c r="U141" s="15" t="str">
        <f>IF(S141=1,IFERROR(INDEX(Settings!$B$12:$B$41,MATCH($B141,Settings!$A$12:$A$41,0)),"N"),"")</f>
        <v/>
      </c>
      <c r="V141" s="15" t="str">
        <f>IF(S141=1,IFERROR(INDEX(Settings!$C$12:$C$41,MATCH($B141,Settings!$A$12:$A$41,0)),""),"")</f>
        <v/>
      </c>
      <c r="W141" s="17">
        <f>IF(S141=1,IFERROR(INDEX(Settings!$D$12:$D$41,MATCH($B141,Settings!$A$12:$A$41,0)),0),0)</f>
        <v>0</v>
      </c>
      <c r="X141" s="18">
        <f t="shared" si="19"/>
        <v>0</v>
      </c>
      <c r="Y141" s="18" t="str">
        <f t="shared" si="20"/>
        <v/>
      </c>
      <c r="Z141" s="15" t="str">
        <f>IF(S141=1,IFERROR(INDEX(Settings!$E$12:$E$41,MATCH($B141,Settings!$A$12:$A$41,0)),"N"),"")</f>
        <v/>
      </c>
      <c r="AA141" s="17">
        <f>IF(S141=1,IFERROR(INDEX(Settings!$F$12:$F$41,MATCH($B141,Settings!$A$12:$A$41,0)),0),0)</f>
        <v>0</v>
      </c>
      <c r="AB141" s="15">
        <f>IF(S141=1,IFERROR(INDEX(Settings!$G$12:$G$41,MATCH($B141,Settings!$A$12:$A$41,0)),0),0)</f>
        <v>0</v>
      </c>
      <c r="AC141" s="18" t="str">
        <f t="shared" si="21"/>
        <v/>
      </c>
      <c r="AD141" s="15" t="str">
        <f t="shared" si="22"/>
        <v/>
      </c>
      <c r="AE141" s="15" t="str">
        <f t="shared" si="23"/>
        <v/>
      </c>
      <c r="AF141" s="15" t="str">
        <f t="shared" si="24"/>
        <v/>
      </c>
      <c r="AG141" s="18">
        <f>IF(AND(S141=1,Z141="Y"),IF(Settings!$B$6="Percentage",IF(AD141=0,0,AC141*AA141*(N141/AD141)),IF(Settings!$B$6="Points",IF(AF141=0,0,AC141*(N141*AB141)/AF141),IF(Settings!$B$6="Equally",IF(AE141=0,0,AC141*N141/AE141),0))),0)</f>
        <v>0</v>
      </c>
      <c r="AH141" s="18" t="str">
        <f t="shared" si="25"/>
        <v/>
      </c>
      <c r="AI141" s="15">
        <f>IF(S141=1,IF(COUNTIFS($R$2:R141,R141,$S$2:S141,1)=1,1,0),0)</f>
        <v>0</v>
      </c>
      <c r="AJ141" s="15">
        <f>SUM($AI$2:AI141)</f>
        <v>12</v>
      </c>
    </row>
    <row r="142" spans="18:36">
      <c r="R142" s="15" t="str">
        <f t="shared" si="26"/>
        <v/>
      </c>
      <c r="S142" s="15">
        <f t="shared" si="18"/>
        <v>0</v>
      </c>
      <c r="T142" s="16" t="str">
        <f>IF(S142=1, DATE(YEAR(Settings!$B$3), MONTH(D142), DAY(D142)), "")</f>
        <v/>
      </c>
      <c r="U142" s="15" t="str">
        <f>IF(S142=1,IFERROR(INDEX(Settings!$B$12:$B$41,MATCH($B142,Settings!$A$12:$A$41,0)),"N"),"")</f>
        <v/>
      </c>
      <c r="V142" s="15" t="str">
        <f>IF(S142=1,IFERROR(INDEX(Settings!$C$12:$C$41,MATCH($B142,Settings!$A$12:$A$41,0)),""),"")</f>
        <v/>
      </c>
      <c r="W142" s="17">
        <f>IF(S142=1,IFERROR(INDEX(Settings!$D$12:$D$41,MATCH($B142,Settings!$A$12:$A$41,0)),0),0)</f>
        <v>0</v>
      </c>
      <c r="X142" s="18">
        <f t="shared" si="19"/>
        <v>0</v>
      </c>
      <c r="Y142" s="18" t="str">
        <f t="shared" si="20"/>
        <v/>
      </c>
      <c r="Z142" s="15" t="str">
        <f>IF(S142=1,IFERROR(INDEX(Settings!$E$12:$E$41,MATCH($B142,Settings!$A$12:$A$41,0)),"N"),"")</f>
        <v/>
      </c>
      <c r="AA142" s="17">
        <f>IF(S142=1,IFERROR(INDEX(Settings!$F$12:$F$41,MATCH($B142,Settings!$A$12:$A$41,0)),0),0)</f>
        <v>0</v>
      </c>
      <c r="AB142" s="15">
        <f>IF(S142=1,IFERROR(INDEX(Settings!$G$12:$G$41,MATCH($B142,Settings!$A$12:$A$41,0)),0),0)</f>
        <v>0</v>
      </c>
      <c r="AC142" s="18" t="str">
        <f t="shared" si="21"/>
        <v/>
      </c>
      <c r="AD142" s="15" t="str">
        <f t="shared" si="22"/>
        <v/>
      </c>
      <c r="AE142" s="15" t="str">
        <f t="shared" si="23"/>
        <v/>
      </c>
      <c r="AF142" s="15" t="str">
        <f t="shared" si="24"/>
        <v/>
      </c>
      <c r="AG142" s="18">
        <f>IF(AND(S142=1,Z142="Y"),IF(Settings!$B$6="Percentage",IF(AD142=0,0,AC142*AA142*(N142/AD142)),IF(Settings!$B$6="Points",IF(AF142=0,0,AC142*(N142*AB142)/AF142),IF(Settings!$B$6="Equally",IF(AE142=0,0,AC142*N142/AE142),0))),0)</f>
        <v>0</v>
      </c>
      <c r="AH142" s="18" t="str">
        <f t="shared" si="25"/>
        <v/>
      </c>
      <c r="AI142" s="15">
        <f>IF(S142=1,IF(COUNTIFS($R$2:R142,R142,$S$2:S142,1)=1,1,0),0)</f>
        <v>0</v>
      </c>
      <c r="AJ142" s="15">
        <f>SUM($AI$2:AI142)</f>
        <v>12</v>
      </c>
    </row>
    <row r="143" spans="18:36">
      <c r="R143" s="15" t="str">
        <f t="shared" si="26"/>
        <v/>
      </c>
      <c r="S143" s="15">
        <f t="shared" si="18"/>
        <v>0</v>
      </c>
      <c r="T143" s="16" t="str">
        <f>IF(S143=1, DATE(YEAR(Settings!$B$3), MONTH(D143), DAY(D143)), "")</f>
        <v/>
      </c>
      <c r="U143" s="15" t="str">
        <f>IF(S143=1,IFERROR(INDEX(Settings!$B$12:$B$41,MATCH($B143,Settings!$A$12:$A$41,0)),"N"),"")</f>
        <v/>
      </c>
      <c r="V143" s="15" t="str">
        <f>IF(S143=1,IFERROR(INDEX(Settings!$C$12:$C$41,MATCH($B143,Settings!$A$12:$A$41,0)),""),"")</f>
        <v/>
      </c>
      <c r="W143" s="17">
        <f>IF(S143=1,IFERROR(INDEX(Settings!$D$12:$D$41,MATCH($B143,Settings!$A$12:$A$41,0)),0),0)</f>
        <v>0</v>
      </c>
      <c r="X143" s="18">
        <f t="shared" si="19"/>
        <v>0</v>
      </c>
      <c r="Y143" s="18" t="str">
        <f t="shared" si="20"/>
        <v/>
      </c>
      <c r="Z143" s="15" t="str">
        <f>IF(S143=1,IFERROR(INDEX(Settings!$E$12:$E$41,MATCH($B143,Settings!$A$12:$A$41,0)),"N"),"")</f>
        <v/>
      </c>
      <c r="AA143" s="17">
        <f>IF(S143=1,IFERROR(INDEX(Settings!$F$12:$F$41,MATCH($B143,Settings!$A$12:$A$41,0)),0),0)</f>
        <v>0</v>
      </c>
      <c r="AB143" s="15">
        <f>IF(S143=1,IFERROR(INDEX(Settings!$G$12:$G$41,MATCH($B143,Settings!$A$12:$A$41,0)),0),0)</f>
        <v>0</v>
      </c>
      <c r="AC143" s="18" t="str">
        <f t="shared" si="21"/>
        <v/>
      </c>
      <c r="AD143" s="15" t="str">
        <f t="shared" si="22"/>
        <v/>
      </c>
      <c r="AE143" s="15" t="str">
        <f t="shared" si="23"/>
        <v/>
      </c>
      <c r="AF143" s="15" t="str">
        <f t="shared" si="24"/>
        <v/>
      </c>
      <c r="AG143" s="18">
        <f>IF(AND(S143=1,Z143="Y"),IF(Settings!$B$6="Percentage",IF(AD143=0,0,AC143*AA143*(N143/AD143)),IF(Settings!$B$6="Points",IF(AF143=0,0,AC143*(N143*AB143)/AF143),IF(Settings!$B$6="Equally",IF(AE143=0,0,AC143*N143/AE143),0))),0)</f>
        <v>0</v>
      </c>
      <c r="AH143" s="18" t="str">
        <f t="shared" si="25"/>
        <v/>
      </c>
      <c r="AI143" s="15">
        <f>IF(S143=1,IF(COUNTIFS($R$2:R143,R143,$S$2:S143,1)=1,1,0),0)</f>
        <v>0</v>
      </c>
      <c r="AJ143" s="15">
        <f>SUM($AI$2:AI143)</f>
        <v>12</v>
      </c>
    </row>
    <row r="144" spans="18:36">
      <c r="R144" s="15" t="str">
        <f t="shared" si="26"/>
        <v/>
      </c>
      <c r="S144" s="15">
        <f t="shared" si="18"/>
        <v>0</v>
      </c>
      <c r="T144" s="16" t="str">
        <f>IF(S144=1, DATE(YEAR(Settings!$B$3), MONTH(D144), DAY(D144)), "")</f>
        <v/>
      </c>
      <c r="U144" s="15" t="str">
        <f>IF(S144=1,IFERROR(INDEX(Settings!$B$12:$B$41,MATCH($B144,Settings!$A$12:$A$41,0)),"N"),"")</f>
        <v/>
      </c>
      <c r="V144" s="15" t="str">
        <f>IF(S144=1,IFERROR(INDEX(Settings!$C$12:$C$41,MATCH($B144,Settings!$A$12:$A$41,0)),""),"")</f>
        <v/>
      </c>
      <c r="W144" s="17">
        <f>IF(S144=1,IFERROR(INDEX(Settings!$D$12:$D$41,MATCH($B144,Settings!$A$12:$A$41,0)),0),0)</f>
        <v>0</v>
      </c>
      <c r="X144" s="18">
        <f t="shared" si="19"/>
        <v>0</v>
      </c>
      <c r="Y144" s="18" t="str">
        <f t="shared" si="20"/>
        <v/>
      </c>
      <c r="Z144" s="15" t="str">
        <f>IF(S144=1,IFERROR(INDEX(Settings!$E$12:$E$41,MATCH($B144,Settings!$A$12:$A$41,0)),"N"),"")</f>
        <v/>
      </c>
      <c r="AA144" s="17">
        <f>IF(S144=1,IFERROR(INDEX(Settings!$F$12:$F$41,MATCH($B144,Settings!$A$12:$A$41,0)),0),0)</f>
        <v>0</v>
      </c>
      <c r="AB144" s="15">
        <f>IF(S144=1,IFERROR(INDEX(Settings!$G$12:$G$41,MATCH($B144,Settings!$A$12:$A$41,0)),0),0)</f>
        <v>0</v>
      </c>
      <c r="AC144" s="18" t="str">
        <f t="shared" si="21"/>
        <v/>
      </c>
      <c r="AD144" s="15" t="str">
        <f t="shared" si="22"/>
        <v/>
      </c>
      <c r="AE144" s="15" t="str">
        <f t="shared" si="23"/>
        <v/>
      </c>
      <c r="AF144" s="15" t="str">
        <f t="shared" si="24"/>
        <v/>
      </c>
      <c r="AG144" s="18">
        <f>IF(AND(S144=1,Z144="Y"),IF(Settings!$B$6="Percentage",IF(AD144=0,0,AC144*AA144*(N144/AD144)),IF(Settings!$B$6="Points",IF(AF144=0,0,AC144*(N144*AB144)/AF144),IF(Settings!$B$6="Equally",IF(AE144=0,0,AC144*N144/AE144),0))),0)</f>
        <v>0</v>
      </c>
      <c r="AH144" s="18" t="str">
        <f t="shared" si="25"/>
        <v/>
      </c>
      <c r="AI144" s="15">
        <f>IF(S144=1,IF(COUNTIFS($R$2:R144,R144,$S$2:S144,1)=1,1,0),0)</f>
        <v>0</v>
      </c>
      <c r="AJ144" s="15">
        <f>SUM($AI$2:AI144)</f>
        <v>12</v>
      </c>
    </row>
    <row r="145" spans="18:36">
      <c r="R145" s="15" t="str">
        <f t="shared" si="26"/>
        <v/>
      </c>
      <c r="S145" s="15">
        <f t="shared" si="18"/>
        <v>0</v>
      </c>
      <c r="T145" s="16" t="str">
        <f>IF(S145=1, DATE(YEAR(Settings!$B$3), MONTH(D145), DAY(D145)), "")</f>
        <v/>
      </c>
      <c r="U145" s="15" t="str">
        <f>IF(S145=1,IFERROR(INDEX(Settings!$B$12:$B$41,MATCH($B145,Settings!$A$12:$A$41,0)),"N"),"")</f>
        <v/>
      </c>
      <c r="V145" s="15" t="str">
        <f>IF(S145=1,IFERROR(INDEX(Settings!$C$12:$C$41,MATCH($B145,Settings!$A$12:$A$41,0)),""),"")</f>
        <v/>
      </c>
      <c r="W145" s="17">
        <f>IF(S145=1,IFERROR(INDEX(Settings!$D$12:$D$41,MATCH($B145,Settings!$A$12:$A$41,0)),0),0)</f>
        <v>0</v>
      </c>
      <c r="X145" s="18">
        <f t="shared" si="19"/>
        <v>0</v>
      </c>
      <c r="Y145" s="18" t="str">
        <f t="shared" si="20"/>
        <v/>
      </c>
      <c r="Z145" s="15" t="str">
        <f>IF(S145=1,IFERROR(INDEX(Settings!$E$12:$E$41,MATCH($B145,Settings!$A$12:$A$41,0)),"N"),"")</f>
        <v/>
      </c>
      <c r="AA145" s="17">
        <f>IF(S145=1,IFERROR(INDEX(Settings!$F$12:$F$41,MATCH($B145,Settings!$A$12:$A$41,0)),0),0)</f>
        <v>0</v>
      </c>
      <c r="AB145" s="15">
        <f>IF(S145=1,IFERROR(INDEX(Settings!$G$12:$G$41,MATCH($B145,Settings!$A$12:$A$41,0)),0),0)</f>
        <v>0</v>
      </c>
      <c r="AC145" s="18" t="str">
        <f t="shared" si="21"/>
        <v/>
      </c>
      <c r="AD145" s="15" t="str">
        <f t="shared" si="22"/>
        <v/>
      </c>
      <c r="AE145" s="15" t="str">
        <f t="shared" si="23"/>
        <v/>
      </c>
      <c r="AF145" s="15" t="str">
        <f t="shared" si="24"/>
        <v/>
      </c>
      <c r="AG145" s="18">
        <f>IF(AND(S145=1,Z145="Y"),IF(Settings!$B$6="Percentage",IF(AD145=0,0,AC145*AA145*(N145/AD145)),IF(Settings!$B$6="Points",IF(AF145=0,0,AC145*(N145*AB145)/AF145),IF(Settings!$B$6="Equally",IF(AE145=0,0,AC145*N145/AE145),0))),0)</f>
        <v>0</v>
      </c>
      <c r="AH145" s="18" t="str">
        <f t="shared" si="25"/>
        <v/>
      </c>
      <c r="AI145" s="15">
        <f>IF(S145=1,IF(COUNTIFS($R$2:R145,R145,$S$2:S145,1)=1,1,0),0)</f>
        <v>0</v>
      </c>
      <c r="AJ145" s="15">
        <f>SUM($AI$2:AI145)</f>
        <v>12</v>
      </c>
    </row>
    <row r="146" spans="18:36">
      <c r="R146" s="15" t="str">
        <f t="shared" si="26"/>
        <v/>
      </c>
      <c r="S146" s="15">
        <f t="shared" si="18"/>
        <v>0</v>
      </c>
      <c r="T146" s="16" t="str">
        <f>IF(S146=1, DATE(YEAR(Settings!$B$3), MONTH(D146), DAY(D146)), "")</f>
        <v/>
      </c>
      <c r="U146" s="15" t="str">
        <f>IF(S146=1,IFERROR(INDEX(Settings!$B$12:$B$41,MATCH($B146,Settings!$A$12:$A$41,0)),"N"),"")</f>
        <v/>
      </c>
      <c r="V146" s="15" t="str">
        <f>IF(S146=1,IFERROR(INDEX(Settings!$C$12:$C$41,MATCH($B146,Settings!$A$12:$A$41,0)),""),"")</f>
        <v/>
      </c>
      <c r="W146" s="17">
        <f>IF(S146=1,IFERROR(INDEX(Settings!$D$12:$D$41,MATCH($B146,Settings!$A$12:$A$41,0)),0),0)</f>
        <v>0</v>
      </c>
      <c r="X146" s="18">
        <f t="shared" si="19"/>
        <v>0</v>
      </c>
      <c r="Y146" s="18" t="str">
        <f t="shared" si="20"/>
        <v/>
      </c>
      <c r="Z146" s="15" t="str">
        <f>IF(S146=1,IFERROR(INDEX(Settings!$E$12:$E$41,MATCH($B146,Settings!$A$12:$A$41,0)),"N"),"")</f>
        <v/>
      </c>
      <c r="AA146" s="17">
        <f>IF(S146=1,IFERROR(INDEX(Settings!$F$12:$F$41,MATCH($B146,Settings!$A$12:$A$41,0)),0),0)</f>
        <v>0</v>
      </c>
      <c r="AB146" s="15">
        <f>IF(S146=1,IFERROR(INDEX(Settings!$G$12:$G$41,MATCH($B146,Settings!$A$12:$A$41,0)),0),0)</f>
        <v>0</v>
      </c>
      <c r="AC146" s="18" t="str">
        <f t="shared" si="21"/>
        <v/>
      </c>
      <c r="AD146" s="15" t="str">
        <f t="shared" si="22"/>
        <v/>
      </c>
      <c r="AE146" s="15" t="str">
        <f t="shared" si="23"/>
        <v/>
      </c>
      <c r="AF146" s="15" t="str">
        <f t="shared" si="24"/>
        <v/>
      </c>
      <c r="AG146" s="18">
        <f>IF(AND(S146=1,Z146="Y"),IF(Settings!$B$6="Percentage",IF(AD146=0,0,AC146*AA146*(N146/AD146)),IF(Settings!$B$6="Points",IF(AF146=0,0,AC146*(N146*AB146)/AF146),IF(Settings!$B$6="Equally",IF(AE146=0,0,AC146*N146/AE146),0))),0)</f>
        <v>0</v>
      </c>
      <c r="AH146" s="18" t="str">
        <f t="shared" si="25"/>
        <v/>
      </c>
      <c r="AI146" s="15">
        <f>IF(S146=1,IF(COUNTIFS($R$2:R146,R146,$S$2:S146,1)=1,1,0),0)</f>
        <v>0</v>
      </c>
      <c r="AJ146" s="15">
        <f>SUM($AI$2:AI146)</f>
        <v>12</v>
      </c>
    </row>
    <row r="147" spans="18:36">
      <c r="R147" s="15" t="str">
        <f t="shared" si="26"/>
        <v/>
      </c>
      <c r="S147" s="15">
        <f t="shared" si="18"/>
        <v>0</v>
      </c>
      <c r="T147" s="16" t="str">
        <f>IF(S147=1, DATE(YEAR(Settings!$B$3), MONTH(D147), DAY(D147)), "")</f>
        <v/>
      </c>
      <c r="U147" s="15" t="str">
        <f>IF(S147=1,IFERROR(INDEX(Settings!$B$12:$B$41,MATCH($B147,Settings!$A$12:$A$41,0)),"N"),"")</f>
        <v/>
      </c>
      <c r="V147" s="15" t="str">
        <f>IF(S147=1,IFERROR(INDEX(Settings!$C$12:$C$41,MATCH($B147,Settings!$A$12:$A$41,0)),""),"")</f>
        <v/>
      </c>
      <c r="W147" s="17">
        <f>IF(S147=1,IFERROR(INDEX(Settings!$D$12:$D$41,MATCH($B147,Settings!$A$12:$A$41,0)),0),0)</f>
        <v>0</v>
      </c>
      <c r="X147" s="18">
        <f t="shared" si="19"/>
        <v>0</v>
      </c>
      <c r="Y147" s="18" t="str">
        <f t="shared" si="20"/>
        <v/>
      </c>
      <c r="Z147" s="15" t="str">
        <f>IF(S147=1,IFERROR(INDEX(Settings!$E$12:$E$41,MATCH($B147,Settings!$A$12:$A$41,0)),"N"),"")</f>
        <v/>
      </c>
      <c r="AA147" s="17">
        <f>IF(S147=1,IFERROR(INDEX(Settings!$F$12:$F$41,MATCH($B147,Settings!$A$12:$A$41,0)),0),0)</f>
        <v>0</v>
      </c>
      <c r="AB147" s="15">
        <f>IF(S147=1,IFERROR(INDEX(Settings!$G$12:$G$41,MATCH($B147,Settings!$A$12:$A$41,0)),0),0)</f>
        <v>0</v>
      </c>
      <c r="AC147" s="18" t="str">
        <f t="shared" si="21"/>
        <v/>
      </c>
      <c r="AD147" s="15" t="str">
        <f t="shared" si="22"/>
        <v/>
      </c>
      <c r="AE147" s="15" t="str">
        <f t="shared" si="23"/>
        <v/>
      </c>
      <c r="AF147" s="15" t="str">
        <f t="shared" si="24"/>
        <v/>
      </c>
      <c r="AG147" s="18">
        <f>IF(AND(S147=1,Z147="Y"),IF(Settings!$B$6="Percentage",IF(AD147=0,0,AC147*AA147*(N147/AD147)),IF(Settings!$B$6="Points",IF(AF147=0,0,AC147*(N147*AB147)/AF147),IF(Settings!$B$6="Equally",IF(AE147=0,0,AC147*N147/AE147),0))),0)</f>
        <v>0</v>
      </c>
      <c r="AH147" s="18" t="str">
        <f t="shared" si="25"/>
        <v/>
      </c>
      <c r="AI147" s="15">
        <f>IF(S147=1,IF(COUNTIFS($R$2:R147,R147,$S$2:S147,1)=1,1,0),0)</f>
        <v>0</v>
      </c>
      <c r="AJ147" s="15">
        <f>SUM($AI$2:AI147)</f>
        <v>12</v>
      </c>
    </row>
    <row r="148" spans="18:36">
      <c r="R148" s="15" t="str">
        <f t="shared" si="26"/>
        <v/>
      </c>
      <c r="S148" s="15">
        <f t="shared" si="18"/>
        <v>0</v>
      </c>
      <c r="T148" s="16" t="str">
        <f>IF(S148=1, DATE(YEAR(Settings!$B$3), MONTH(D148), DAY(D148)), "")</f>
        <v/>
      </c>
      <c r="U148" s="15" t="str">
        <f>IF(S148=1,IFERROR(INDEX(Settings!$B$12:$B$41,MATCH($B148,Settings!$A$12:$A$41,0)),"N"),"")</f>
        <v/>
      </c>
      <c r="V148" s="15" t="str">
        <f>IF(S148=1,IFERROR(INDEX(Settings!$C$12:$C$41,MATCH($B148,Settings!$A$12:$A$41,0)),""),"")</f>
        <v/>
      </c>
      <c r="W148" s="17">
        <f>IF(S148=1,IFERROR(INDEX(Settings!$D$12:$D$41,MATCH($B148,Settings!$A$12:$A$41,0)),0),0)</f>
        <v>0</v>
      </c>
      <c r="X148" s="18">
        <f t="shared" si="19"/>
        <v>0</v>
      </c>
      <c r="Y148" s="18" t="str">
        <f t="shared" si="20"/>
        <v/>
      </c>
      <c r="Z148" s="15" t="str">
        <f>IF(S148=1,IFERROR(INDEX(Settings!$E$12:$E$41,MATCH($B148,Settings!$A$12:$A$41,0)),"N"),"")</f>
        <v/>
      </c>
      <c r="AA148" s="17">
        <f>IF(S148=1,IFERROR(INDEX(Settings!$F$12:$F$41,MATCH($B148,Settings!$A$12:$A$41,0)),0),0)</f>
        <v>0</v>
      </c>
      <c r="AB148" s="15">
        <f>IF(S148=1,IFERROR(INDEX(Settings!$G$12:$G$41,MATCH($B148,Settings!$A$12:$A$41,0)),0),0)</f>
        <v>0</v>
      </c>
      <c r="AC148" s="18" t="str">
        <f t="shared" si="21"/>
        <v/>
      </c>
      <c r="AD148" s="15" t="str">
        <f t="shared" si="22"/>
        <v/>
      </c>
      <c r="AE148" s="15" t="str">
        <f t="shared" si="23"/>
        <v/>
      </c>
      <c r="AF148" s="15" t="str">
        <f t="shared" si="24"/>
        <v/>
      </c>
      <c r="AG148" s="18">
        <f>IF(AND(S148=1,Z148="Y"),IF(Settings!$B$6="Percentage",IF(AD148=0,0,AC148*AA148*(N148/AD148)),IF(Settings!$B$6="Points",IF(AF148=0,0,AC148*(N148*AB148)/AF148),IF(Settings!$B$6="Equally",IF(AE148=0,0,AC148*N148/AE148),0))),0)</f>
        <v>0</v>
      </c>
      <c r="AH148" s="18" t="str">
        <f t="shared" si="25"/>
        <v/>
      </c>
      <c r="AI148" s="15">
        <f>IF(S148=1,IF(COUNTIFS($R$2:R148,R148,$S$2:S148,1)=1,1,0),0)</f>
        <v>0</v>
      </c>
      <c r="AJ148" s="15">
        <f>SUM($AI$2:AI148)</f>
        <v>12</v>
      </c>
    </row>
    <row r="149" spans="18:36">
      <c r="R149" s="15" t="str">
        <f t="shared" si="26"/>
        <v/>
      </c>
      <c r="S149" s="15">
        <f t="shared" si="18"/>
        <v>0</v>
      </c>
      <c r="T149" s="16" t="str">
        <f>IF(S149=1, DATE(YEAR(Settings!$B$3), MONTH(D149), DAY(D149)), "")</f>
        <v/>
      </c>
      <c r="U149" s="15" t="str">
        <f>IF(S149=1,IFERROR(INDEX(Settings!$B$12:$B$41,MATCH($B149,Settings!$A$12:$A$41,0)),"N"),"")</f>
        <v/>
      </c>
      <c r="V149" s="15" t="str">
        <f>IF(S149=1,IFERROR(INDEX(Settings!$C$12:$C$41,MATCH($B149,Settings!$A$12:$A$41,0)),""),"")</f>
        <v/>
      </c>
      <c r="W149" s="17">
        <f>IF(S149=1,IFERROR(INDEX(Settings!$D$12:$D$41,MATCH($B149,Settings!$A$12:$A$41,0)),0),0)</f>
        <v>0</v>
      </c>
      <c r="X149" s="18">
        <f t="shared" si="19"/>
        <v>0</v>
      </c>
      <c r="Y149" s="18" t="str">
        <f t="shared" si="20"/>
        <v/>
      </c>
      <c r="Z149" s="15" t="str">
        <f>IF(S149=1,IFERROR(INDEX(Settings!$E$12:$E$41,MATCH($B149,Settings!$A$12:$A$41,0)),"N"),"")</f>
        <v/>
      </c>
      <c r="AA149" s="17">
        <f>IF(S149=1,IFERROR(INDEX(Settings!$F$12:$F$41,MATCH($B149,Settings!$A$12:$A$41,0)),0),0)</f>
        <v>0</v>
      </c>
      <c r="AB149" s="15">
        <f>IF(S149=1,IFERROR(INDEX(Settings!$G$12:$G$41,MATCH($B149,Settings!$A$12:$A$41,0)),0),0)</f>
        <v>0</v>
      </c>
      <c r="AC149" s="18" t="str">
        <f t="shared" si="21"/>
        <v/>
      </c>
      <c r="AD149" s="15" t="str">
        <f t="shared" si="22"/>
        <v/>
      </c>
      <c r="AE149" s="15" t="str">
        <f t="shared" si="23"/>
        <v/>
      </c>
      <c r="AF149" s="15" t="str">
        <f t="shared" si="24"/>
        <v/>
      </c>
      <c r="AG149" s="18">
        <f>IF(AND(S149=1,Z149="Y"),IF(Settings!$B$6="Percentage",IF(AD149=0,0,AC149*AA149*(N149/AD149)),IF(Settings!$B$6="Points",IF(AF149=0,0,AC149*(N149*AB149)/AF149),IF(Settings!$B$6="Equally",IF(AE149=0,0,AC149*N149/AE149),0))),0)</f>
        <v>0</v>
      </c>
      <c r="AH149" s="18" t="str">
        <f t="shared" si="25"/>
        <v/>
      </c>
      <c r="AI149" s="15">
        <f>IF(S149=1,IF(COUNTIFS($R$2:R149,R149,$S$2:S149,1)=1,1,0),0)</f>
        <v>0</v>
      </c>
      <c r="AJ149" s="15">
        <f>SUM($AI$2:AI149)</f>
        <v>12</v>
      </c>
    </row>
    <row r="150" spans="18:36">
      <c r="R150" s="15" t="str">
        <f t="shared" si="26"/>
        <v/>
      </c>
      <c r="S150" s="15">
        <f t="shared" si="18"/>
        <v>0</v>
      </c>
      <c r="T150" s="16" t="str">
        <f>IF(S150=1, DATE(YEAR(Settings!$B$3), MONTH(D150), DAY(D150)), "")</f>
        <v/>
      </c>
      <c r="U150" s="15" t="str">
        <f>IF(S150=1,IFERROR(INDEX(Settings!$B$12:$B$41,MATCH($B150,Settings!$A$12:$A$41,0)),"N"),"")</f>
        <v/>
      </c>
      <c r="V150" s="15" t="str">
        <f>IF(S150=1,IFERROR(INDEX(Settings!$C$12:$C$41,MATCH($B150,Settings!$A$12:$A$41,0)),""),"")</f>
        <v/>
      </c>
      <c r="W150" s="17">
        <f>IF(S150=1,IFERROR(INDEX(Settings!$D$12:$D$41,MATCH($B150,Settings!$A$12:$A$41,0)),0),0)</f>
        <v>0</v>
      </c>
      <c r="X150" s="18">
        <f t="shared" si="19"/>
        <v>0</v>
      </c>
      <c r="Y150" s="18" t="str">
        <f t="shared" si="20"/>
        <v/>
      </c>
      <c r="Z150" s="15" t="str">
        <f>IF(S150=1,IFERROR(INDEX(Settings!$E$12:$E$41,MATCH($B150,Settings!$A$12:$A$41,0)),"N"),"")</f>
        <v/>
      </c>
      <c r="AA150" s="17">
        <f>IF(S150=1,IFERROR(INDEX(Settings!$F$12:$F$41,MATCH($B150,Settings!$A$12:$A$41,0)),0),0)</f>
        <v>0</v>
      </c>
      <c r="AB150" s="15">
        <f>IF(S150=1,IFERROR(INDEX(Settings!$G$12:$G$41,MATCH($B150,Settings!$A$12:$A$41,0)),0),0)</f>
        <v>0</v>
      </c>
      <c r="AC150" s="18" t="str">
        <f t="shared" si="21"/>
        <v/>
      </c>
      <c r="AD150" s="15" t="str">
        <f t="shared" si="22"/>
        <v/>
      </c>
      <c r="AE150" s="15" t="str">
        <f t="shared" si="23"/>
        <v/>
      </c>
      <c r="AF150" s="15" t="str">
        <f t="shared" si="24"/>
        <v/>
      </c>
      <c r="AG150" s="18">
        <f>IF(AND(S150=1,Z150="Y"),IF(Settings!$B$6="Percentage",IF(AD150=0,0,AC150*AA150*(N150/AD150)),IF(Settings!$B$6="Points",IF(AF150=0,0,AC150*(N150*AB150)/AF150),IF(Settings!$B$6="Equally",IF(AE150=0,0,AC150*N150/AE150),0))),0)</f>
        <v>0</v>
      </c>
      <c r="AH150" s="18" t="str">
        <f t="shared" si="25"/>
        <v/>
      </c>
      <c r="AI150" s="15">
        <f>IF(S150=1,IF(COUNTIFS($R$2:R150,R150,$S$2:S150,1)=1,1,0),0)</f>
        <v>0</v>
      </c>
      <c r="AJ150" s="15">
        <f>SUM($AI$2:AI150)</f>
        <v>12</v>
      </c>
    </row>
    <row r="151" spans="18:36">
      <c r="R151" s="15" t="str">
        <f t="shared" si="26"/>
        <v/>
      </c>
      <c r="S151" s="15">
        <f t="shared" si="18"/>
        <v>0</v>
      </c>
      <c r="T151" s="16" t="str">
        <f>IF(S151=1, DATE(YEAR(Settings!$B$3), MONTH(D151), DAY(D151)), "")</f>
        <v/>
      </c>
      <c r="U151" s="15" t="str">
        <f>IF(S151=1,IFERROR(INDEX(Settings!$B$12:$B$41,MATCH($B151,Settings!$A$12:$A$41,0)),"N"),"")</f>
        <v/>
      </c>
      <c r="V151" s="15" t="str">
        <f>IF(S151=1,IFERROR(INDEX(Settings!$C$12:$C$41,MATCH($B151,Settings!$A$12:$A$41,0)),""),"")</f>
        <v/>
      </c>
      <c r="W151" s="17">
        <f>IF(S151=1,IFERROR(INDEX(Settings!$D$12:$D$41,MATCH($B151,Settings!$A$12:$A$41,0)),0),0)</f>
        <v>0</v>
      </c>
      <c r="X151" s="18">
        <f t="shared" si="19"/>
        <v>0</v>
      </c>
      <c r="Y151" s="18" t="str">
        <f t="shared" si="20"/>
        <v/>
      </c>
      <c r="Z151" s="15" t="str">
        <f>IF(S151=1,IFERROR(INDEX(Settings!$E$12:$E$41,MATCH($B151,Settings!$A$12:$A$41,0)),"N"),"")</f>
        <v/>
      </c>
      <c r="AA151" s="17">
        <f>IF(S151=1,IFERROR(INDEX(Settings!$F$12:$F$41,MATCH($B151,Settings!$A$12:$A$41,0)),0),0)</f>
        <v>0</v>
      </c>
      <c r="AB151" s="15">
        <f>IF(S151=1,IFERROR(INDEX(Settings!$G$12:$G$41,MATCH($B151,Settings!$A$12:$A$41,0)),0),0)</f>
        <v>0</v>
      </c>
      <c r="AC151" s="18" t="str">
        <f t="shared" si="21"/>
        <v/>
      </c>
      <c r="AD151" s="15" t="str">
        <f t="shared" si="22"/>
        <v/>
      </c>
      <c r="AE151" s="15" t="str">
        <f t="shared" si="23"/>
        <v/>
      </c>
      <c r="AF151" s="15" t="str">
        <f t="shared" si="24"/>
        <v/>
      </c>
      <c r="AG151" s="18">
        <f>IF(AND(S151=1,Z151="Y"),IF(Settings!$B$6="Percentage",IF(AD151=0,0,AC151*AA151*(N151/AD151)),IF(Settings!$B$6="Points",IF(AF151=0,0,AC151*(N151*AB151)/AF151),IF(Settings!$B$6="Equally",IF(AE151=0,0,AC151*N151/AE151),0))),0)</f>
        <v>0</v>
      </c>
      <c r="AH151" s="18" t="str">
        <f t="shared" si="25"/>
        <v/>
      </c>
      <c r="AI151" s="15">
        <f>IF(S151=1,IF(COUNTIFS($R$2:R151,R151,$S$2:S151,1)=1,1,0),0)</f>
        <v>0</v>
      </c>
      <c r="AJ151" s="15">
        <f>SUM($AI$2:AI151)</f>
        <v>12</v>
      </c>
    </row>
    <row r="152" spans="18:36">
      <c r="R152" s="15" t="str">
        <f t="shared" si="26"/>
        <v/>
      </c>
      <c r="S152" s="15">
        <f t="shared" si="18"/>
        <v>0</v>
      </c>
      <c r="T152" s="16" t="str">
        <f>IF(S152=1, DATE(YEAR(Settings!$B$3), MONTH(D152), DAY(D152)), "")</f>
        <v/>
      </c>
      <c r="U152" s="15" t="str">
        <f>IF(S152=1,IFERROR(INDEX(Settings!$B$12:$B$41,MATCH($B152,Settings!$A$12:$A$41,0)),"N"),"")</f>
        <v/>
      </c>
      <c r="V152" s="15" t="str">
        <f>IF(S152=1,IFERROR(INDEX(Settings!$C$12:$C$41,MATCH($B152,Settings!$A$12:$A$41,0)),""),"")</f>
        <v/>
      </c>
      <c r="W152" s="17">
        <f>IF(S152=1,IFERROR(INDEX(Settings!$D$12:$D$41,MATCH($B152,Settings!$A$12:$A$41,0)),0),0)</f>
        <v>0</v>
      </c>
      <c r="X152" s="18">
        <f t="shared" si="19"/>
        <v>0</v>
      </c>
      <c r="Y152" s="18" t="str">
        <f t="shared" si="20"/>
        <v/>
      </c>
      <c r="Z152" s="15" t="str">
        <f>IF(S152=1,IFERROR(INDEX(Settings!$E$12:$E$41,MATCH($B152,Settings!$A$12:$A$41,0)),"N"),"")</f>
        <v/>
      </c>
      <c r="AA152" s="17">
        <f>IF(S152=1,IFERROR(INDEX(Settings!$F$12:$F$41,MATCH($B152,Settings!$A$12:$A$41,0)),0),0)</f>
        <v>0</v>
      </c>
      <c r="AB152" s="15">
        <f>IF(S152=1,IFERROR(INDEX(Settings!$G$12:$G$41,MATCH($B152,Settings!$A$12:$A$41,0)),0),0)</f>
        <v>0</v>
      </c>
      <c r="AC152" s="18" t="str">
        <f t="shared" si="21"/>
        <v/>
      </c>
      <c r="AD152" s="15" t="str">
        <f t="shared" si="22"/>
        <v/>
      </c>
      <c r="AE152" s="15" t="str">
        <f t="shared" si="23"/>
        <v/>
      </c>
      <c r="AF152" s="15" t="str">
        <f t="shared" si="24"/>
        <v/>
      </c>
      <c r="AG152" s="18">
        <f>IF(AND(S152=1,Z152="Y"),IF(Settings!$B$6="Percentage",IF(AD152=0,0,AC152*AA152*(N152/AD152)),IF(Settings!$B$6="Points",IF(AF152=0,0,AC152*(N152*AB152)/AF152),IF(Settings!$B$6="Equally",IF(AE152=0,0,AC152*N152/AE152),0))),0)</f>
        <v>0</v>
      </c>
      <c r="AH152" s="18" t="str">
        <f t="shared" si="25"/>
        <v/>
      </c>
      <c r="AI152" s="15">
        <f>IF(S152=1,IF(COUNTIFS($R$2:R152,R152,$S$2:S152,1)=1,1,0),0)</f>
        <v>0</v>
      </c>
      <c r="AJ152" s="15">
        <f>SUM($AI$2:AI152)</f>
        <v>12</v>
      </c>
    </row>
    <row r="153" spans="18:36">
      <c r="R153" s="15" t="str">
        <f t="shared" si="26"/>
        <v/>
      </c>
      <c r="S153" s="15">
        <f t="shared" si="18"/>
        <v>0</v>
      </c>
      <c r="T153" s="16" t="str">
        <f>IF(S153=1, DATE(YEAR(Settings!$B$3), MONTH(D153), DAY(D153)), "")</f>
        <v/>
      </c>
      <c r="U153" s="15" t="str">
        <f>IF(S153=1,IFERROR(INDEX(Settings!$B$12:$B$41,MATCH($B153,Settings!$A$12:$A$41,0)),"N"),"")</f>
        <v/>
      </c>
      <c r="V153" s="15" t="str">
        <f>IF(S153=1,IFERROR(INDEX(Settings!$C$12:$C$41,MATCH($B153,Settings!$A$12:$A$41,0)),""),"")</f>
        <v/>
      </c>
      <c r="W153" s="17">
        <f>IF(S153=1,IFERROR(INDEX(Settings!$D$12:$D$41,MATCH($B153,Settings!$A$12:$A$41,0)),0),0)</f>
        <v>0</v>
      </c>
      <c r="X153" s="18">
        <f t="shared" si="19"/>
        <v>0</v>
      </c>
      <c r="Y153" s="18" t="str">
        <f t="shared" si="20"/>
        <v/>
      </c>
      <c r="Z153" s="15" t="str">
        <f>IF(S153=1,IFERROR(INDEX(Settings!$E$12:$E$41,MATCH($B153,Settings!$A$12:$A$41,0)),"N"),"")</f>
        <v/>
      </c>
      <c r="AA153" s="17">
        <f>IF(S153=1,IFERROR(INDEX(Settings!$F$12:$F$41,MATCH($B153,Settings!$A$12:$A$41,0)),0),0)</f>
        <v>0</v>
      </c>
      <c r="AB153" s="15">
        <f>IF(S153=1,IFERROR(INDEX(Settings!$G$12:$G$41,MATCH($B153,Settings!$A$12:$A$41,0)),0),0)</f>
        <v>0</v>
      </c>
      <c r="AC153" s="18" t="str">
        <f t="shared" si="21"/>
        <v/>
      </c>
      <c r="AD153" s="15" t="str">
        <f t="shared" si="22"/>
        <v/>
      </c>
      <c r="AE153" s="15" t="str">
        <f t="shared" si="23"/>
        <v/>
      </c>
      <c r="AF153" s="15" t="str">
        <f t="shared" si="24"/>
        <v/>
      </c>
      <c r="AG153" s="18">
        <f>IF(AND(S153=1,Z153="Y"),IF(Settings!$B$6="Percentage",IF(AD153=0,0,AC153*AA153*(N153/AD153)),IF(Settings!$B$6="Points",IF(AF153=0,0,AC153*(N153*AB153)/AF153),IF(Settings!$B$6="Equally",IF(AE153=0,0,AC153*N153/AE153),0))),0)</f>
        <v>0</v>
      </c>
      <c r="AH153" s="18" t="str">
        <f t="shared" si="25"/>
        <v/>
      </c>
      <c r="AI153" s="15">
        <f>IF(S153=1,IF(COUNTIFS($R$2:R153,R153,$S$2:S153,1)=1,1,0),0)</f>
        <v>0</v>
      </c>
      <c r="AJ153" s="15">
        <f>SUM($AI$2:AI153)</f>
        <v>12</v>
      </c>
    </row>
    <row r="154" spans="18:36">
      <c r="R154" s="15" t="str">
        <f t="shared" si="26"/>
        <v/>
      </c>
      <c r="S154" s="15">
        <f t="shared" si="18"/>
        <v>0</v>
      </c>
      <c r="T154" s="16" t="str">
        <f>IF(S154=1, DATE(YEAR(Settings!$B$3), MONTH(D154), DAY(D154)), "")</f>
        <v/>
      </c>
      <c r="U154" s="15" t="str">
        <f>IF(S154=1,IFERROR(INDEX(Settings!$B$12:$B$41,MATCH($B154,Settings!$A$12:$A$41,0)),"N"),"")</f>
        <v/>
      </c>
      <c r="V154" s="15" t="str">
        <f>IF(S154=1,IFERROR(INDEX(Settings!$C$12:$C$41,MATCH($B154,Settings!$A$12:$A$41,0)),""),"")</f>
        <v/>
      </c>
      <c r="W154" s="17">
        <f>IF(S154=1,IFERROR(INDEX(Settings!$D$12:$D$41,MATCH($B154,Settings!$A$12:$A$41,0)),0),0)</f>
        <v>0</v>
      </c>
      <c r="X154" s="18">
        <f t="shared" si="19"/>
        <v>0</v>
      </c>
      <c r="Y154" s="18" t="str">
        <f t="shared" si="20"/>
        <v/>
      </c>
      <c r="Z154" s="15" t="str">
        <f>IF(S154=1,IFERROR(INDEX(Settings!$E$12:$E$41,MATCH($B154,Settings!$A$12:$A$41,0)),"N"),"")</f>
        <v/>
      </c>
      <c r="AA154" s="17">
        <f>IF(S154=1,IFERROR(INDEX(Settings!$F$12:$F$41,MATCH($B154,Settings!$A$12:$A$41,0)),0),0)</f>
        <v>0</v>
      </c>
      <c r="AB154" s="15">
        <f>IF(S154=1,IFERROR(INDEX(Settings!$G$12:$G$41,MATCH($B154,Settings!$A$12:$A$41,0)),0),0)</f>
        <v>0</v>
      </c>
      <c r="AC154" s="18" t="str">
        <f t="shared" si="21"/>
        <v/>
      </c>
      <c r="AD154" s="15" t="str">
        <f t="shared" si="22"/>
        <v/>
      </c>
      <c r="AE154" s="15" t="str">
        <f t="shared" si="23"/>
        <v/>
      </c>
      <c r="AF154" s="15" t="str">
        <f t="shared" si="24"/>
        <v/>
      </c>
      <c r="AG154" s="18">
        <f>IF(AND(S154=1,Z154="Y"),IF(Settings!$B$6="Percentage",IF(AD154=0,0,AC154*AA154*(N154/AD154)),IF(Settings!$B$6="Points",IF(AF154=0,0,AC154*(N154*AB154)/AF154),IF(Settings!$B$6="Equally",IF(AE154=0,0,AC154*N154/AE154),0))),0)</f>
        <v>0</v>
      </c>
      <c r="AH154" s="18" t="str">
        <f t="shared" si="25"/>
        <v/>
      </c>
      <c r="AI154" s="15">
        <f>IF(S154=1,IF(COUNTIFS($R$2:R154,R154,$S$2:S154,1)=1,1,0),0)</f>
        <v>0</v>
      </c>
      <c r="AJ154" s="15">
        <f>SUM($AI$2:AI154)</f>
        <v>12</v>
      </c>
    </row>
    <row r="155" spans="18:36">
      <c r="R155" s="15" t="str">
        <f t="shared" si="26"/>
        <v/>
      </c>
      <c r="S155" s="15">
        <f t="shared" si="18"/>
        <v>0</v>
      </c>
      <c r="T155" s="16" t="str">
        <f>IF(S155=1, DATE(YEAR(Settings!$B$3), MONTH(D155), DAY(D155)), "")</f>
        <v/>
      </c>
      <c r="U155" s="15" t="str">
        <f>IF(S155=1,IFERROR(INDEX(Settings!$B$12:$B$41,MATCH($B155,Settings!$A$12:$A$41,0)),"N"),"")</f>
        <v/>
      </c>
      <c r="V155" s="15" t="str">
        <f>IF(S155=1,IFERROR(INDEX(Settings!$C$12:$C$41,MATCH($B155,Settings!$A$12:$A$41,0)),""),"")</f>
        <v/>
      </c>
      <c r="W155" s="17">
        <f>IF(S155=1,IFERROR(INDEX(Settings!$D$12:$D$41,MATCH($B155,Settings!$A$12:$A$41,0)),0),0)</f>
        <v>0</v>
      </c>
      <c r="X155" s="18">
        <f t="shared" si="19"/>
        <v>0</v>
      </c>
      <c r="Y155" s="18" t="str">
        <f t="shared" si="20"/>
        <v/>
      </c>
      <c r="Z155" s="15" t="str">
        <f>IF(S155=1,IFERROR(INDEX(Settings!$E$12:$E$41,MATCH($B155,Settings!$A$12:$A$41,0)),"N"),"")</f>
        <v/>
      </c>
      <c r="AA155" s="17">
        <f>IF(S155=1,IFERROR(INDEX(Settings!$F$12:$F$41,MATCH($B155,Settings!$A$12:$A$41,0)),0),0)</f>
        <v>0</v>
      </c>
      <c r="AB155" s="15">
        <f>IF(S155=1,IFERROR(INDEX(Settings!$G$12:$G$41,MATCH($B155,Settings!$A$12:$A$41,0)),0),0)</f>
        <v>0</v>
      </c>
      <c r="AC155" s="18" t="str">
        <f t="shared" si="21"/>
        <v/>
      </c>
      <c r="AD155" s="15" t="str">
        <f t="shared" si="22"/>
        <v/>
      </c>
      <c r="AE155" s="15" t="str">
        <f t="shared" si="23"/>
        <v/>
      </c>
      <c r="AF155" s="15" t="str">
        <f t="shared" si="24"/>
        <v/>
      </c>
      <c r="AG155" s="18">
        <f>IF(AND(S155=1,Z155="Y"),IF(Settings!$B$6="Percentage",IF(AD155=0,0,AC155*AA155*(N155/AD155)),IF(Settings!$B$6="Points",IF(AF155=0,0,AC155*(N155*AB155)/AF155),IF(Settings!$B$6="Equally",IF(AE155=0,0,AC155*N155/AE155),0))),0)</f>
        <v>0</v>
      </c>
      <c r="AH155" s="18" t="str">
        <f t="shared" si="25"/>
        <v/>
      </c>
      <c r="AI155" s="15">
        <f>IF(S155=1,IF(COUNTIFS($R$2:R155,R155,$S$2:S155,1)=1,1,0),0)</f>
        <v>0</v>
      </c>
      <c r="AJ155" s="15">
        <f>SUM($AI$2:AI155)</f>
        <v>12</v>
      </c>
    </row>
    <row r="156" spans="18:36">
      <c r="R156" s="15" t="str">
        <f t="shared" si="26"/>
        <v/>
      </c>
      <c r="S156" s="15">
        <f t="shared" si="18"/>
        <v>0</v>
      </c>
      <c r="T156" s="16" t="str">
        <f>IF(S156=1, DATE(YEAR(Settings!$B$3), MONTH(D156), DAY(D156)), "")</f>
        <v/>
      </c>
      <c r="U156" s="15" t="str">
        <f>IF(S156=1,IFERROR(INDEX(Settings!$B$12:$B$41,MATCH($B156,Settings!$A$12:$A$41,0)),"N"),"")</f>
        <v/>
      </c>
      <c r="V156" s="15" t="str">
        <f>IF(S156=1,IFERROR(INDEX(Settings!$C$12:$C$41,MATCH($B156,Settings!$A$12:$A$41,0)),""),"")</f>
        <v/>
      </c>
      <c r="W156" s="17">
        <f>IF(S156=1,IFERROR(INDEX(Settings!$D$12:$D$41,MATCH($B156,Settings!$A$12:$A$41,0)),0),0)</f>
        <v>0</v>
      </c>
      <c r="X156" s="18">
        <f t="shared" si="19"/>
        <v>0</v>
      </c>
      <c r="Y156" s="18" t="str">
        <f t="shared" si="20"/>
        <v/>
      </c>
      <c r="Z156" s="15" t="str">
        <f>IF(S156=1,IFERROR(INDEX(Settings!$E$12:$E$41,MATCH($B156,Settings!$A$12:$A$41,0)),"N"),"")</f>
        <v/>
      </c>
      <c r="AA156" s="17">
        <f>IF(S156=1,IFERROR(INDEX(Settings!$F$12:$F$41,MATCH($B156,Settings!$A$12:$A$41,0)),0),0)</f>
        <v>0</v>
      </c>
      <c r="AB156" s="15">
        <f>IF(S156=1,IFERROR(INDEX(Settings!$G$12:$G$41,MATCH($B156,Settings!$A$12:$A$41,0)),0),0)</f>
        <v>0</v>
      </c>
      <c r="AC156" s="18" t="str">
        <f t="shared" si="21"/>
        <v/>
      </c>
      <c r="AD156" s="15" t="str">
        <f t="shared" si="22"/>
        <v/>
      </c>
      <c r="AE156" s="15" t="str">
        <f t="shared" si="23"/>
        <v/>
      </c>
      <c r="AF156" s="15" t="str">
        <f t="shared" si="24"/>
        <v/>
      </c>
      <c r="AG156" s="18">
        <f>IF(AND(S156=1,Z156="Y"),IF(Settings!$B$6="Percentage",IF(AD156=0,0,AC156*AA156*(N156/AD156)),IF(Settings!$B$6="Points",IF(AF156=0,0,AC156*(N156*AB156)/AF156),IF(Settings!$B$6="Equally",IF(AE156=0,0,AC156*N156/AE156),0))),0)</f>
        <v>0</v>
      </c>
      <c r="AH156" s="18" t="str">
        <f t="shared" si="25"/>
        <v/>
      </c>
      <c r="AI156" s="15">
        <f>IF(S156=1,IF(COUNTIFS($R$2:R156,R156,$S$2:S156,1)=1,1,0),0)</f>
        <v>0</v>
      </c>
      <c r="AJ156" s="15">
        <f>SUM($AI$2:AI156)</f>
        <v>12</v>
      </c>
    </row>
    <row r="157" spans="18:36">
      <c r="R157" s="15" t="str">
        <f t="shared" si="26"/>
        <v/>
      </c>
      <c r="S157" s="15">
        <f t="shared" si="18"/>
        <v>0</v>
      </c>
      <c r="T157" s="16" t="str">
        <f>IF(S157=1, DATE(YEAR(Settings!$B$3), MONTH(D157), DAY(D157)), "")</f>
        <v/>
      </c>
      <c r="U157" s="15" t="str">
        <f>IF(S157=1,IFERROR(INDEX(Settings!$B$12:$B$41,MATCH($B157,Settings!$A$12:$A$41,0)),"N"),"")</f>
        <v/>
      </c>
      <c r="V157" s="15" t="str">
        <f>IF(S157=1,IFERROR(INDEX(Settings!$C$12:$C$41,MATCH($B157,Settings!$A$12:$A$41,0)),""),"")</f>
        <v/>
      </c>
      <c r="W157" s="17">
        <f>IF(S157=1,IFERROR(INDEX(Settings!$D$12:$D$41,MATCH($B157,Settings!$A$12:$A$41,0)),0),0)</f>
        <v>0</v>
      </c>
      <c r="X157" s="18">
        <f t="shared" si="19"/>
        <v>0</v>
      </c>
      <c r="Y157" s="18" t="str">
        <f t="shared" si="20"/>
        <v/>
      </c>
      <c r="Z157" s="15" t="str">
        <f>IF(S157=1,IFERROR(INDEX(Settings!$E$12:$E$41,MATCH($B157,Settings!$A$12:$A$41,0)),"N"),"")</f>
        <v/>
      </c>
      <c r="AA157" s="17">
        <f>IF(S157=1,IFERROR(INDEX(Settings!$F$12:$F$41,MATCH($B157,Settings!$A$12:$A$41,0)),0),0)</f>
        <v>0</v>
      </c>
      <c r="AB157" s="15">
        <f>IF(S157=1,IFERROR(INDEX(Settings!$G$12:$G$41,MATCH($B157,Settings!$A$12:$A$41,0)),0),0)</f>
        <v>0</v>
      </c>
      <c r="AC157" s="18" t="str">
        <f t="shared" si="21"/>
        <v/>
      </c>
      <c r="AD157" s="15" t="str">
        <f t="shared" si="22"/>
        <v/>
      </c>
      <c r="AE157" s="15" t="str">
        <f t="shared" si="23"/>
        <v/>
      </c>
      <c r="AF157" s="15" t="str">
        <f t="shared" si="24"/>
        <v/>
      </c>
      <c r="AG157" s="18">
        <f>IF(AND(S157=1,Z157="Y"),IF(Settings!$B$6="Percentage",IF(AD157=0,0,AC157*AA157*(N157/AD157)),IF(Settings!$B$6="Points",IF(AF157=0,0,AC157*(N157*AB157)/AF157),IF(Settings!$B$6="Equally",IF(AE157=0,0,AC157*N157/AE157),0))),0)</f>
        <v>0</v>
      </c>
      <c r="AH157" s="18" t="str">
        <f t="shared" si="25"/>
        <v/>
      </c>
      <c r="AI157" s="15">
        <f>IF(S157=1,IF(COUNTIFS($R$2:R157,R157,$S$2:S157,1)=1,1,0),0)</f>
        <v>0</v>
      </c>
      <c r="AJ157" s="15">
        <f>SUM($AI$2:AI157)</f>
        <v>12</v>
      </c>
    </row>
    <row r="158" spans="18:36">
      <c r="R158" s="15" t="str">
        <f t="shared" si="26"/>
        <v/>
      </c>
      <c r="S158" s="15">
        <f t="shared" si="18"/>
        <v>0</v>
      </c>
      <c r="T158" s="16" t="str">
        <f>IF(S158=1, DATE(YEAR(Settings!$B$3), MONTH(D158), DAY(D158)), "")</f>
        <v/>
      </c>
      <c r="U158" s="15" t="str">
        <f>IF(S158=1,IFERROR(INDEX(Settings!$B$12:$B$41,MATCH($B158,Settings!$A$12:$A$41,0)),"N"),"")</f>
        <v/>
      </c>
      <c r="V158" s="15" t="str">
        <f>IF(S158=1,IFERROR(INDEX(Settings!$C$12:$C$41,MATCH($B158,Settings!$A$12:$A$41,0)),""),"")</f>
        <v/>
      </c>
      <c r="W158" s="17">
        <f>IF(S158=1,IFERROR(INDEX(Settings!$D$12:$D$41,MATCH($B158,Settings!$A$12:$A$41,0)),0),0)</f>
        <v>0</v>
      </c>
      <c r="X158" s="18">
        <f t="shared" si="19"/>
        <v>0</v>
      </c>
      <c r="Y158" s="18" t="str">
        <f t="shared" si="20"/>
        <v/>
      </c>
      <c r="Z158" s="15" t="str">
        <f>IF(S158=1,IFERROR(INDEX(Settings!$E$12:$E$41,MATCH($B158,Settings!$A$12:$A$41,0)),"N"),"")</f>
        <v/>
      </c>
      <c r="AA158" s="17">
        <f>IF(S158=1,IFERROR(INDEX(Settings!$F$12:$F$41,MATCH($B158,Settings!$A$12:$A$41,0)),0),0)</f>
        <v>0</v>
      </c>
      <c r="AB158" s="15">
        <f>IF(S158=1,IFERROR(INDEX(Settings!$G$12:$G$41,MATCH($B158,Settings!$A$12:$A$41,0)),0),0)</f>
        <v>0</v>
      </c>
      <c r="AC158" s="18" t="str">
        <f t="shared" si="21"/>
        <v/>
      </c>
      <c r="AD158" s="15" t="str">
        <f t="shared" si="22"/>
        <v/>
      </c>
      <c r="AE158" s="15" t="str">
        <f t="shared" si="23"/>
        <v/>
      </c>
      <c r="AF158" s="15" t="str">
        <f t="shared" si="24"/>
        <v/>
      </c>
      <c r="AG158" s="18">
        <f>IF(AND(S158=1,Z158="Y"),IF(Settings!$B$6="Percentage",IF(AD158=0,0,AC158*AA158*(N158/AD158)),IF(Settings!$B$6="Points",IF(AF158=0,0,AC158*(N158*AB158)/AF158),IF(Settings!$B$6="Equally",IF(AE158=0,0,AC158*N158/AE158),0))),0)</f>
        <v>0</v>
      </c>
      <c r="AH158" s="18" t="str">
        <f t="shared" si="25"/>
        <v/>
      </c>
      <c r="AI158" s="15">
        <f>IF(S158=1,IF(COUNTIFS($R$2:R158,R158,$S$2:S158,1)=1,1,0),0)</f>
        <v>0</v>
      </c>
      <c r="AJ158" s="15">
        <f>SUM($AI$2:AI158)</f>
        <v>12</v>
      </c>
    </row>
    <row r="159" spans="18:36">
      <c r="R159" s="15" t="str">
        <f t="shared" si="26"/>
        <v/>
      </c>
      <c r="S159" s="15">
        <f t="shared" si="18"/>
        <v>0</v>
      </c>
      <c r="T159" s="16" t="str">
        <f>IF(S159=1, DATE(YEAR(Settings!$B$3), MONTH(D159), DAY(D159)), "")</f>
        <v/>
      </c>
      <c r="U159" s="15" t="str">
        <f>IF(S159=1,IFERROR(INDEX(Settings!$B$12:$B$41,MATCH($B159,Settings!$A$12:$A$41,0)),"N"),"")</f>
        <v/>
      </c>
      <c r="V159" s="15" t="str">
        <f>IF(S159=1,IFERROR(INDEX(Settings!$C$12:$C$41,MATCH($B159,Settings!$A$12:$A$41,0)),""),"")</f>
        <v/>
      </c>
      <c r="W159" s="17">
        <f>IF(S159=1,IFERROR(INDEX(Settings!$D$12:$D$41,MATCH($B159,Settings!$A$12:$A$41,0)),0),0)</f>
        <v>0</v>
      </c>
      <c r="X159" s="18">
        <f t="shared" si="19"/>
        <v>0</v>
      </c>
      <c r="Y159" s="18" t="str">
        <f t="shared" si="20"/>
        <v/>
      </c>
      <c r="Z159" s="15" t="str">
        <f>IF(S159=1,IFERROR(INDEX(Settings!$E$12:$E$41,MATCH($B159,Settings!$A$12:$A$41,0)),"N"),"")</f>
        <v/>
      </c>
      <c r="AA159" s="17">
        <f>IF(S159=1,IFERROR(INDEX(Settings!$F$12:$F$41,MATCH($B159,Settings!$A$12:$A$41,0)),0),0)</f>
        <v>0</v>
      </c>
      <c r="AB159" s="15">
        <f>IF(S159=1,IFERROR(INDEX(Settings!$G$12:$G$41,MATCH($B159,Settings!$A$12:$A$41,0)),0),0)</f>
        <v>0</v>
      </c>
      <c r="AC159" s="18" t="str">
        <f t="shared" si="21"/>
        <v/>
      </c>
      <c r="AD159" s="15" t="str">
        <f t="shared" si="22"/>
        <v/>
      </c>
      <c r="AE159" s="15" t="str">
        <f t="shared" si="23"/>
        <v/>
      </c>
      <c r="AF159" s="15" t="str">
        <f t="shared" si="24"/>
        <v/>
      </c>
      <c r="AG159" s="18">
        <f>IF(AND(S159=1,Z159="Y"),IF(Settings!$B$6="Percentage",IF(AD159=0,0,AC159*AA159*(N159/AD159)),IF(Settings!$B$6="Points",IF(AF159=0,0,AC159*(N159*AB159)/AF159),IF(Settings!$B$6="Equally",IF(AE159=0,0,AC159*N159/AE159),0))),0)</f>
        <v>0</v>
      </c>
      <c r="AH159" s="18" t="str">
        <f t="shared" si="25"/>
        <v/>
      </c>
      <c r="AI159" s="15">
        <f>IF(S159=1,IF(COUNTIFS($R$2:R159,R159,$S$2:S159,1)=1,1,0),0)</f>
        <v>0</v>
      </c>
      <c r="AJ159" s="15">
        <f>SUM($AI$2:AI159)</f>
        <v>12</v>
      </c>
    </row>
    <row r="160" spans="18:36">
      <c r="R160" s="15" t="str">
        <f t="shared" si="26"/>
        <v/>
      </c>
      <c r="S160" s="15">
        <f t="shared" si="18"/>
        <v>0</v>
      </c>
      <c r="T160" s="16" t="str">
        <f>IF(S160=1, DATE(YEAR(Settings!$B$3), MONTH(D160), DAY(D160)), "")</f>
        <v/>
      </c>
      <c r="U160" s="15" t="str">
        <f>IF(S160=1,IFERROR(INDEX(Settings!$B$12:$B$41,MATCH($B160,Settings!$A$12:$A$41,0)),"N"),"")</f>
        <v/>
      </c>
      <c r="V160" s="15" t="str">
        <f>IF(S160=1,IFERROR(INDEX(Settings!$C$12:$C$41,MATCH($B160,Settings!$A$12:$A$41,0)),""),"")</f>
        <v/>
      </c>
      <c r="W160" s="17">
        <f>IF(S160=1,IFERROR(INDEX(Settings!$D$12:$D$41,MATCH($B160,Settings!$A$12:$A$41,0)),0),0)</f>
        <v>0</v>
      </c>
      <c r="X160" s="18">
        <f t="shared" si="19"/>
        <v>0</v>
      </c>
      <c r="Y160" s="18" t="str">
        <f t="shared" si="20"/>
        <v/>
      </c>
      <c r="Z160" s="15" t="str">
        <f>IF(S160=1,IFERROR(INDEX(Settings!$E$12:$E$41,MATCH($B160,Settings!$A$12:$A$41,0)),"N"),"")</f>
        <v/>
      </c>
      <c r="AA160" s="17">
        <f>IF(S160=1,IFERROR(INDEX(Settings!$F$12:$F$41,MATCH($B160,Settings!$A$12:$A$41,0)),0),0)</f>
        <v>0</v>
      </c>
      <c r="AB160" s="15">
        <f>IF(S160=1,IFERROR(INDEX(Settings!$G$12:$G$41,MATCH($B160,Settings!$A$12:$A$41,0)),0),0)</f>
        <v>0</v>
      </c>
      <c r="AC160" s="18" t="str">
        <f t="shared" si="21"/>
        <v/>
      </c>
      <c r="AD160" s="15" t="str">
        <f t="shared" si="22"/>
        <v/>
      </c>
      <c r="AE160" s="15" t="str">
        <f t="shared" si="23"/>
        <v/>
      </c>
      <c r="AF160" s="15" t="str">
        <f t="shared" si="24"/>
        <v/>
      </c>
      <c r="AG160" s="18">
        <f>IF(AND(S160=1,Z160="Y"),IF(Settings!$B$6="Percentage",IF(AD160=0,0,AC160*AA160*(N160/AD160)),IF(Settings!$B$6="Points",IF(AF160=0,0,AC160*(N160*AB160)/AF160),IF(Settings!$B$6="Equally",IF(AE160=0,0,AC160*N160/AE160),0))),0)</f>
        <v>0</v>
      </c>
      <c r="AH160" s="18" t="str">
        <f t="shared" si="25"/>
        <v/>
      </c>
      <c r="AI160" s="15">
        <f>IF(S160=1,IF(COUNTIFS($R$2:R160,R160,$S$2:S160,1)=1,1,0),0)</f>
        <v>0</v>
      </c>
      <c r="AJ160" s="15">
        <f>SUM($AI$2:AI160)</f>
        <v>12</v>
      </c>
    </row>
    <row r="161" spans="18:36">
      <c r="R161" s="15" t="str">
        <f t="shared" si="26"/>
        <v/>
      </c>
      <c r="S161" s="15">
        <f t="shared" si="18"/>
        <v>0</v>
      </c>
      <c r="T161" s="16" t="str">
        <f>IF(S161=1, DATE(YEAR(Settings!$B$3), MONTH(D161), DAY(D161)), "")</f>
        <v/>
      </c>
      <c r="U161" s="15" t="str">
        <f>IF(S161=1,IFERROR(INDEX(Settings!$B$12:$B$41,MATCH($B161,Settings!$A$12:$A$41,0)),"N"),"")</f>
        <v/>
      </c>
      <c r="V161" s="15" t="str">
        <f>IF(S161=1,IFERROR(INDEX(Settings!$C$12:$C$41,MATCH($B161,Settings!$A$12:$A$41,0)),""),"")</f>
        <v/>
      </c>
      <c r="W161" s="17">
        <f>IF(S161=1,IFERROR(INDEX(Settings!$D$12:$D$41,MATCH($B161,Settings!$A$12:$A$41,0)),0),0)</f>
        <v>0</v>
      </c>
      <c r="X161" s="18">
        <f t="shared" si="19"/>
        <v>0</v>
      </c>
      <c r="Y161" s="18" t="str">
        <f t="shared" si="20"/>
        <v/>
      </c>
      <c r="Z161" s="15" t="str">
        <f>IF(S161=1,IFERROR(INDEX(Settings!$E$12:$E$41,MATCH($B161,Settings!$A$12:$A$41,0)),"N"),"")</f>
        <v/>
      </c>
      <c r="AA161" s="17">
        <f>IF(S161=1,IFERROR(INDEX(Settings!$F$12:$F$41,MATCH($B161,Settings!$A$12:$A$41,0)),0),0)</f>
        <v>0</v>
      </c>
      <c r="AB161" s="15">
        <f>IF(S161=1,IFERROR(INDEX(Settings!$G$12:$G$41,MATCH($B161,Settings!$A$12:$A$41,0)),0),0)</f>
        <v>0</v>
      </c>
      <c r="AC161" s="18" t="str">
        <f t="shared" si="21"/>
        <v/>
      </c>
      <c r="AD161" s="15" t="str">
        <f t="shared" si="22"/>
        <v/>
      </c>
      <c r="AE161" s="15" t="str">
        <f t="shared" si="23"/>
        <v/>
      </c>
      <c r="AF161" s="15" t="str">
        <f t="shared" si="24"/>
        <v/>
      </c>
      <c r="AG161" s="18">
        <f>IF(AND(S161=1,Z161="Y"),IF(Settings!$B$6="Percentage",IF(AD161=0,0,AC161*AA161*(N161/AD161)),IF(Settings!$B$6="Points",IF(AF161=0,0,AC161*(N161*AB161)/AF161),IF(Settings!$B$6="Equally",IF(AE161=0,0,AC161*N161/AE161),0))),0)</f>
        <v>0</v>
      </c>
      <c r="AH161" s="18" t="str">
        <f t="shared" si="25"/>
        <v/>
      </c>
      <c r="AI161" s="15">
        <f>IF(S161=1,IF(COUNTIFS($R$2:R161,R161,$S$2:S161,1)=1,1,0),0)</f>
        <v>0</v>
      </c>
      <c r="AJ161" s="15">
        <f>SUM($AI$2:AI161)</f>
        <v>12</v>
      </c>
    </row>
    <row r="162" spans="18:36">
      <c r="R162" s="15" t="str">
        <f t="shared" si="26"/>
        <v/>
      </c>
      <c r="S162" s="15">
        <f t="shared" si="18"/>
        <v>0</v>
      </c>
      <c r="T162" s="16" t="str">
        <f>IF(S162=1, DATE(YEAR(Settings!$B$3), MONTH(D162), DAY(D162)), "")</f>
        <v/>
      </c>
      <c r="U162" s="15" t="str">
        <f>IF(S162=1,IFERROR(INDEX(Settings!$B$12:$B$41,MATCH($B162,Settings!$A$12:$A$41,0)),"N"),"")</f>
        <v/>
      </c>
      <c r="V162" s="15" t="str">
        <f>IF(S162=1,IFERROR(INDEX(Settings!$C$12:$C$41,MATCH($B162,Settings!$A$12:$A$41,0)),""),"")</f>
        <v/>
      </c>
      <c r="W162" s="17">
        <f>IF(S162=1,IFERROR(INDEX(Settings!$D$12:$D$41,MATCH($B162,Settings!$A$12:$A$41,0)),0),0)</f>
        <v>0</v>
      </c>
      <c r="X162" s="18">
        <f t="shared" si="19"/>
        <v>0</v>
      </c>
      <c r="Y162" s="18" t="str">
        <f t="shared" si="20"/>
        <v/>
      </c>
      <c r="Z162" s="15" t="str">
        <f>IF(S162=1,IFERROR(INDEX(Settings!$E$12:$E$41,MATCH($B162,Settings!$A$12:$A$41,0)),"N"),"")</f>
        <v/>
      </c>
      <c r="AA162" s="17">
        <f>IF(S162=1,IFERROR(INDEX(Settings!$F$12:$F$41,MATCH($B162,Settings!$A$12:$A$41,0)),0),0)</f>
        <v>0</v>
      </c>
      <c r="AB162" s="15">
        <f>IF(S162=1,IFERROR(INDEX(Settings!$G$12:$G$41,MATCH($B162,Settings!$A$12:$A$41,0)),0),0)</f>
        <v>0</v>
      </c>
      <c r="AC162" s="18" t="str">
        <f t="shared" si="21"/>
        <v/>
      </c>
      <c r="AD162" s="15" t="str">
        <f t="shared" si="22"/>
        <v/>
      </c>
      <c r="AE162" s="15" t="str">
        <f t="shared" si="23"/>
        <v/>
      </c>
      <c r="AF162" s="15" t="str">
        <f t="shared" si="24"/>
        <v/>
      </c>
      <c r="AG162" s="18">
        <f>IF(AND(S162=1,Z162="Y"),IF(Settings!$B$6="Percentage",IF(AD162=0,0,AC162*AA162*(N162/AD162)),IF(Settings!$B$6="Points",IF(AF162=0,0,AC162*(N162*AB162)/AF162),IF(Settings!$B$6="Equally",IF(AE162=0,0,AC162*N162/AE162),0))),0)</f>
        <v>0</v>
      </c>
      <c r="AH162" s="18" t="str">
        <f t="shared" si="25"/>
        <v/>
      </c>
      <c r="AI162" s="15">
        <f>IF(S162=1,IF(COUNTIFS($R$2:R162,R162,$S$2:S162,1)=1,1,0),0)</f>
        <v>0</v>
      </c>
      <c r="AJ162" s="15">
        <f>SUM($AI$2:AI162)</f>
        <v>12</v>
      </c>
    </row>
    <row r="163" spans="18:36">
      <c r="R163" s="15" t="str">
        <f t="shared" si="26"/>
        <v/>
      </c>
      <c r="S163" s="15">
        <f t="shared" si="18"/>
        <v>0</v>
      </c>
      <c r="T163" s="16" t="str">
        <f>IF(S163=1, DATE(YEAR(Settings!$B$3), MONTH(D163), DAY(D163)), "")</f>
        <v/>
      </c>
      <c r="U163" s="15" t="str">
        <f>IF(S163=1,IFERROR(INDEX(Settings!$B$12:$B$41,MATCH($B163,Settings!$A$12:$A$41,0)),"N"),"")</f>
        <v/>
      </c>
      <c r="V163" s="15" t="str">
        <f>IF(S163=1,IFERROR(INDEX(Settings!$C$12:$C$41,MATCH($B163,Settings!$A$12:$A$41,0)),""),"")</f>
        <v/>
      </c>
      <c r="W163" s="17">
        <f>IF(S163=1,IFERROR(INDEX(Settings!$D$12:$D$41,MATCH($B163,Settings!$A$12:$A$41,0)),0),0)</f>
        <v>0</v>
      </c>
      <c r="X163" s="18">
        <f t="shared" si="19"/>
        <v>0</v>
      </c>
      <c r="Y163" s="18" t="str">
        <f t="shared" si="20"/>
        <v/>
      </c>
      <c r="Z163" s="15" t="str">
        <f>IF(S163=1,IFERROR(INDEX(Settings!$E$12:$E$41,MATCH($B163,Settings!$A$12:$A$41,0)),"N"),"")</f>
        <v/>
      </c>
      <c r="AA163" s="17">
        <f>IF(S163=1,IFERROR(INDEX(Settings!$F$12:$F$41,MATCH($B163,Settings!$A$12:$A$41,0)),0),0)</f>
        <v>0</v>
      </c>
      <c r="AB163" s="15">
        <f>IF(S163=1,IFERROR(INDEX(Settings!$G$12:$G$41,MATCH($B163,Settings!$A$12:$A$41,0)),0),0)</f>
        <v>0</v>
      </c>
      <c r="AC163" s="18" t="str">
        <f t="shared" si="21"/>
        <v/>
      </c>
      <c r="AD163" s="15" t="str">
        <f t="shared" si="22"/>
        <v/>
      </c>
      <c r="AE163" s="15" t="str">
        <f t="shared" si="23"/>
        <v/>
      </c>
      <c r="AF163" s="15" t="str">
        <f t="shared" si="24"/>
        <v/>
      </c>
      <c r="AG163" s="18">
        <f>IF(AND(S163=1,Z163="Y"),IF(Settings!$B$6="Percentage",IF(AD163=0,0,AC163*AA163*(N163/AD163)),IF(Settings!$B$6="Points",IF(AF163=0,0,AC163*(N163*AB163)/AF163),IF(Settings!$B$6="Equally",IF(AE163=0,0,AC163*N163/AE163),0))),0)</f>
        <v>0</v>
      </c>
      <c r="AH163" s="18" t="str">
        <f t="shared" si="25"/>
        <v/>
      </c>
      <c r="AI163" s="15">
        <f>IF(S163=1,IF(COUNTIFS($R$2:R163,R163,$S$2:S163,1)=1,1,0),0)</f>
        <v>0</v>
      </c>
      <c r="AJ163" s="15">
        <f>SUM($AI$2:AI163)</f>
        <v>12</v>
      </c>
    </row>
    <row r="164" spans="18:36">
      <c r="R164" s="15" t="str">
        <f t="shared" si="26"/>
        <v/>
      </c>
      <c r="S164" s="15">
        <f t="shared" si="18"/>
        <v>0</v>
      </c>
      <c r="T164" s="16" t="str">
        <f>IF(S164=1, DATE(YEAR(Settings!$B$3), MONTH(D164), DAY(D164)), "")</f>
        <v/>
      </c>
      <c r="U164" s="15" t="str">
        <f>IF(S164=1,IFERROR(INDEX(Settings!$B$12:$B$41,MATCH($B164,Settings!$A$12:$A$41,0)),"N"),"")</f>
        <v/>
      </c>
      <c r="V164" s="15" t="str">
        <f>IF(S164=1,IFERROR(INDEX(Settings!$C$12:$C$41,MATCH($B164,Settings!$A$12:$A$41,0)),""),"")</f>
        <v/>
      </c>
      <c r="W164" s="17">
        <f>IF(S164=1,IFERROR(INDEX(Settings!$D$12:$D$41,MATCH($B164,Settings!$A$12:$A$41,0)),0),0)</f>
        <v>0</v>
      </c>
      <c r="X164" s="18">
        <f t="shared" si="19"/>
        <v>0</v>
      </c>
      <c r="Y164" s="18" t="str">
        <f t="shared" si="20"/>
        <v/>
      </c>
      <c r="Z164" s="15" t="str">
        <f>IF(S164=1,IFERROR(INDEX(Settings!$E$12:$E$41,MATCH($B164,Settings!$A$12:$A$41,0)),"N"),"")</f>
        <v/>
      </c>
      <c r="AA164" s="17">
        <f>IF(S164=1,IFERROR(INDEX(Settings!$F$12:$F$41,MATCH($B164,Settings!$A$12:$A$41,0)),0),0)</f>
        <v>0</v>
      </c>
      <c r="AB164" s="15">
        <f>IF(S164=1,IFERROR(INDEX(Settings!$G$12:$G$41,MATCH($B164,Settings!$A$12:$A$41,0)),0),0)</f>
        <v>0</v>
      </c>
      <c r="AC164" s="18" t="str">
        <f t="shared" si="21"/>
        <v/>
      </c>
      <c r="AD164" s="15" t="str">
        <f t="shared" si="22"/>
        <v/>
      </c>
      <c r="AE164" s="15" t="str">
        <f t="shared" si="23"/>
        <v/>
      </c>
      <c r="AF164" s="15" t="str">
        <f t="shared" si="24"/>
        <v/>
      </c>
      <c r="AG164" s="18">
        <f>IF(AND(S164=1,Z164="Y"),IF(Settings!$B$6="Percentage",IF(AD164=0,0,AC164*AA164*(N164/AD164)),IF(Settings!$B$6="Points",IF(AF164=0,0,AC164*(N164*AB164)/AF164),IF(Settings!$B$6="Equally",IF(AE164=0,0,AC164*N164/AE164),0))),0)</f>
        <v>0</v>
      </c>
      <c r="AH164" s="18" t="str">
        <f t="shared" si="25"/>
        <v/>
      </c>
      <c r="AI164" s="15">
        <f>IF(S164=1,IF(COUNTIFS($R$2:R164,R164,$S$2:S164,1)=1,1,0),0)</f>
        <v>0</v>
      </c>
      <c r="AJ164" s="15">
        <f>SUM($AI$2:AI164)</f>
        <v>12</v>
      </c>
    </row>
    <row r="165" spans="18:36">
      <c r="R165" s="15" t="str">
        <f t="shared" si="26"/>
        <v/>
      </c>
      <c r="S165" s="15">
        <f t="shared" si="18"/>
        <v>0</v>
      </c>
      <c r="T165" s="16" t="str">
        <f>IF(S165=1, DATE(YEAR(Settings!$B$3), MONTH(D165), DAY(D165)), "")</f>
        <v/>
      </c>
      <c r="U165" s="15" t="str">
        <f>IF(S165=1,IFERROR(INDEX(Settings!$B$12:$B$41,MATCH($B165,Settings!$A$12:$A$41,0)),"N"),"")</f>
        <v/>
      </c>
      <c r="V165" s="15" t="str">
        <f>IF(S165=1,IFERROR(INDEX(Settings!$C$12:$C$41,MATCH($B165,Settings!$A$12:$A$41,0)),""),"")</f>
        <v/>
      </c>
      <c r="W165" s="17">
        <f>IF(S165=1,IFERROR(INDEX(Settings!$D$12:$D$41,MATCH($B165,Settings!$A$12:$A$41,0)),0),0)</f>
        <v>0</v>
      </c>
      <c r="X165" s="18">
        <f t="shared" si="19"/>
        <v>0</v>
      </c>
      <c r="Y165" s="18" t="str">
        <f t="shared" si="20"/>
        <v/>
      </c>
      <c r="Z165" s="15" t="str">
        <f>IF(S165=1,IFERROR(INDEX(Settings!$E$12:$E$41,MATCH($B165,Settings!$A$12:$A$41,0)),"N"),"")</f>
        <v/>
      </c>
      <c r="AA165" s="17">
        <f>IF(S165=1,IFERROR(INDEX(Settings!$F$12:$F$41,MATCH($B165,Settings!$A$12:$A$41,0)),0),0)</f>
        <v>0</v>
      </c>
      <c r="AB165" s="15">
        <f>IF(S165=1,IFERROR(INDEX(Settings!$G$12:$G$41,MATCH($B165,Settings!$A$12:$A$41,0)),0),0)</f>
        <v>0</v>
      </c>
      <c r="AC165" s="18" t="str">
        <f t="shared" si="21"/>
        <v/>
      </c>
      <c r="AD165" s="15" t="str">
        <f t="shared" si="22"/>
        <v/>
      </c>
      <c r="AE165" s="15" t="str">
        <f t="shared" si="23"/>
        <v/>
      </c>
      <c r="AF165" s="15" t="str">
        <f t="shared" si="24"/>
        <v/>
      </c>
      <c r="AG165" s="18">
        <f>IF(AND(S165=1,Z165="Y"),IF(Settings!$B$6="Percentage",IF(AD165=0,0,AC165*AA165*(N165/AD165)),IF(Settings!$B$6="Points",IF(AF165=0,0,AC165*(N165*AB165)/AF165),IF(Settings!$B$6="Equally",IF(AE165=0,0,AC165*N165/AE165),0))),0)</f>
        <v>0</v>
      </c>
      <c r="AH165" s="18" t="str">
        <f t="shared" si="25"/>
        <v/>
      </c>
      <c r="AI165" s="15">
        <f>IF(S165=1,IF(COUNTIFS($R$2:R165,R165,$S$2:S165,1)=1,1,0),0)</f>
        <v>0</v>
      </c>
      <c r="AJ165" s="15">
        <f>SUM($AI$2:AI165)</f>
        <v>12</v>
      </c>
    </row>
    <row r="166" spans="18:36">
      <c r="R166" s="15" t="str">
        <f t="shared" si="26"/>
        <v/>
      </c>
      <c r="S166" s="15">
        <f t="shared" si="18"/>
        <v>0</v>
      </c>
      <c r="T166" s="16" t="str">
        <f>IF(S166=1, DATE(YEAR(Settings!$B$3), MONTH(D166), DAY(D166)), "")</f>
        <v/>
      </c>
      <c r="U166" s="15" t="str">
        <f>IF(S166=1,IFERROR(INDEX(Settings!$B$12:$B$41,MATCH($B166,Settings!$A$12:$A$41,0)),"N"),"")</f>
        <v/>
      </c>
      <c r="V166" s="15" t="str">
        <f>IF(S166=1,IFERROR(INDEX(Settings!$C$12:$C$41,MATCH($B166,Settings!$A$12:$A$41,0)),""),"")</f>
        <v/>
      </c>
      <c r="W166" s="17">
        <f>IF(S166=1,IFERROR(INDEX(Settings!$D$12:$D$41,MATCH($B166,Settings!$A$12:$A$41,0)),0),0)</f>
        <v>0</v>
      </c>
      <c r="X166" s="18">
        <f t="shared" si="19"/>
        <v>0</v>
      </c>
      <c r="Y166" s="18" t="str">
        <f t="shared" si="20"/>
        <v/>
      </c>
      <c r="Z166" s="15" t="str">
        <f>IF(S166=1,IFERROR(INDEX(Settings!$E$12:$E$41,MATCH($B166,Settings!$A$12:$A$41,0)),"N"),"")</f>
        <v/>
      </c>
      <c r="AA166" s="17">
        <f>IF(S166=1,IFERROR(INDEX(Settings!$F$12:$F$41,MATCH($B166,Settings!$A$12:$A$41,0)),0),0)</f>
        <v>0</v>
      </c>
      <c r="AB166" s="15">
        <f>IF(S166=1,IFERROR(INDEX(Settings!$G$12:$G$41,MATCH($B166,Settings!$A$12:$A$41,0)),0),0)</f>
        <v>0</v>
      </c>
      <c r="AC166" s="18" t="str">
        <f t="shared" si="21"/>
        <v/>
      </c>
      <c r="AD166" s="15" t="str">
        <f t="shared" si="22"/>
        <v/>
      </c>
      <c r="AE166" s="15" t="str">
        <f t="shared" si="23"/>
        <v/>
      </c>
      <c r="AF166" s="15" t="str">
        <f t="shared" si="24"/>
        <v/>
      </c>
      <c r="AG166" s="18">
        <f>IF(AND(S166=1,Z166="Y"),IF(Settings!$B$6="Percentage",IF(AD166=0,0,AC166*AA166*(N166/AD166)),IF(Settings!$B$6="Points",IF(AF166=0,0,AC166*(N166*AB166)/AF166),IF(Settings!$B$6="Equally",IF(AE166=0,0,AC166*N166/AE166),0))),0)</f>
        <v>0</v>
      </c>
      <c r="AH166" s="18" t="str">
        <f t="shared" si="25"/>
        <v/>
      </c>
      <c r="AI166" s="15">
        <f>IF(S166=1,IF(COUNTIFS($R$2:R166,R166,$S$2:S166,1)=1,1,0),0)</f>
        <v>0</v>
      </c>
      <c r="AJ166" s="15">
        <f>SUM($AI$2:AI166)</f>
        <v>12</v>
      </c>
    </row>
    <row r="167" spans="18:36">
      <c r="R167" s="15" t="str">
        <f t="shared" si="26"/>
        <v/>
      </c>
      <c r="S167" s="15">
        <f t="shared" si="18"/>
        <v>0</v>
      </c>
      <c r="T167" s="16" t="str">
        <f>IF(S167=1, DATE(YEAR(Settings!$B$3), MONTH(D167), DAY(D167)), "")</f>
        <v/>
      </c>
      <c r="U167" s="15" t="str">
        <f>IF(S167=1,IFERROR(INDEX(Settings!$B$12:$B$41,MATCH($B167,Settings!$A$12:$A$41,0)),"N"),"")</f>
        <v/>
      </c>
      <c r="V167" s="15" t="str">
        <f>IF(S167=1,IFERROR(INDEX(Settings!$C$12:$C$41,MATCH($B167,Settings!$A$12:$A$41,0)),""),"")</f>
        <v/>
      </c>
      <c r="W167" s="17">
        <f>IF(S167=1,IFERROR(INDEX(Settings!$D$12:$D$41,MATCH($B167,Settings!$A$12:$A$41,0)),0),0)</f>
        <v>0</v>
      </c>
      <c r="X167" s="18">
        <f t="shared" si="19"/>
        <v>0</v>
      </c>
      <c r="Y167" s="18" t="str">
        <f t="shared" si="20"/>
        <v/>
      </c>
      <c r="Z167" s="15" t="str">
        <f>IF(S167=1,IFERROR(INDEX(Settings!$E$12:$E$41,MATCH($B167,Settings!$A$12:$A$41,0)),"N"),"")</f>
        <v/>
      </c>
      <c r="AA167" s="17">
        <f>IF(S167=1,IFERROR(INDEX(Settings!$F$12:$F$41,MATCH($B167,Settings!$A$12:$A$41,0)),0),0)</f>
        <v>0</v>
      </c>
      <c r="AB167" s="15">
        <f>IF(S167=1,IFERROR(INDEX(Settings!$G$12:$G$41,MATCH($B167,Settings!$A$12:$A$41,0)),0),0)</f>
        <v>0</v>
      </c>
      <c r="AC167" s="18" t="str">
        <f t="shared" si="21"/>
        <v/>
      </c>
      <c r="AD167" s="15" t="str">
        <f t="shared" si="22"/>
        <v/>
      </c>
      <c r="AE167" s="15" t="str">
        <f t="shared" si="23"/>
        <v/>
      </c>
      <c r="AF167" s="15" t="str">
        <f t="shared" si="24"/>
        <v/>
      </c>
      <c r="AG167" s="18">
        <f>IF(AND(S167=1,Z167="Y"),IF(Settings!$B$6="Percentage",IF(AD167=0,0,AC167*AA167*(N167/AD167)),IF(Settings!$B$6="Points",IF(AF167=0,0,AC167*(N167*AB167)/AF167),IF(Settings!$B$6="Equally",IF(AE167=0,0,AC167*N167/AE167),0))),0)</f>
        <v>0</v>
      </c>
      <c r="AH167" s="18" t="str">
        <f t="shared" si="25"/>
        <v/>
      </c>
      <c r="AI167" s="15">
        <f>IF(S167=1,IF(COUNTIFS($R$2:R167,R167,$S$2:S167,1)=1,1,0),0)</f>
        <v>0</v>
      </c>
      <c r="AJ167" s="15">
        <f>SUM($AI$2:AI167)</f>
        <v>12</v>
      </c>
    </row>
    <row r="168" spans="18:36">
      <c r="R168" s="15" t="str">
        <f t="shared" si="26"/>
        <v/>
      </c>
      <c r="S168" s="15">
        <f t="shared" si="18"/>
        <v>0</v>
      </c>
      <c r="T168" s="16" t="str">
        <f>IF(S168=1, DATE(YEAR(Settings!$B$3), MONTH(D168), DAY(D168)), "")</f>
        <v/>
      </c>
      <c r="U168" s="15" t="str">
        <f>IF(S168=1,IFERROR(INDEX(Settings!$B$12:$B$41,MATCH($B168,Settings!$A$12:$A$41,0)),"N"),"")</f>
        <v/>
      </c>
      <c r="V168" s="15" t="str">
        <f>IF(S168=1,IFERROR(INDEX(Settings!$C$12:$C$41,MATCH($B168,Settings!$A$12:$A$41,0)),""),"")</f>
        <v/>
      </c>
      <c r="W168" s="17">
        <f>IF(S168=1,IFERROR(INDEX(Settings!$D$12:$D$41,MATCH($B168,Settings!$A$12:$A$41,0)),0),0)</f>
        <v>0</v>
      </c>
      <c r="X168" s="18">
        <f t="shared" si="19"/>
        <v>0</v>
      </c>
      <c r="Y168" s="18" t="str">
        <f t="shared" si="20"/>
        <v/>
      </c>
      <c r="Z168" s="15" t="str">
        <f>IF(S168=1,IFERROR(INDEX(Settings!$E$12:$E$41,MATCH($B168,Settings!$A$12:$A$41,0)),"N"),"")</f>
        <v/>
      </c>
      <c r="AA168" s="17">
        <f>IF(S168=1,IFERROR(INDEX(Settings!$F$12:$F$41,MATCH($B168,Settings!$A$12:$A$41,0)),0),0)</f>
        <v>0</v>
      </c>
      <c r="AB168" s="15">
        <f>IF(S168=1,IFERROR(INDEX(Settings!$G$12:$G$41,MATCH($B168,Settings!$A$12:$A$41,0)),0),0)</f>
        <v>0</v>
      </c>
      <c r="AC168" s="18" t="str">
        <f t="shared" si="21"/>
        <v/>
      </c>
      <c r="AD168" s="15" t="str">
        <f t="shared" si="22"/>
        <v/>
      </c>
      <c r="AE168" s="15" t="str">
        <f t="shared" si="23"/>
        <v/>
      </c>
      <c r="AF168" s="15" t="str">
        <f t="shared" si="24"/>
        <v/>
      </c>
      <c r="AG168" s="18">
        <f>IF(AND(S168=1,Z168="Y"),IF(Settings!$B$6="Percentage",IF(AD168=0,0,AC168*AA168*(N168/AD168)),IF(Settings!$B$6="Points",IF(AF168=0,0,AC168*(N168*AB168)/AF168),IF(Settings!$B$6="Equally",IF(AE168=0,0,AC168*N168/AE168),0))),0)</f>
        <v>0</v>
      </c>
      <c r="AH168" s="18" t="str">
        <f t="shared" si="25"/>
        <v/>
      </c>
      <c r="AI168" s="15">
        <f>IF(S168=1,IF(COUNTIFS($R$2:R168,R168,$S$2:S168,1)=1,1,0),0)</f>
        <v>0</v>
      </c>
      <c r="AJ168" s="15">
        <f>SUM($AI$2:AI168)</f>
        <v>12</v>
      </c>
    </row>
    <row r="169" spans="18:36">
      <c r="R169" s="15" t="str">
        <f t="shared" si="26"/>
        <v/>
      </c>
      <c r="S169" s="15">
        <f t="shared" si="18"/>
        <v>0</v>
      </c>
      <c r="T169" s="16" t="str">
        <f>IF(S169=1, DATE(YEAR(Settings!$B$3), MONTH(D169), DAY(D169)), "")</f>
        <v/>
      </c>
      <c r="U169" s="15" t="str">
        <f>IF(S169=1,IFERROR(INDEX(Settings!$B$12:$B$41,MATCH($B169,Settings!$A$12:$A$41,0)),"N"),"")</f>
        <v/>
      </c>
      <c r="V169" s="15" t="str">
        <f>IF(S169=1,IFERROR(INDEX(Settings!$C$12:$C$41,MATCH($B169,Settings!$A$12:$A$41,0)),""),"")</f>
        <v/>
      </c>
      <c r="W169" s="17">
        <f>IF(S169=1,IFERROR(INDEX(Settings!$D$12:$D$41,MATCH($B169,Settings!$A$12:$A$41,0)),0),0)</f>
        <v>0</v>
      </c>
      <c r="X169" s="18">
        <f t="shared" si="19"/>
        <v>0</v>
      </c>
      <c r="Y169" s="18" t="str">
        <f t="shared" si="20"/>
        <v/>
      </c>
      <c r="Z169" s="15" t="str">
        <f>IF(S169=1,IFERROR(INDEX(Settings!$E$12:$E$41,MATCH($B169,Settings!$A$12:$A$41,0)),"N"),"")</f>
        <v/>
      </c>
      <c r="AA169" s="17">
        <f>IF(S169=1,IFERROR(INDEX(Settings!$F$12:$F$41,MATCH($B169,Settings!$A$12:$A$41,0)),0),0)</f>
        <v>0</v>
      </c>
      <c r="AB169" s="15">
        <f>IF(S169=1,IFERROR(INDEX(Settings!$G$12:$G$41,MATCH($B169,Settings!$A$12:$A$41,0)),0),0)</f>
        <v>0</v>
      </c>
      <c r="AC169" s="18" t="str">
        <f t="shared" si="21"/>
        <v/>
      </c>
      <c r="AD169" s="15" t="str">
        <f t="shared" si="22"/>
        <v/>
      </c>
      <c r="AE169" s="15" t="str">
        <f t="shared" si="23"/>
        <v/>
      </c>
      <c r="AF169" s="15" t="str">
        <f t="shared" si="24"/>
        <v/>
      </c>
      <c r="AG169" s="18">
        <f>IF(AND(S169=1,Z169="Y"),IF(Settings!$B$6="Percentage",IF(AD169=0,0,AC169*AA169*(N169/AD169)),IF(Settings!$B$6="Points",IF(AF169=0,0,AC169*(N169*AB169)/AF169),IF(Settings!$B$6="Equally",IF(AE169=0,0,AC169*N169/AE169),0))),0)</f>
        <v>0</v>
      </c>
      <c r="AH169" s="18" t="str">
        <f t="shared" si="25"/>
        <v/>
      </c>
      <c r="AI169" s="15">
        <f>IF(S169=1,IF(COUNTIFS($R$2:R169,R169,$S$2:S169,1)=1,1,0),0)</f>
        <v>0</v>
      </c>
      <c r="AJ169" s="15">
        <f>SUM($AI$2:AI169)</f>
        <v>12</v>
      </c>
    </row>
    <row r="170" spans="18:36">
      <c r="R170" s="15" t="str">
        <f t="shared" si="26"/>
        <v/>
      </c>
      <c r="S170" s="15">
        <f t="shared" si="18"/>
        <v>0</v>
      </c>
      <c r="T170" s="16" t="str">
        <f>IF(S170=1, DATE(YEAR(Settings!$B$3), MONTH(D170), DAY(D170)), "")</f>
        <v/>
      </c>
      <c r="U170" s="15" t="str">
        <f>IF(S170=1,IFERROR(INDEX(Settings!$B$12:$B$41,MATCH($B170,Settings!$A$12:$A$41,0)),"N"),"")</f>
        <v/>
      </c>
      <c r="V170" s="15" t="str">
        <f>IF(S170=1,IFERROR(INDEX(Settings!$C$12:$C$41,MATCH($B170,Settings!$A$12:$A$41,0)),""),"")</f>
        <v/>
      </c>
      <c r="W170" s="17">
        <f>IF(S170=1,IFERROR(INDEX(Settings!$D$12:$D$41,MATCH($B170,Settings!$A$12:$A$41,0)),0),0)</f>
        <v>0</v>
      </c>
      <c r="X170" s="18">
        <f t="shared" si="19"/>
        <v>0</v>
      </c>
      <c r="Y170" s="18" t="str">
        <f t="shared" si="20"/>
        <v/>
      </c>
      <c r="Z170" s="15" t="str">
        <f>IF(S170=1,IFERROR(INDEX(Settings!$E$12:$E$41,MATCH($B170,Settings!$A$12:$A$41,0)),"N"),"")</f>
        <v/>
      </c>
      <c r="AA170" s="17">
        <f>IF(S170=1,IFERROR(INDEX(Settings!$F$12:$F$41,MATCH($B170,Settings!$A$12:$A$41,0)),0),0)</f>
        <v>0</v>
      </c>
      <c r="AB170" s="15">
        <f>IF(S170=1,IFERROR(INDEX(Settings!$G$12:$G$41,MATCH($B170,Settings!$A$12:$A$41,0)),0),0)</f>
        <v>0</v>
      </c>
      <c r="AC170" s="18" t="str">
        <f t="shared" si="21"/>
        <v/>
      </c>
      <c r="AD170" s="15" t="str">
        <f t="shared" si="22"/>
        <v/>
      </c>
      <c r="AE170" s="15" t="str">
        <f t="shared" si="23"/>
        <v/>
      </c>
      <c r="AF170" s="15" t="str">
        <f t="shared" si="24"/>
        <v/>
      </c>
      <c r="AG170" s="18">
        <f>IF(AND(S170=1,Z170="Y"),IF(Settings!$B$6="Percentage",IF(AD170=0,0,AC170*AA170*(N170/AD170)),IF(Settings!$B$6="Points",IF(AF170=0,0,AC170*(N170*AB170)/AF170),IF(Settings!$B$6="Equally",IF(AE170=0,0,AC170*N170/AE170),0))),0)</f>
        <v>0</v>
      </c>
      <c r="AH170" s="18" t="str">
        <f t="shared" si="25"/>
        <v/>
      </c>
      <c r="AI170" s="15">
        <f>IF(S170=1,IF(COUNTIFS($R$2:R170,R170,$S$2:S170,1)=1,1,0),0)</f>
        <v>0</v>
      </c>
      <c r="AJ170" s="15">
        <f>SUM($AI$2:AI170)</f>
        <v>12</v>
      </c>
    </row>
    <row r="171" spans="18:36">
      <c r="R171" s="15" t="str">
        <f t="shared" si="26"/>
        <v/>
      </c>
      <c r="S171" s="15">
        <f t="shared" si="18"/>
        <v>0</v>
      </c>
      <c r="T171" s="16" t="str">
        <f>IF(S171=1, DATE(YEAR(Settings!$B$3), MONTH(D171), DAY(D171)), "")</f>
        <v/>
      </c>
      <c r="U171" s="15" t="str">
        <f>IF(S171=1,IFERROR(INDEX(Settings!$B$12:$B$41,MATCH($B171,Settings!$A$12:$A$41,0)),"N"),"")</f>
        <v/>
      </c>
      <c r="V171" s="15" t="str">
        <f>IF(S171=1,IFERROR(INDEX(Settings!$C$12:$C$41,MATCH($B171,Settings!$A$12:$A$41,0)),""),"")</f>
        <v/>
      </c>
      <c r="W171" s="17">
        <f>IF(S171=1,IFERROR(INDEX(Settings!$D$12:$D$41,MATCH($B171,Settings!$A$12:$A$41,0)),0),0)</f>
        <v>0</v>
      </c>
      <c r="X171" s="18">
        <f t="shared" si="19"/>
        <v>0</v>
      </c>
      <c r="Y171" s="18" t="str">
        <f t="shared" si="20"/>
        <v/>
      </c>
      <c r="Z171" s="15" t="str">
        <f>IF(S171=1,IFERROR(INDEX(Settings!$E$12:$E$41,MATCH($B171,Settings!$A$12:$A$41,0)),"N"),"")</f>
        <v/>
      </c>
      <c r="AA171" s="17">
        <f>IF(S171=1,IFERROR(INDEX(Settings!$F$12:$F$41,MATCH($B171,Settings!$A$12:$A$41,0)),0),0)</f>
        <v>0</v>
      </c>
      <c r="AB171" s="15">
        <f>IF(S171=1,IFERROR(INDEX(Settings!$G$12:$G$41,MATCH($B171,Settings!$A$12:$A$41,0)),0),0)</f>
        <v>0</v>
      </c>
      <c r="AC171" s="18" t="str">
        <f t="shared" si="21"/>
        <v/>
      </c>
      <c r="AD171" s="15" t="str">
        <f t="shared" si="22"/>
        <v/>
      </c>
      <c r="AE171" s="15" t="str">
        <f t="shared" si="23"/>
        <v/>
      </c>
      <c r="AF171" s="15" t="str">
        <f t="shared" si="24"/>
        <v/>
      </c>
      <c r="AG171" s="18">
        <f>IF(AND(S171=1,Z171="Y"),IF(Settings!$B$6="Percentage",IF(AD171=0,0,AC171*AA171*(N171/AD171)),IF(Settings!$B$6="Points",IF(AF171=0,0,AC171*(N171*AB171)/AF171),IF(Settings!$B$6="Equally",IF(AE171=0,0,AC171*N171/AE171),0))),0)</f>
        <v>0</v>
      </c>
      <c r="AH171" s="18" t="str">
        <f t="shared" si="25"/>
        <v/>
      </c>
      <c r="AI171" s="15">
        <f>IF(S171=1,IF(COUNTIFS($R$2:R171,R171,$S$2:S171,1)=1,1,0),0)</f>
        <v>0</v>
      </c>
      <c r="AJ171" s="15">
        <f>SUM($AI$2:AI171)</f>
        <v>12</v>
      </c>
    </row>
    <row r="172" spans="18:36">
      <c r="R172" s="15" t="str">
        <f t="shared" si="26"/>
        <v/>
      </c>
      <c r="S172" s="15">
        <f t="shared" si="18"/>
        <v>0</v>
      </c>
      <c r="T172" s="16" t="str">
        <f>IF(S172=1, DATE(YEAR(Settings!$B$3), MONTH(D172), DAY(D172)), "")</f>
        <v/>
      </c>
      <c r="U172" s="15" t="str">
        <f>IF(S172=1,IFERROR(INDEX(Settings!$B$12:$B$41,MATCH($B172,Settings!$A$12:$A$41,0)),"N"),"")</f>
        <v/>
      </c>
      <c r="V172" s="15" t="str">
        <f>IF(S172=1,IFERROR(INDEX(Settings!$C$12:$C$41,MATCH($B172,Settings!$A$12:$A$41,0)),""),"")</f>
        <v/>
      </c>
      <c r="W172" s="17">
        <f>IF(S172=1,IFERROR(INDEX(Settings!$D$12:$D$41,MATCH($B172,Settings!$A$12:$A$41,0)),0),0)</f>
        <v>0</v>
      </c>
      <c r="X172" s="18">
        <f t="shared" si="19"/>
        <v>0</v>
      </c>
      <c r="Y172" s="18" t="str">
        <f t="shared" si="20"/>
        <v/>
      </c>
      <c r="Z172" s="15" t="str">
        <f>IF(S172=1,IFERROR(INDEX(Settings!$E$12:$E$41,MATCH($B172,Settings!$A$12:$A$41,0)),"N"),"")</f>
        <v/>
      </c>
      <c r="AA172" s="17">
        <f>IF(S172=1,IFERROR(INDEX(Settings!$F$12:$F$41,MATCH($B172,Settings!$A$12:$A$41,0)),0),0)</f>
        <v>0</v>
      </c>
      <c r="AB172" s="15">
        <f>IF(S172=1,IFERROR(INDEX(Settings!$G$12:$G$41,MATCH($B172,Settings!$A$12:$A$41,0)),0),0)</f>
        <v>0</v>
      </c>
      <c r="AC172" s="18" t="str">
        <f t="shared" si="21"/>
        <v/>
      </c>
      <c r="AD172" s="15" t="str">
        <f t="shared" si="22"/>
        <v/>
      </c>
      <c r="AE172" s="15" t="str">
        <f t="shared" si="23"/>
        <v/>
      </c>
      <c r="AF172" s="15" t="str">
        <f t="shared" si="24"/>
        <v/>
      </c>
      <c r="AG172" s="18">
        <f>IF(AND(S172=1,Z172="Y"),IF(Settings!$B$6="Percentage",IF(AD172=0,0,AC172*AA172*(N172/AD172)),IF(Settings!$B$6="Points",IF(AF172=0,0,AC172*(N172*AB172)/AF172),IF(Settings!$B$6="Equally",IF(AE172=0,0,AC172*N172/AE172),0))),0)</f>
        <v>0</v>
      </c>
      <c r="AH172" s="18" t="str">
        <f t="shared" si="25"/>
        <v/>
      </c>
      <c r="AI172" s="15">
        <f>IF(S172=1,IF(COUNTIFS($R$2:R172,R172,$S$2:S172,1)=1,1,0),0)</f>
        <v>0</v>
      </c>
      <c r="AJ172" s="15">
        <f>SUM($AI$2:AI172)</f>
        <v>12</v>
      </c>
    </row>
    <row r="173" spans="18:36">
      <c r="R173" s="15" t="str">
        <f t="shared" si="26"/>
        <v/>
      </c>
      <c r="S173" s="15">
        <f t="shared" si="18"/>
        <v>0</v>
      </c>
      <c r="T173" s="16" t="str">
        <f>IF(S173=1, DATE(YEAR(Settings!$B$3), MONTH(D173), DAY(D173)), "")</f>
        <v/>
      </c>
      <c r="U173" s="15" t="str">
        <f>IF(S173=1,IFERROR(INDEX(Settings!$B$12:$B$41,MATCH($B173,Settings!$A$12:$A$41,0)),"N"),"")</f>
        <v/>
      </c>
      <c r="V173" s="15" t="str">
        <f>IF(S173=1,IFERROR(INDEX(Settings!$C$12:$C$41,MATCH($B173,Settings!$A$12:$A$41,0)),""),"")</f>
        <v/>
      </c>
      <c r="W173" s="17">
        <f>IF(S173=1,IFERROR(INDEX(Settings!$D$12:$D$41,MATCH($B173,Settings!$A$12:$A$41,0)),0),0)</f>
        <v>0</v>
      </c>
      <c r="X173" s="18">
        <f t="shared" si="19"/>
        <v>0</v>
      </c>
      <c r="Y173" s="18" t="str">
        <f t="shared" si="20"/>
        <v/>
      </c>
      <c r="Z173" s="15" t="str">
        <f>IF(S173=1,IFERROR(INDEX(Settings!$E$12:$E$41,MATCH($B173,Settings!$A$12:$A$41,0)),"N"),"")</f>
        <v/>
      </c>
      <c r="AA173" s="17">
        <f>IF(S173=1,IFERROR(INDEX(Settings!$F$12:$F$41,MATCH($B173,Settings!$A$12:$A$41,0)),0),0)</f>
        <v>0</v>
      </c>
      <c r="AB173" s="15">
        <f>IF(S173=1,IFERROR(INDEX(Settings!$G$12:$G$41,MATCH($B173,Settings!$A$12:$A$41,0)),0),0)</f>
        <v>0</v>
      </c>
      <c r="AC173" s="18" t="str">
        <f t="shared" si="21"/>
        <v/>
      </c>
      <c r="AD173" s="15" t="str">
        <f t="shared" si="22"/>
        <v/>
      </c>
      <c r="AE173" s="15" t="str">
        <f t="shared" si="23"/>
        <v/>
      </c>
      <c r="AF173" s="15" t="str">
        <f t="shared" si="24"/>
        <v/>
      </c>
      <c r="AG173" s="18">
        <f>IF(AND(S173=1,Z173="Y"),IF(Settings!$B$6="Percentage",IF(AD173=0,0,AC173*AA173*(N173/AD173)),IF(Settings!$B$6="Points",IF(AF173=0,0,AC173*(N173*AB173)/AF173),IF(Settings!$B$6="Equally",IF(AE173=0,0,AC173*N173/AE173),0))),0)</f>
        <v>0</v>
      </c>
      <c r="AH173" s="18" t="str">
        <f t="shared" si="25"/>
        <v/>
      </c>
      <c r="AI173" s="15">
        <f>IF(S173=1,IF(COUNTIFS($R$2:R173,R173,$S$2:S173,1)=1,1,0),0)</f>
        <v>0</v>
      </c>
      <c r="AJ173" s="15">
        <f>SUM($AI$2:AI173)</f>
        <v>12</v>
      </c>
    </row>
    <row r="174" spans="18:36">
      <c r="R174" s="15" t="str">
        <f t="shared" si="26"/>
        <v/>
      </c>
      <c r="S174" s="15">
        <f t="shared" si="18"/>
        <v>0</v>
      </c>
      <c r="T174" s="16" t="str">
        <f>IF(S174=1, DATE(YEAR(Settings!$B$3), MONTH(D174), DAY(D174)), "")</f>
        <v/>
      </c>
      <c r="U174" s="15" t="str">
        <f>IF(S174=1,IFERROR(INDEX(Settings!$B$12:$B$41,MATCH($B174,Settings!$A$12:$A$41,0)),"N"),"")</f>
        <v/>
      </c>
      <c r="V174" s="15" t="str">
        <f>IF(S174=1,IFERROR(INDEX(Settings!$C$12:$C$41,MATCH($B174,Settings!$A$12:$A$41,0)),""),"")</f>
        <v/>
      </c>
      <c r="W174" s="17">
        <f>IF(S174=1,IFERROR(INDEX(Settings!$D$12:$D$41,MATCH($B174,Settings!$A$12:$A$41,0)),0),0)</f>
        <v>0</v>
      </c>
      <c r="X174" s="18">
        <f t="shared" si="19"/>
        <v>0</v>
      </c>
      <c r="Y174" s="18" t="str">
        <f t="shared" si="20"/>
        <v/>
      </c>
      <c r="Z174" s="15" t="str">
        <f>IF(S174=1,IFERROR(INDEX(Settings!$E$12:$E$41,MATCH($B174,Settings!$A$12:$A$41,0)),"N"),"")</f>
        <v/>
      </c>
      <c r="AA174" s="17">
        <f>IF(S174=1,IFERROR(INDEX(Settings!$F$12:$F$41,MATCH($B174,Settings!$A$12:$A$41,0)),0),0)</f>
        <v>0</v>
      </c>
      <c r="AB174" s="15">
        <f>IF(S174=1,IFERROR(INDEX(Settings!$G$12:$G$41,MATCH($B174,Settings!$A$12:$A$41,0)),0),0)</f>
        <v>0</v>
      </c>
      <c r="AC174" s="18" t="str">
        <f t="shared" si="21"/>
        <v/>
      </c>
      <c r="AD174" s="15" t="str">
        <f t="shared" si="22"/>
        <v/>
      </c>
      <c r="AE174" s="15" t="str">
        <f t="shared" si="23"/>
        <v/>
      </c>
      <c r="AF174" s="15" t="str">
        <f t="shared" si="24"/>
        <v/>
      </c>
      <c r="AG174" s="18">
        <f>IF(AND(S174=1,Z174="Y"),IF(Settings!$B$6="Percentage",IF(AD174=0,0,AC174*AA174*(N174/AD174)),IF(Settings!$B$6="Points",IF(AF174=0,0,AC174*(N174*AB174)/AF174),IF(Settings!$B$6="Equally",IF(AE174=0,0,AC174*N174/AE174),0))),0)</f>
        <v>0</v>
      </c>
      <c r="AH174" s="18" t="str">
        <f t="shared" si="25"/>
        <v/>
      </c>
      <c r="AI174" s="15">
        <f>IF(S174=1,IF(COUNTIFS($R$2:R174,R174,$S$2:S174,1)=1,1,0),0)</f>
        <v>0</v>
      </c>
      <c r="AJ174" s="15">
        <f>SUM($AI$2:AI174)</f>
        <v>12</v>
      </c>
    </row>
    <row r="175" spans="18:36">
      <c r="R175" s="15" t="str">
        <f t="shared" si="26"/>
        <v/>
      </c>
      <c r="S175" s="15">
        <f t="shared" si="18"/>
        <v>0</v>
      </c>
      <c r="T175" s="16" t="str">
        <f>IF(S175=1, DATE(YEAR(Settings!$B$3), MONTH(D175), DAY(D175)), "")</f>
        <v/>
      </c>
      <c r="U175" s="15" t="str">
        <f>IF(S175=1,IFERROR(INDEX(Settings!$B$12:$B$41,MATCH($B175,Settings!$A$12:$A$41,0)),"N"),"")</f>
        <v/>
      </c>
      <c r="V175" s="15" t="str">
        <f>IF(S175=1,IFERROR(INDEX(Settings!$C$12:$C$41,MATCH($B175,Settings!$A$12:$A$41,0)),""),"")</f>
        <v/>
      </c>
      <c r="W175" s="17">
        <f>IF(S175=1,IFERROR(INDEX(Settings!$D$12:$D$41,MATCH($B175,Settings!$A$12:$A$41,0)),0),0)</f>
        <v>0</v>
      </c>
      <c r="X175" s="18">
        <f t="shared" si="19"/>
        <v>0</v>
      </c>
      <c r="Y175" s="18" t="str">
        <f t="shared" si="20"/>
        <v/>
      </c>
      <c r="Z175" s="15" t="str">
        <f>IF(S175=1,IFERROR(INDEX(Settings!$E$12:$E$41,MATCH($B175,Settings!$A$12:$A$41,0)),"N"),"")</f>
        <v/>
      </c>
      <c r="AA175" s="17">
        <f>IF(S175=1,IFERROR(INDEX(Settings!$F$12:$F$41,MATCH($B175,Settings!$A$12:$A$41,0)),0),0)</f>
        <v>0</v>
      </c>
      <c r="AB175" s="15">
        <f>IF(S175=1,IFERROR(INDEX(Settings!$G$12:$G$41,MATCH($B175,Settings!$A$12:$A$41,0)),0),0)</f>
        <v>0</v>
      </c>
      <c r="AC175" s="18" t="str">
        <f t="shared" si="21"/>
        <v/>
      </c>
      <c r="AD175" s="15" t="str">
        <f t="shared" si="22"/>
        <v/>
      </c>
      <c r="AE175" s="15" t="str">
        <f t="shared" si="23"/>
        <v/>
      </c>
      <c r="AF175" s="15" t="str">
        <f t="shared" si="24"/>
        <v/>
      </c>
      <c r="AG175" s="18">
        <f>IF(AND(S175=1,Z175="Y"),IF(Settings!$B$6="Percentage",IF(AD175=0,0,AC175*AA175*(N175/AD175)),IF(Settings!$B$6="Points",IF(AF175=0,0,AC175*(N175*AB175)/AF175),IF(Settings!$B$6="Equally",IF(AE175=0,0,AC175*N175/AE175),0))),0)</f>
        <v>0</v>
      </c>
      <c r="AH175" s="18" t="str">
        <f t="shared" si="25"/>
        <v/>
      </c>
      <c r="AI175" s="15">
        <f>IF(S175=1,IF(COUNTIFS($R$2:R175,R175,$S$2:S175,1)=1,1,0),0)</f>
        <v>0</v>
      </c>
      <c r="AJ175" s="15">
        <f>SUM($AI$2:AI175)</f>
        <v>12</v>
      </c>
    </row>
    <row r="176" spans="18:36">
      <c r="R176" s="15" t="str">
        <f t="shared" si="26"/>
        <v/>
      </c>
      <c r="S176" s="15">
        <f t="shared" si="18"/>
        <v>0</v>
      </c>
      <c r="T176" s="16" t="str">
        <f>IF(S176=1, DATE(YEAR(Settings!$B$3), MONTH(D176), DAY(D176)), "")</f>
        <v/>
      </c>
      <c r="U176" s="15" t="str">
        <f>IF(S176=1,IFERROR(INDEX(Settings!$B$12:$B$41,MATCH($B176,Settings!$A$12:$A$41,0)),"N"),"")</f>
        <v/>
      </c>
      <c r="V176" s="15" t="str">
        <f>IF(S176=1,IFERROR(INDEX(Settings!$C$12:$C$41,MATCH($B176,Settings!$A$12:$A$41,0)),""),"")</f>
        <v/>
      </c>
      <c r="W176" s="17">
        <f>IF(S176=1,IFERROR(INDEX(Settings!$D$12:$D$41,MATCH($B176,Settings!$A$12:$A$41,0)),0),0)</f>
        <v>0</v>
      </c>
      <c r="X176" s="18">
        <f t="shared" si="19"/>
        <v>0</v>
      </c>
      <c r="Y176" s="18" t="str">
        <f t="shared" si="20"/>
        <v/>
      </c>
      <c r="Z176" s="15" t="str">
        <f>IF(S176=1,IFERROR(INDEX(Settings!$E$12:$E$41,MATCH($B176,Settings!$A$12:$A$41,0)),"N"),"")</f>
        <v/>
      </c>
      <c r="AA176" s="17">
        <f>IF(S176=1,IFERROR(INDEX(Settings!$F$12:$F$41,MATCH($B176,Settings!$A$12:$A$41,0)),0),0)</f>
        <v>0</v>
      </c>
      <c r="AB176" s="15">
        <f>IF(S176=1,IFERROR(INDEX(Settings!$G$12:$G$41,MATCH($B176,Settings!$A$12:$A$41,0)),0),0)</f>
        <v>0</v>
      </c>
      <c r="AC176" s="18" t="str">
        <f t="shared" si="21"/>
        <v/>
      </c>
      <c r="AD176" s="15" t="str">
        <f t="shared" si="22"/>
        <v/>
      </c>
      <c r="AE176" s="15" t="str">
        <f t="shared" si="23"/>
        <v/>
      </c>
      <c r="AF176" s="15" t="str">
        <f t="shared" si="24"/>
        <v/>
      </c>
      <c r="AG176" s="18">
        <f>IF(AND(S176=1,Z176="Y"),IF(Settings!$B$6="Percentage",IF(AD176=0,0,AC176*AA176*(N176/AD176)),IF(Settings!$B$6="Points",IF(AF176=0,0,AC176*(N176*AB176)/AF176),IF(Settings!$B$6="Equally",IF(AE176=0,0,AC176*N176/AE176),0))),0)</f>
        <v>0</v>
      </c>
      <c r="AH176" s="18" t="str">
        <f t="shared" si="25"/>
        <v/>
      </c>
      <c r="AI176" s="15">
        <f>IF(S176=1,IF(COUNTIFS($R$2:R176,R176,$S$2:S176,1)=1,1,0),0)</f>
        <v>0</v>
      </c>
      <c r="AJ176" s="15">
        <f>SUM($AI$2:AI176)</f>
        <v>12</v>
      </c>
    </row>
    <row r="177" spans="18:36">
      <c r="R177" s="15" t="str">
        <f t="shared" si="26"/>
        <v/>
      </c>
      <c r="S177" s="15">
        <f t="shared" si="18"/>
        <v>0</v>
      </c>
      <c r="T177" s="16" t="str">
        <f>IF(S177=1, DATE(YEAR(Settings!$B$3), MONTH(D177), DAY(D177)), "")</f>
        <v/>
      </c>
      <c r="U177" s="15" t="str">
        <f>IF(S177=1,IFERROR(INDEX(Settings!$B$12:$B$41,MATCH($B177,Settings!$A$12:$A$41,0)),"N"),"")</f>
        <v/>
      </c>
      <c r="V177" s="15" t="str">
        <f>IF(S177=1,IFERROR(INDEX(Settings!$C$12:$C$41,MATCH($B177,Settings!$A$12:$A$41,0)),""),"")</f>
        <v/>
      </c>
      <c r="W177" s="17">
        <f>IF(S177=1,IFERROR(INDEX(Settings!$D$12:$D$41,MATCH($B177,Settings!$A$12:$A$41,0)),0),0)</f>
        <v>0</v>
      </c>
      <c r="X177" s="18">
        <f t="shared" si="19"/>
        <v>0</v>
      </c>
      <c r="Y177" s="18" t="str">
        <f t="shared" si="20"/>
        <v/>
      </c>
      <c r="Z177" s="15" t="str">
        <f>IF(S177=1,IFERROR(INDEX(Settings!$E$12:$E$41,MATCH($B177,Settings!$A$12:$A$41,0)),"N"),"")</f>
        <v/>
      </c>
      <c r="AA177" s="17">
        <f>IF(S177=1,IFERROR(INDEX(Settings!$F$12:$F$41,MATCH($B177,Settings!$A$12:$A$41,0)),0),0)</f>
        <v>0</v>
      </c>
      <c r="AB177" s="15">
        <f>IF(S177=1,IFERROR(INDEX(Settings!$G$12:$G$41,MATCH($B177,Settings!$A$12:$A$41,0)),0),0)</f>
        <v>0</v>
      </c>
      <c r="AC177" s="18" t="str">
        <f t="shared" si="21"/>
        <v/>
      </c>
      <c r="AD177" s="15" t="str">
        <f t="shared" si="22"/>
        <v/>
      </c>
      <c r="AE177" s="15" t="str">
        <f t="shared" si="23"/>
        <v/>
      </c>
      <c r="AF177" s="15" t="str">
        <f t="shared" si="24"/>
        <v/>
      </c>
      <c r="AG177" s="18">
        <f>IF(AND(S177=1,Z177="Y"),IF(Settings!$B$6="Percentage",IF(AD177=0,0,AC177*AA177*(N177/AD177)),IF(Settings!$B$6="Points",IF(AF177=0,0,AC177*(N177*AB177)/AF177),IF(Settings!$B$6="Equally",IF(AE177=0,0,AC177*N177/AE177),0))),0)</f>
        <v>0</v>
      </c>
      <c r="AH177" s="18" t="str">
        <f t="shared" si="25"/>
        <v/>
      </c>
      <c r="AI177" s="15">
        <f>IF(S177=1,IF(COUNTIFS($R$2:R177,R177,$S$2:S177,1)=1,1,0),0)</f>
        <v>0</v>
      </c>
      <c r="AJ177" s="15">
        <f>SUM($AI$2:AI177)</f>
        <v>12</v>
      </c>
    </row>
    <row r="178" spans="18:36">
      <c r="R178" s="15" t="str">
        <f t="shared" si="26"/>
        <v/>
      </c>
      <c r="S178" s="15">
        <f t="shared" si="18"/>
        <v>0</v>
      </c>
      <c r="T178" s="16" t="str">
        <f>IF(S178=1, DATE(YEAR(Settings!$B$3), MONTH(D178), DAY(D178)), "")</f>
        <v/>
      </c>
      <c r="U178" s="15" t="str">
        <f>IF(S178=1,IFERROR(INDEX(Settings!$B$12:$B$41,MATCH($B178,Settings!$A$12:$A$41,0)),"N"),"")</f>
        <v/>
      </c>
      <c r="V178" s="15" t="str">
        <f>IF(S178=1,IFERROR(INDEX(Settings!$C$12:$C$41,MATCH($B178,Settings!$A$12:$A$41,0)),""),"")</f>
        <v/>
      </c>
      <c r="W178" s="17">
        <f>IF(S178=1,IFERROR(INDEX(Settings!$D$12:$D$41,MATCH($B178,Settings!$A$12:$A$41,0)),0),0)</f>
        <v>0</v>
      </c>
      <c r="X178" s="18">
        <f t="shared" si="19"/>
        <v>0</v>
      </c>
      <c r="Y178" s="18" t="str">
        <f t="shared" si="20"/>
        <v/>
      </c>
      <c r="Z178" s="15" t="str">
        <f>IF(S178=1,IFERROR(INDEX(Settings!$E$12:$E$41,MATCH($B178,Settings!$A$12:$A$41,0)),"N"),"")</f>
        <v/>
      </c>
      <c r="AA178" s="17">
        <f>IF(S178=1,IFERROR(INDEX(Settings!$F$12:$F$41,MATCH($B178,Settings!$A$12:$A$41,0)),0),0)</f>
        <v>0</v>
      </c>
      <c r="AB178" s="15">
        <f>IF(S178=1,IFERROR(INDEX(Settings!$G$12:$G$41,MATCH($B178,Settings!$A$12:$A$41,0)),0),0)</f>
        <v>0</v>
      </c>
      <c r="AC178" s="18" t="str">
        <f t="shared" si="21"/>
        <v/>
      </c>
      <c r="AD178" s="15" t="str">
        <f t="shared" si="22"/>
        <v/>
      </c>
      <c r="AE178" s="15" t="str">
        <f t="shared" si="23"/>
        <v/>
      </c>
      <c r="AF178" s="15" t="str">
        <f t="shared" si="24"/>
        <v/>
      </c>
      <c r="AG178" s="18">
        <f>IF(AND(S178=1,Z178="Y"),IF(Settings!$B$6="Percentage",IF(AD178=0,0,AC178*AA178*(N178/AD178)),IF(Settings!$B$6="Points",IF(AF178=0,0,AC178*(N178*AB178)/AF178),IF(Settings!$B$6="Equally",IF(AE178=0,0,AC178*N178/AE178),0))),0)</f>
        <v>0</v>
      </c>
      <c r="AH178" s="18" t="str">
        <f t="shared" si="25"/>
        <v/>
      </c>
      <c r="AI178" s="15">
        <f>IF(S178=1,IF(COUNTIFS($R$2:R178,R178,$S$2:S178,1)=1,1,0),0)</f>
        <v>0</v>
      </c>
      <c r="AJ178" s="15">
        <f>SUM($AI$2:AI178)</f>
        <v>12</v>
      </c>
    </row>
    <row r="179" spans="18:36">
      <c r="R179" s="15" t="str">
        <f t="shared" si="26"/>
        <v/>
      </c>
      <c r="S179" s="15">
        <f t="shared" si="18"/>
        <v>0</v>
      </c>
      <c r="T179" s="16" t="str">
        <f>IF(S179=1, DATE(YEAR(Settings!$B$3), MONTH(D179), DAY(D179)), "")</f>
        <v/>
      </c>
      <c r="U179" s="15" t="str">
        <f>IF(S179=1,IFERROR(INDEX(Settings!$B$12:$B$41,MATCH($B179,Settings!$A$12:$A$41,0)),"N"),"")</f>
        <v/>
      </c>
      <c r="V179" s="15" t="str">
        <f>IF(S179=1,IFERROR(INDEX(Settings!$C$12:$C$41,MATCH($B179,Settings!$A$12:$A$41,0)),""),"")</f>
        <v/>
      </c>
      <c r="W179" s="17">
        <f>IF(S179=1,IFERROR(INDEX(Settings!$D$12:$D$41,MATCH($B179,Settings!$A$12:$A$41,0)),0),0)</f>
        <v>0</v>
      </c>
      <c r="X179" s="18">
        <f t="shared" si="19"/>
        <v>0</v>
      </c>
      <c r="Y179" s="18" t="str">
        <f t="shared" si="20"/>
        <v/>
      </c>
      <c r="Z179" s="15" t="str">
        <f>IF(S179=1,IFERROR(INDEX(Settings!$E$12:$E$41,MATCH($B179,Settings!$A$12:$A$41,0)),"N"),"")</f>
        <v/>
      </c>
      <c r="AA179" s="17">
        <f>IF(S179=1,IFERROR(INDEX(Settings!$F$12:$F$41,MATCH($B179,Settings!$A$12:$A$41,0)),0),0)</f>
        <v>0</v>
      </c>
      <c r="AB179" s="15">
        <f>IF(S179=1,IFERROR(INDEX(Settings!$G$12:$G$41,MATCH($B179,Settings!$A$12:$A$41,0)),0),0)</f>
        <v>0</v>
      </c>
      <c r="AC179" s="18" t="str">
        <f t="shared" si="21"/>
        <v/>
      </c>
      <c r="AD179" s="15" t="str">
        <f t="shared" si="22"/>
        <v/>
      </c>
      <c r="AE179" s="15" t="str">
        <f t="shared" si="23"/>
        <v/>
      </c>
      <c r="AF179" s="15" t="str">
        <f t="shared" si="24"/>
        <v/>
      </c>
      <c r="AG179" s="18">
        <f>IF(AND(S179=1,Z179="Y"),IF(Settings!$B$6="Percentage",IF(AD179=0,0,AC179*AA179*(N179/AD179)),IF(Settings!$B$6="Points",IF(AF179=0,0,AC179*(N179*AB179)/AF179),IF(Settings!$B$6="Equally",IF(AE179=0,0,AC179*N179/AE179),0))),0)</f>
        <v>0</v>
      </c>
      <c r="AH179" s="18" t="str">
        <f t="shared" si="25"/>
        <v/>
      </c>
      <c r="AI179" s="15">
        <f>IF(S179=1,IF(COUNTIFS($R$2:R179,R179,$S$2:S179,1)=1,1,0),0)</f>
        <v>0</v>
      </c>
      <c r="AJ179" s="15">
        <f>SUM($AI$2:AI179)</f>
        <v>12</v>
      </c>
    </row>
    <row r="180" spans="18:36">
      <c r="R180" s="15" t="str">
        <f t="shared" si="26"/>
        <v/>
      </c>
      <c r="S180" s="15">
        <f t="shared" si="18"/>
        <v>0</v>
      </c>
      <c r="T180" s="16" t="str">
        <f>IF(S180=1, DATE(YEAR(Settings!$B$3), MONTH(D180), DAY(D180)), "")</f>
        <v/>
      </c>
      <c r="U180" s="15" t="str">
        <f>IF(S180=1,IFERROR(INDEX(Settings!$B$12:$B$41,MATCH($B180,Settings!$A$12:$A$41,0)),"N"),"")</f>
        <v/>
      </c>
      <c r="V180" s="15" t="str">
        <f>IF(S180=1,IFERROR(INDEX(Settings!$C$12:$C$41,MATCH($B180,Settings!$A$12:$A$41,0)),""),"")</f>
        <v/>
      </c>
      <c r="W180" s="17">
        <f>IF(S180=1,IFERROR(INDEX(Settings!$D$12:$D$41,MATCH($B180,Settings!$A$12:$A$41,0)),0),0)</f>
        <v>0</v>
      </c>
      <c r="X180" s="18">
        <f t="shared" si="19"/>
        <v>0</v>
      </c>
      <c r="Y180" s="18" t="str">
        <f t="shared" si="20"/>
        <v/>
      </c>
      <c r="Z180" s="15" t="str">
        <f>IF(S180=1,IFERROR(INDEX(Settings!$E$12:$E$41,MATCH($B180,Settings!$A$12:$A$41,0)),"N"),"")</f>
        <v/>
      </c>
      <c r="AA180" s="17">
        <f>IF(S180=1,IFERROR(INDEX(Settings!$F$12:$F$41,MATCH($B180,Settings!$A$12:$A$41,0)),0),0)</f>
        <v>0</v>
      </c>
      <c r="AB180" s="15">
        <f>IF(S180=1,IFERROR(INDEX(Settings!$G$12:$G$41,MATCH($B180,Settings!$A$12:$A$41,0)),0),0)</f>
        <v>0</v>
      </c>
      <c r="AC180" s="18" t="str">
        <f t="shared" si="21"/>
        <v/>
      </c>
      <c r="AD180" s="15" t="str">
        <f t="shared" si="22"/>
        <v/>
      </c>
      <c r="AE180" s="15" t="str">
        <f t="shared" si="23"/>
        <v/>
      </c>
      <c r="AF180" s="15" t="str">
        <f t="shared" si="24"/>
        <v/>
      </c>
      <c r="AG180" s="18">
        <f>IF(AND(S180=1,Z180="Y"),IF(Settings!$B$6="Percentage",IF(AD180=0,0,AC180*AA180*(N180/AD180)),IF(Settings!$B$6="Points",IF(AF180=0,0,AC180*(N180*AB180)/AF180),IF(Settings!$B$6="Equally",IF(AE180=0,0,AC180*N180/AE180),0))),0)</f>
        <v>0</v>
      </c>
      <c r="AH180" s="18" t="str">
        <f t="shared" si="25"/>
        <v/>
      </c>
      <c r="AI180" s="15">
        <f>IF(S180=1,IF(COUNTIFS($R$2:R180,R180,$S$2:S180,1)=1,1,0),0)</f>
        <v>0</v>
      </c>
      <c r="AJ180" s="15">
        <f>SUM($AI$2:AI180)</f>
        <v>12</v>
      </c>
    </row>
    <row r="181" spans="18:36">
      <c r="R181" s="15" t="str">
        <f t="shared" si="26"/>
        <v/>
      </c>
      <c r="S181" s="15">
        <f t="shared" si="18"/>
        <v>0</v>
      </c>
      <c r="T181" s="16" t="str">
        <f>IF(S181=1, DATE(YEAR(Settings!$B$3), MONTH(D181), DAY(D181)), "")</f>
        <v/>
      </c>
      <c r="U181" s="15" t="str">
        <f>IF(S181=1,IFERROR(INDEX(Settings!$B$12:$B$41,MATCH($B181,Settings!$A$12:$A$41,0)),"N"),"")</f>
        <v/>
      </c>
      <c r="V181" s="15" t="str">
        <f>IF(S181=1,IFERROR(INDEX(Settings!$C$12:$C$41,MATCH($B181,Settings!$A$12:$A$41,0)),""),"")</f>
        <v/>
      </c>
      <c r="W181" s="17">
        <f>IF(S181=1,IFERROR(INDEX(Settings!$D$12:$D$41,MATCH($B181,Settings!$A$12:$A$41,0)),0),0)</f>
        <v>0</v>
      </c>
      <c r="X181" s="18">
        <f t="shared" si="19"/>
        <v>0</v>
      </c>
      <c r="Y181" s="18" t="str">
        <f t="shared" si="20"/>
        <v/>
      </c>
      <c r="Z181" s="15" t="str">
        <f>IF(S181=1,IFERROR(INDEX(Settings!$E$12:$E$41,MATCH($B181,Settings!$A$12:$A$41,0)),"N"),"")</f>
        <v/>
      </c>
      <c r="AA181" s="17">
        <f>IF(S181=1,IFERROR(INDEX(Settings!$F$12:$F$41,MATCH($B181,Settings!$A$12:$A$41,0)),0),0)</f>
        <v>0</v>
      </c>
      <c r="AB181" s="15">
        <f>IF(S181=1,IFERROR(INDEX(Settings!$G$12:$G$41,MATCH($B181,Settings!$A$12:$A$41,0)),0),0)</f>
        <v>0</v>
      </c>
      <c r="AC181" s="18" t="str">
        <f t="shared" si="21"/>
        <v/>
      </c>
      <c r="AD181" s="15" t="str">
        <f t="shared" si="22"/>
        <v/>
      </c>
      <c r="AE181" s="15" t="str">
        <f t="shared" si="23"/>
        <v/>
      </c>
      <c r="AF181" s="15" t="str">
        <f t="shared" si="24"/>
        <v/>
      </c>
      <c r="AG181" s="18">
        <f>IF(AND(S181=1,Z181="Y"),IF(Settings!$B$6="Percentage",IF(AD181=0,0,AC181*AA181*(N181/AD181)),IF(Settings!$B$6="Points",IF(AF181=0,0,AC181*(N181*AB181)/AF181),IF(Settings!$B$6="Equally",IF(AE181=0,0,AC181*N181/AE181),0))),0)</f>
        <v>0</v>
      </c>
      <c r="AH181" s="18" t="str">
        <f t="shared" si="25"/>
        <v/>
      </c>
      <c r="AI181" s="15">
        <f>IF(S181=1,IF(COUNTIFS($R$2:R181,R181,$S$2:S181,1)=1,1,0),0)</f>
        <v>0</v>
      </c>
      <c r="AJ181" s="15">
        <f>SUM($AI$2:AI181)</f>
        <v>12</v>
      </c>
    </row>
    <row r="182" spans="18:36">
      <c r="R182" s="15" t="str">
        <f t="shared" si="26"/>
        <v/>
      </c>
      <c r="S182" s="15">
        <f t="shared" si="18"/>
        <v>0</v>
      </c>
      <c r="T182" s="16" t="str">
        <f>IF(S182=1, DATE(YEAR(Settings!$B$3), MONTH(D182), DAY(D182)), "")</f>
        <v/>
      </c>
      <c r="U182" s="15" t="str">
        <f>IF(S182=1,IFERROR(INDEX(Settings!$B$12:$B$41,MATCH($B182,Settings!$A$12:$A$41,0)),"N"),"")</f>
        <v/>
      </c>
      <c r="V182" s="15" t="str">
        <f>IF(S182=1,IFERROR(INDEX(Settings!$C$12:$C$41,MATCH($B182,Settings!$A$12:$A$41,0)),""),"")</f>
        <v/>
      </c>
      <c r="W182" s="17">
        <f>IF(S182=1,IFERROR(INDEX(Settings!$D$12:$D$41,MATCH($B182,Settings!$A$12:$A$41,0)),0),0)</f>
        <v>0</v>
      </c>
      <c r="X182" s="18">
        <f t="shared" si="19"/>
        <v>0</v>
      </c>
      <c r="Y182" s="18" t="str">
        <f t="shared" si="20"/>
        <v/>
      </c>
      <c r="Z182" s="15" t="str">
        <f>IF(S182=1,IFERROR(INDEX(Settings!$E$12:$E$41,MATCH($B182,Settings!$A$12:$A$41,0)),"N"),"")</f>
        <v/>
      </c>
      <c r="AA182" s="17">
        <f>IF(S182=1,IFERROR(INDEX(Settings!$F$12:$F$41,MATCH($B182,Settings!$A$12:$A$41,0)),0),0)</f>
        <v>0</v>
      </c>
      <c r="AB182" s="15">
        <f>IF(S182=1,IFERROR(INDEX(Settings!$G$12:$G$41,MATCH($B182,Settings!$A$12:$A$41,0)),0),0)</f>
        <v>0</v>
      </c>
      <c r="AC182" s="18" t="str">
        <f t="shared" si="21"/>
        <v/>
      </c>
      <c r="AD182" s="15" t="str">
        <f t="shared" si="22"/>
        <v/>
      </c>
      <c r="AE182" s="15" t="str">
        <f t="shared" si="23"/>
        <v/>
      </c>
      <c r="AF182" s="15" t="str">
        <f t="shared" si="24"/>
        <v/>
      </c>
      <c r="AG182" s="18">
        <f>IF(AND(S182=1,Z182="Y"),IF(Settings!$B$6="Percentage",IF(AD182=0,0,AC182*AA182*(N182/AD182)),IF(Settings!$B$6="Points",IF(AF182=0,0,AC182*(N182*AB182)/AF182),IF(Settings!$B$6="Equally",IF(AE182=0,0,AC182*N182/AE182),0))),0)</f>
        <v>0</v>
      </c>
      <c r="AH182" s="18" t="str">
        <f t="shared" si="25"/>
        <v/>
      </c>
      <c r="AI182" s="15">
        <f>IF(S182=1,IF(COUNTIFS($R$2:R182,R182,$S$2:S182,1)=1,1,0),0)</f>
        <v>0</v>
      </c>
      <c r="AJ182" s="15">
        <f>SUM($AI$2:AI182)</f>
        <v>12</v>
      </c>
    </row>
    <row r="183" spans="18:36">
      <c r="R183" s="15" t="str">
        <f t="shared" si="26"/>
        <v/>
      </c>
      <c r="S183" s="15">
        <f t="shared" si="18"/>
        <v>0</v>
      </c>
      <c r="T183" s="16" t="str">
        <f>IF(S183=1, DATE(YEAR(Settings!$B$3), MONTH(D183), DAY(D183)), "")</f>
        <v/>
      </c>
      <c r="U183" s="15" t="str">
        <f>IF(S183=1,IFERROR(INDEX(Settings!$B$12:$B$41,MATCH($B183,Settings!$A$12:$A$41,0)),"N"),"")</f>
        <v/>
      </c>
      <c r="V183" s="15" t="str">
        <f>IF(S183=1,IFERROR(INDEX(Settings!$C$12:$C$41,MATCH($B183,Settings!$A$12:$A$41,0)),""),"")</f>
        <v/>
      </c>
      <c r="W183" s="17">
        <f>IF(S183=1,IFERROR(INDEX(Settings!$D$12:$D$41,MATCH($B183,Settings!$A$12:$A$41,0)),0),0)</f>
        <v>0</v>
      </c>
      <c r="X183" s="18">
        <f t="shared" si="19"/>
        <v>0</v>
      </c>
      <c r="Y183" s="18" t="str">
        <f t="shared" si="20"/>
        <v/>
      </c>
      <c r="Z183" s="15" t="str">
        <f>IF(S183=1,IFERROR(INDEX(Settings!$E$12:$E$41,MATCH($B183,Settings!$A$12:$A$41,0)),"N"),"")</f>
        <v/>
      </c>
      <c r="AA183" s="17">
        <f>IF(S183=1,IFERROR(INDEX(Settings!$F$12:$F$41,MATCH($B183,Settings!$A$12:$A$41,0)),0),0)</f>
        <v>0</v>
      </c>
      <c r="AB183" s="15">
        <f>IF(S183=1,IFERROR(INDEX(Settings!$G$12:$G$41,MATCH($B183,Settings!$A$12:$A$41,0)),0),0)</f>
        <v>0</v>
      </c>
      <c r="AC183" s="18" t="str">
        <f t="shared" si="21"/>
        <v/>
      </c>
      <c r="AD183" s="15" t="str">
        <f t="shared" si="22"/>
        <v/>
      </c>
      <c r="AE183" s="15" t="str">
        <f t="shared" si="23"/>
        <v/>
      </c>
      <c r="AF183" s="15" t="str">
        <f t="shared" si="24"/>
        <v/>
      </c>
      <c r="AG183" s="18">
        <f>IF(AND(S183=1,Z183="Y"),IF(Settings!$B$6="Percentage",IF(AD183=0,0,AC183*AA183*(N183/AD183)),IF(Settings!$B$6="Points",IF(AF183=0,0,AC183*(N183*AB183)/AF183),IF(Settings!$B$6="Equally",IF(AE183=0,0,AC183*N183/AE183),0))),0)</f>
        <v>0</v>
      </c>
      <c r="AH183" s="18" t="str">
        <f t="shared" si="25"/>
        <v/>
      </c>
      <c r="AI183" s="15">
        <f>IF(S183=1,IF(COUNTIFS($R$2:R183,R183,$S$2:S183,1)=1,1,0),0)</f>
        <v>0</v>
      </c>
      <c r="AJ183" s="15">
        <f>SUM($AI$2:AI183)</f>
        <v>12</v>
      </c>
    </row>
    <row r="184" spans="18:36">
      <c r="R184" s="15" t="str">
        <f t="shared" si="26"/>
        <v/>
      </c>
      <c r="S184" s="15">
        <f t="shared" si="18"/>
        <v>0</v>
      </c>
      <c r="T184" s="16" t="str">
        <f>IF(S184=1, DATE(YEAR(Settings!$B$3), MONTH(D184), DAY(D184)), "")</f>
        <v/>
      </c>
      <c r="U184" s="15" t="str">
        <f>IF(S184=1,IFERROR(INDEX(Settings!$B$12:$B$41,MATCH($B184,Settings!$A$12:$A$41,0)),"N"),"")</f>
        <v/>
      </c>
      <c r="V184" s="15" t="str">
        <f>IF(S184=1,IFERROR(INDEX(Settings!$C$12:$C$41,MATCH($B184,Settings!$A$12:$A$41,0)),""),"")</f>
        <v/>
      </c>
      <c r="W184" s="17">
        <f>IF(S184=1,IFERROR(INDEX(Settings!$D$12:$D$41,MATCH($B184,Settings!$A$12:$A$41,0)),0),0)</f>
        <v>0</v>
      </c>
      <c r="X184" s="18">
        <f t="shared" si="19"/>
        <v>0</v>
      </c>
      <c r="Y184" s="18" t="str">
        <f t="shared" si="20"/>
        <v/>
      </c>
      <c r="Z184" s="15" t="str">
        <f>IF(S184=1,IFERROR(INDEX(Settings!$E$12:$E$41,MATCH($B184,Settings!$A$12:$A$41,0)),"N"),"")</f>
        <v/>
      </c>
      <c r="AA184" s="17">
        <f>IF(S184=1,IFERROR(INDEX(Settings!$F$12:$F$41,MATCH($B184,Settings!$A$12:$A$41,0)),0),0)</f>
        <v>0</v>
      </c>
      <c r="AB184" s="15">
        <f>IF(S184=1,IFERROR(INDEX(Settings!$G$12:$G$41,MATCH($B184,Settings!$A$12:$A$41,0)),0),0)</f>
        <v>0</v>
      </c>
      <c r="AC184" s="18" t="str">
        <f t="shared" si="21"/>
        <v/>
      </c>
      <c r="AD184" s="15" t="str">
        <f t="shared" si="22"/>
        <v/>
      </c>
      <c r="AE184" s="15" t="str">
        <f t="shared" si="23"/>
        <v/>
      </c>
      <c r="AF184" s="15" t="str">
        <f t="shared" si="24"/>
        <v/>
      </c>
      <c r="AG184" s="18">
        <f>IF(AND(S184=1,Z184="Y"),IF(Settings!$B$6="Percentage",IF(AD184=0,0,AC184*AA184*(N184/AD184)),IF(Settings!$B$6="Points",IF(AF184=0,0,AC184*(N184*AB184)/AF184),IF(Settings!$B$6="Equally",IF(AE184=0,0,AC184*N184/AE184),0))),0)</f>
        <v>0</v>
      </c>
      <c r="AH184" s="18" t="str">
        <f t="shared" si="25"/>
        <v/>
      </c>
      <c r="AI184" s="15">
        <f>IF(S184=1,IF(COUNTIFS($R$2:R184,R184,$S$2:S184,1)=1,1,0),0)</f>
        <v>0</v>
      </c>
      <c r="AJ184" s="15">
        <f>SUM($AI$2:AI184)</f>
        <v>12</v>
      </c>
    </row>
    <row r="185" spans="18:36">
      <c r="R185" s="15" t="str">
        <f t="shared" si="26"/>
        <v/>
      </c>
      <c r="S185" s="15">
        <f t="shared" si="18"/>
        <v>0</v>
      </c>
      <c r="T185" s="16" t="str">
        <f>IF(S185=1, DATE(YEAR(Settings!$B$3), MONTH(D185), DAY(D185)), "")</f>
        <v/>
      </c>
      <c r="U185" s="15" t="str">
        <f>IF(S185=1,IFERROR(INDEX(Settings!$B$12:$B$41,MATCH($B185,Settings!$A$12:$A$41,0)),"N"),"")</f>
        <v/>
      </c>
      <c r="V185" s="15" t="str">
        <f>IF(S185=1,IFERROR(INDEX(Settings!$C$12:$C$41,MATCH($B185,Settings!$A$12:$A$41,0)),""),"")</f>
        <v/>
      </c>
      <c r="W185" s="17">
        <f>IF(S185=1,IFERROR(INDEX(Settings!$D$12:$D$41,MATCH($B185,Settings!$A$12:$A$41,0)),0),0)</f>
        <v>0</v>
      </c>
      <c r="X185" s="18">
        <f t="shared" si="19"/>
        <v>0</v>
      </c>
      <c r="Y185" s="18" t="str">
        <f t="shared" si="20"/>
        <v/>
      </c>
      <c r="Z185" s="15" t="str">
        <f>IF(S185=1,IFERROR(INDEX(Settings!$E$12:$E$41,MATCH($B185,Settings!$A$12:$A$41,0)),"N"),"")</f>
        <v/>
      </c>
      <c r="AA185" s="17">
        <f>IF(S185=1,IFERROR(INDEX(Settings!$F$12:$F$41,MATCH($B185,Settings!$A$12:$A$41,0)),0),0)</f>
        <v>0</v>
      </c>
      <c r="AB185" s="15">
        <f>IF(S185=1,IFERROR(INDEX(Settings!$G$12:$G$41,MATCH($B185,Settings!$A$12:$A$41,0)),0),0)</f>
        <v>0</v>
      </c>
      <c r="AC185" s="18" t="str">
        <f t="shared" si="21"/>
        <v/>
      </c>
      <c r="AD185" s="15" t="str">
        <f t="shared" si="22"/>
        <v/>
      </c>
      <c r="AE185" s="15" t="str">
        <f t="shared" si="23"/>
        <v/>
      </c>
      <c r="AF185" s="15" t="str">
        <f t="shared" si="24"/>
        <v/>
      </c>
      <c r="AG185" s="18">
        <f>IF(AND(S185=1,Z185="Y"),IF(Settings!$B$6="Percentage",IF(AD185=0,0,AC185*AA185*(N185/AD185)),IF(Settings!$B$6="Points",IF(AF185=0,0,AC185*(N185*AB185)/AF185),IF(Settings!$B$6="Equally",IF(AE185=0,0,AC185*N185/AE185),0))),0)</f>
        <v>0</v>
      </c>
      <c r="AH185" s="18" t="str">
        <f t="shared" si="25"/>
        <v/>
      </c>
      <c r="AI185" s="15">
        <f>IF(S185=1,IF(COUNTIFS($R$2:R185,R185,$S$2:S185,1)=1,1,0),0)</f>
        <v>0</v>
      </c>
      <c r="AJ185" s="15">
        <f>SUM($AI$2:AI185)</f>
        <v>12</v>
      </c>
    </row>
    <row r="186" spans="18:36">
      <c r="R186" s="15" t="str">
        <f t="shared" si="26"/>
        <v/>
      </c>
      <c r="S186" s="15">
        <f t="shared" si="18"/>
        <v>0</v>
      </c>
      <c r="T186" s="16" t="str">
        <f>IF(S186=1, DATE(YEAR(Settings!$B$3), MONTH(D186), DAY(D186)), "")</f>
        <v/>
      </c>
      <c r="U186" s="15" t="str">
        <f>IF(S186=1,IFERROR(INDEX(Settings!$B$12:$B$41,MATCH($B186,Settings!$A$12:$A$41,0)),"N"),"")</f>
        <v/>
      </c>
      <c r="V186" s="15" t="str">
        <f>IF(S186=1,IFERROR(INDEX(Settings!$C$12:$C$41,MATCH($B186,Settings!$A$12:$A$41,0)),""),"")</f>
        <v/>
      </c>
      <c r="W186" s="17">
        <f>IF(S186=1,IFERROR(INDEX(Settings!$D$12:$D$41,MATCH($B186,Settings!$A$12:$A$41,0)),0),0)</f>
        <v>0</v>
      </c>
      <c r="X186" s="18">
        <f t="shared" si="19"/>
        <v>0</v>
      </c>
      <c r="Y186" s="18" t="str">
        <f t="shared" si="20"/>
        <v/>
      </c>
      <c r="Z186" s="15" t="str">
        <f>IF(S186=1,IFERROR(INDEX(Settings!$E$12:$E$41,MATCH($B186,Settings!$A$12:$A$41,0)),"N"),"")</f>
        <v/>
      </c>
      <c r="AA186" s="17">
        <f>IF(S186=1,IFERROR(INDEX(Settings!$F$12:$F$41,MATCH($B186,Settings!$A$12:$A$41,0)),0),0)</f>
        <v>0</v>
      </c>
      <c r="AB186" s="15">
        <f>IF(S186=1,IFERROR(INDEX(Settings!$G$12:$G$41,MATCH($B186,Settings!$A$12:$A$41,0)),0),0)</f>
        <v>0</v>
      </c>
      <c r="AC186" s="18" t="str">
        <f t="shared" si="21"/>
        <v/>
      </c>
      <c r="AD186" s="15" t="str">
        <f t="shared" si="22"/>
        <v/>
      </c>
      <c r="AE186" s="15" t="str">
        <f t="shared" si="23"/>
        <v/>
      </c>
      <c r="AF186" s="15" t="str">
        <f t="shared" si="24"/>
        <v/>
      </c>
      <c r="AG186" s="18">
        <f>IF(AND(S186=1,Z186="Y"),IF(Settings!$B$6="Percentage",IF(AD186=0,0,AC186*AA186*(N186/AD186)),IF(Settings!$B$6="Points",IF(AF186=0,0,AC186*(N186*AB186)/AF186),IF(Settings!$B$6="Equally",IF(AE186=0,0,AC186*N186/AE186),0))),0)</f>
        <v>0</v>
      </c>
      <c r="AH186" s="18" t="str">
        <f t="shared" si="25"/>
        <v/>
      </c>
      <c r="AI186" s="15">
        <f>IF(S186=1,IF(COUNTIFS($R$2:R186,R186,$S$2:S186,1)=1,1,0),0)</f>
        <v>0</v>
      </c>
      <c r="AJ186" s="15">
        <f>SUM($AI$2:AI186)</f>
        <v>12</v>
      </c>
    </row>
    <row r="187" spans="18:36">
      <c r="R187" s="15" t="str">
        <f t="shared" si="26"/>
        <v/>
      </c>
      <c r="S187" s="15">
        <f t="shared" si="18"/>
        <v>0</v>
      </c>
      <c r="T187" s="16" t="str">
        <f>IF(S187=1, DATE(YEAR(Settings!$B$3), MONTH(D187), DAY(D187)), "")</f>
        <v/>
      </c>
      <c r="U187" s="15" t="str">
        <f>IF(S187=1,IFERROR(INDEX(Settings!$B$12:$B$41,MATCH($B187,Settings!$A$12:$A$41,0)),"N"),"")</f>
        <v/>
      </c>
      <c r="V187" s="15" t="str">
        <f>IF(S187=1,IFERROR(INDEX(Settings!$C$12:$C$41,MATCH($B187,Settings!$A$12:$A$41,0)),""),"")</f>
        <v/>
      </c>
      <c r="W187" s="17">
        <f>IF(S187=1,IFERROR(INDEX(Settings!$D$12:$D$41,MATCH($B187,Settings!$A$12:$A$41,0)),0),0)</f>
        <v>0</v>
      </c>
      <c r="X187" s="18">
        <f t="shared" si="19"/>
        <v>0</v>
      </c>
      <c r="Y187" s="18" t="str">
        <f t="shared" si="20"/>
        <v/>
      </c>
      <c r="Z187" s="15" t="str">
        <f>IF(S187=1,IFERROR(INDEX(Settings!$E$12:$E$41,MATCH($B187,Settings!$A$12:$A$41,0)),"N"),"")</f>
        <v/>
      </c>
      <c r="AA187" s="17">
        <f>IF(S187=1,IFERROR(INDEX(Settings!$F$12:$F$41,MATCH($B187,Settings!$A$12:$A$41,0)),0),0)</f>
        <v>0</v>
      </c>
      <c r="AB187" s="15">
        <f>IF(S187=1,IFERROR(INDEX(Settings!$G$12:$G$41,MATCH($B187,Settings!$A$12:$A$41,0)),0),0)</f>
        <v>0</v>
      </c>
      <c r="AC187" s="18" t="str">
        <f t="shared" si="21"/>
        <v/>
      </c>
      <c r="AD187" s="15" t="str">
        <f t="shared" si="22"/>
        <v/>
      </c>
      <c r="AE187" s="15" t="str">
        <f t="shared" si="23"/>
        <v/>
      </c>
      <c r="AF187" s="15" t="str">
        <f t="shared" si="24"/>
        <v/>
      </c>
      <c r="AG187" s="18">
        <f>IF(AND(S187=1,Z187="Y"),IF(Settings!$B$6="Percentage",IF(AD187=0,0,AC187*AA187*(N187/AD187)),IF(Settings!$B$6="Points",IF(AF187=0,0,AC187*(N187*AB187)/AF187),IF(Settings!$B$6="Equally",IF(AE187=0,0,AC187*N187/AE187),0))),0)</f>
        <v>0</v>
      </c>
      <c r="AH187" s="18" t="str">
        <f t="shared" si="25"/>
        <v/>
      </c>
      <c r="AI187" s="15">
        <f>IF(S187=1,IF(COUNTIFS($R$2:R187,R187,$S$2:S187,1)=1,1,0),0)</f>
        <v>0</v>
      </c>
      <c r="AJ187" s="15">
        <f>SUM($AI$2:AI187)</f>
        <v>12</v>
      </c>
    </row>
    <row r="188" spans="18:36">
      <c r="R188" s="15" t="str">
        <f t="shared" si="26"/>
        <v/>
      </c>
      <c r="S188" s="15">
        <f t="shared" si="18"/>
        <v>0</v>
      </c>
      <c r="T188" s="16" t="str">
        <f>IF(S188=1, DATE(YEAR(Settings!$B$3), MONTH(D188), DAY(D188)), "")</f>
        <v/>
      </c>
      <c r="U188" s="15" t="str">
        <f>IF(S188=1,IFERROR(INDEX(Settings!$B$12:$B$41,MATCH($B188,Settings!$A$12:$A$41,0)),"N"),"")</f>
        <v/>
      </c>
      <c r="V188" s="15" t="str">
        <f>IF(S188=1,IFERROR(INDEX(Settings!$C$12:$C$41,MATCH($B188,Settings!$A$12:$A$41,0)),""),"")</f>
        <v/>
      </c>
      <c r="W188" s="17">
        <f>IF(S188=1,IFERROR(INDEX(Settings!$D$12:$D$41,MATCH($B188,Settings!$A$12:$A$41,0)),0),0)</f>
        <v>0</v>
      </c>
      <c r="X188" s="18">
        <f t="shared" si="19"/>
        <v>0</v>
      </c>
      <c r="Y188" s="18" t="str">
        <f t="shared" si="20"/>
        <v/>
      </c>
      <c r="Z188" s="15" t="str">
        <f>IF(S188=1,IFERROR(INDEX(Settings!$E$12:$E$41,MATCH($B188,Settings!$A$12:$A$41,0)),"N"),"")</f>
        <v/>
      </c>
      <c r="AA188" s="17">
        <f>IF(S188=1,IFERROR(INDEX(Settings!$F$12:$F$41,MATCH($B188,Settings!$A$12:$A$41,0)),0),0)</f>
        <v>0</v>
      </c>
      <c r="AB188" s="15">
        <f>IF(S188=1,IFERROR(INDEX(Settings!$G$12:$G$41,MATCH($B188,Settings!$A$12:$A$41,0)),0),0)</f>
        <v>0</v>
      </c>
      <c r="AC188" s="18" t="str">
        <f t="shared" si="21"/>
        <v/>
      </c>
      <c r="AD188" s="15" t="str">
        <f t="shared" si="22"/>
        <v/>
      </c>
      <c r="AE188" s="15" t="str">
        <f t="shared" si="23"/>
        <v/>
      </c>
      <c r="AF188" s="15" t="str">
        <f t="shared" si="24"/>
        <v/>
      </c>
      <c r="AG188" s="18">
        <f>IF(AND(S188=1,Z188="Y"),IF(Settings!$B$6="Percentage",IF(AD188=0,0,AC188*AA188*(N188/AD188)),IF(Settings!$B$6="Points",IF(AF188=0,0,AC188*(N188*AB188)/AF188),IF(Settings!$B$6="Equally",IF(AE188=0,0,AC188*N188/AE188),0))),0)</f>
        <v>0</v>
      </c>
      <c r="AH188" s="18" t="str">
        <f t="shared" si="25"/>
        <v/>
      </c>
      <c r="AI188" s="15">
        <f>IF(S188=1,IF(COUNTIFS($R$2:R188,R188,$S$2:S188,1)=1,1,0),0)</f>
        <v>0</v>
      </c>
      <c r="AJ188" s="15">
        <f>SUM($AI$2:AI188)</f>
        <v>12</v>
      </c>
    </row>
    <row r="189" spans="18:36">
      <c r="R189" s="15" t="str">
        <f t="shared" si="26"/>
        <v/>
      </c>
      <c r="S189" s="15">
        <f t="shared" si="18"/>
        <v>0</v>
      </c>
      <c r="T189" s="16" t="str">
        <f>IF(S189=1, DATE(YEAR(Settings!$B$3), MONTH(D189), DAY(D189)), "")</f>
        <v/>
      </c>
      <c r="U189" s="15" t="str">
        <f>IF(S189=1,IFERROR(INDEX(Settings!$B$12:$B$41,MATCH($B189,Settings!$A$12:$A$41,0)),"N"),"")</f>
        <v/>
      </c>
      <c r="V189" s="15" t="str">
        <f>IF(S189=1,IFERROR(INDEX(Settings!$C$12:$C$41,MATCH($B189,Settings!$A$12:$A$41,0)),""),"")</f>
        <v/>
      </c>
      <c r="W189" s="17">
        <f>IF(S189=1,IFERROR(INDEX(Settings!$D$12:$D$41,MATCH($B189,Settings!$A$12:$A$41,0)),0),0)</f>
        <v>0</v>
      </c>
      <c r="X189" s="18">
        <f t="shared" si="19"/>
        <v>0</v>
      </c>
      <c r="Y189" s="18" t="str">
        <f t="shared" si="20"/>
        <v/>
      </c>
      <c r="Z189" s="15" t="str">
        <f>IF(S189=1,IFERROR(INDEX(Settings!$E$12:$E$41,MATCH($B189,Settings!$A$12:$A$41,0)),"N"),"")</f>
        <v/>
      </c>
      <c r="AA189" s="17">
        <f>IF(S189=1,IFERROR(INDEX(Settings!$F$12:$F$41,MATCH($B189,Settings!$A$12:$A$41,0)),0),0)</f>
        <v>0</v>
      </c>
      <c r="AB189" s="15">
        <f>IF(S189=1,IFERROR(INDEX(Settings!$G$12:$G$41,MATCH($B189,Settings!$A$12:$A$41,0)),0),0)</f>
        <v>0</v>
      </c>
      <c r="AC189" s="18" t="str">
        <f t="shared" si="21"/>
        <v/>
      </c>
      <c r="AD189" s="15" t="str">
        <f t="shared" si="22"/>
        <v/>
      </c>
      <c r="AE189" s="15" t="str">
        <f t="shared" si="23"/>
        <v/>
      </c>
      <c r="AF189" s="15" t="str">
        <f t="shared" si="24"/>
        <v/>
      </c>
      <c r="AG189" s="18">
        <f>IF(AND(S189=1,Z189="Y"),IF(Settings!$B$6="Percentage",IF(AD189=0,0,AC189*AA189*(N189/AD189)),IF(Settings!$B$6="Points",IF(AF189=0,0,AC189*(N189*AB189)/AF189),IF(Settings!$B$6="Equally",IF(AE189=0,0,AC189*N189/AE189),0))),0)</f>
        <v>0</v>
      </c>
      <c r="AH189" s="18" t="str">
        <f t="shared" si="25"/>
        <v/>
      </c>
      <c r="AI189" s="15">
        <f>IF(S189=1,IF(COUNTIFS($R$2:R189,R189,$S$2:S189,1)=1,1,0),0)</f>
        <v>0</v>
      </c>
      <c r="AJ189" s="15">
        <f>SUM($AI$2:AI189)</f>
        <v>12</v>
      </c>
    </row>
    <row r="190" spans="18:36">
      <c r="R190" s="15" t="str">
        <f t="shared" si="26"/>
        <v/>
      </c>
      <c r="S190" s="15">
        <f t="shared" si="18"/>
        <v>0</v>
      </c>
      <c r="T190" s="16" t="str">
        <f>IF(S190=1, DATE(YEAR(Settings!$B$3), MONTH(D190), DAY(D190)), "")</f>
        <v/>
      </c>
      <c r="U190" s="15" t="str">
        <f>IF(S190=1,IFERROR(INDEX(Settings!$B$12:$B$41,MATCH($B190,Settings!$A$12:$A$41,0)),"N"),"")</f>
        <v/>
      </c>
      <c r="V190" s="15" t="str">
        <f>IF(S190=1,IFERROR(INDEX(Settings!$C$12:$C$41,MATCH($B190,Settings!$A$12:$A$41,0)),""),"")</f>
        <v/>
      </c>
      <c r="W190" s="17">
        <f>IF(S190=1,IFERROR(INDEX(Settings!$D$12:$D$41,MATCH($B190,Settings!$A$12:$A$41,0)),0),0)</f>
        <v>0</v>
      </c>
      <c r="X190" s="18">
        <f t="shared" si="19"/>
        <v>0</v>
      </c>
      <c r="Y190" s="18" t="str">
        <f t="shared" si="20"/>
        <v/>
      </c>
      <c r="Z190" s="15" t="str">
        <f>IF(S190=1,IFERROR(INDEX(Settings!$E$12:$E$41,MATCH($B190,Settings!$A$12:$A$41,0)),"N"),"")</f>
        <v/>
      </c>
      <c r="AA190" s="17">
        <f>IF(S190=1,IFERROR(INDEX(Settings!$F$12:$F$41,MATCH($B190,Settings!$A$12:$A$41,0)),0),0)</f>
        <v>0</v>
      </c>
      <c r="AB190" s="15">
        <f>IF(S190=1,IFERROR(INDEX(Settings!$G$12:$G$41,MATCH($B190,Settings!$A$12:$A$41,0)),0),0)</f>
        <v>0</v>
      </c>
      <c r="AC190" s="18" t="str">
        <f t="shared" si="21"/>
        <v/>
      </c>
      <c r="AD190" s="15" t="str">
        <f t="shared" si="22"/>
        <v/>
      </c>
      <c r="AE190" s="15" t="str">
        <f t="shared" si="23"/>
        <v/>
      </c>
      <c r="AF190" s="15" t="str">
        <f t="shared" si="24"/>
        <v/>
      </c>
      <c r="AG190" s="18">
        <f>IF(AND(S190=1,Z190="Y"),IF(Settings!$B$6="Percentage",IF(AD190=0,0,AC190*AA190*(N190/AD190)),IF(Settings!$B$6="Points",IF(AF190=0,0,AC190*(N190*AB190)/AF190),IF(Settings!$B$6="Equally",IF(AE190=0,0,AC190*N190/AE190),0))),0)</f>
        <v>0</v>
      </c>
      <c r="AH190" s="18" t="str">
        <f t="shared" si="25"/>
        <v/>
      </c>
      <c r="AI190" s="15">
        <f>IF(S190=1,IF(COUNTIFS($R$2:R190,R190,$S$2:S190,1)=1,1,0),0)</f>
        <v>0</v>
      </c>
      <c r="AJ190" s="15">
        <f>SUM($AI$2:AI190)</f>
        <v>12</v>
      </c>
    </row>
    <row r="191" spans="18:36">
      <c r="R191" s="15" t="str">
        <f t="shared" si="26"/>
        <v/>
      </c>
      <c r="S191" s="15">
        <f t="shared" si="18"/>
        <v>0</v>
      </c>
      <c r="T191" s="16" t="str">
        <f>IF(S191=1, DATE(YEAR(Settings!$B$3), MONTH(D191), DAY(D191)), "")</f>
        <v/>
      </c>
      <c r="U191" s="15" t="str">
        <f>IF(S191=1,IFERROR(INDEX(Settings!$B$12:$B$41,MATCH($B191,Settings!$A$12:$A$41,0)),"N"),"")</f>
        <v/>
      </c>
      <c r="V191" s="15" t="str">
        <f>IF(S191=1,IFERROR(INDEX(Settings!$C$12:$C$41,MATCH($B191,Settings!$A$12:$A$41,0)),""),"")</f>
        <v/>
      </c>
      <c r="W191" s="17">
        <f>IF(S191=1,IFERROR(INDEX(Settings!$D$12:$D$41,MATCH($B191,Settings!$A$12:$A$41,0)),0),0)</f>
        <v>0</v>
      </c>
      <c r="X191" s="18">
        <f t="shared" si="19"/>
        <v>0</v>
      </c>
      <c r="Y191" s="18" t="str">
        <f t="shared" si="20"/>
        <v/>
      </c>
      <c r="Z191" s="15" t="str">
        <f>IF(S191=1,IFERROR(INDEX(Settings!$E$12:$E$41,MATCH($B191,Settings!$A$12:$A$41,0)),"N"),"")</f>
        <v/>
      </c>
      <c r="AA191" s="17">
        <f>IF(S191=1,IFERROR(INDEX(Settings!$F$12:$F$41,MATCH($B191,Settings!$A$12:$A$41,0)),0),0)</f>
        <v>0</v>
      </c>
      <c r="AB191" s="15">
        <f>IF(S191=1,IFERROR(INDEX(Settings!$G$12:$G$41,MATCH($B191,Settings!$A$12:$A$41,0)),0),0)</f>
        <v>0</v>
      </c>
      <c r="AC191" s="18" t="str">
        <f t="shared" si="21"/>
        <v/>
      </c>
      <c r="AD191" s="15" t="str">
        <f t="shared" si="22"/>
        <v/>
      </c>
      <c r="AE191" s="15" t="str">
        <f t="shared" si="23"/>
        <v/>
      </c>
      <c r="AF191" s="15" t="str">
        <f t="shared" si="24"/>
        <v/>
      </c>
      <c r="AG191" s="18">
        <f>IF(AND(S191=1,Z191="Y"),IF(Settings!$B$6="Percentage",IF(AD191=0,0,AC191*AA191*(N191/AD191)),IF(Settings!$B$6="Points",IF(AF191=0,0,AC191*(N191*AB191)/AF191),IF(Settings!$B$6="Equally",IF(AE191=0,0,AC191*N191/AE191),0))),0)</f>
        <v>0</v>
      </c>
      <c r="AH191" s="18" t="str">
        <f t="shared" si="25"/>
        <v/>
      </c>
      <c r="AI191" s="15">
        <f>IF(S191=1,IF(COUNTIFS($R$2:R191,R191,$S$2:S191,1)=1,1,0),0)</f>
        <v>0</v>
      </c>
      <c r="AJ191" s="15">
        <f>SUM($AI$2:AI191)</f>
        <v>12</v>
      </c>
    </row>
    <row r="192" spans="18:36">
      <c r="R192" s="15" t="str">
        <f t="shared" si="26"/>
        <v/>
      </c>
      <c r="S192" s="15">
        <f t="shared" si="18"/>
        <v>0</v>
      </c>
      <c r="T192" s="16" t="str">
        <f>IF(S192=1, DATE(YEAR(Settings!$B$3), MONTH(D192), DAY(D192)), "")</f>
        <v/>
      </c>
      <c r="U192" s="15" t="str">
        <f>IF(S192=1,IFERROR(INDEX(Settings!$B$12:$B$41,MATCH($B192,Settings!$A$12:$A$41,0)),"N"),"")</f>
        <v/>
      </c>
      <c r="V192" s="15" t="str">
        <f>IF(S192=1,IFERROR(INDEX(Settings!$C$12:$C$41,MATCH($B192,Settings!$A$12:$A$41,0)),""),"")</f>
        <v/>
      </c>
      <c r="W192" s="17">
        <f>IF(S192=1,IFERROR(INDEX(Settings!$D$12:$D$41,MATCH($B192,Settings!$A$12:$A$41,0)),0),0)</f>
        <v>0</v>
      </c>
      <c r="X192" s="18">
        <f t="shared" si="19"/>
        <v>0</v>
      </c>
      <c r="Y192" s="18" t="str">
        <f t="shared" si="20"/>
        <v/>
      </c>
      <c r="Z192" s="15" t="str">
        <f>IF(S192=1,IFERROR(INDEX(Settings!$E$12:$E$41,MATCH($B192,Settings!$A$12:$A$41,0)),"N"),"")</f>
        <v/>
      </c>
      <c r="AA192" s="17">
        <f>IF(S192=1,IFERROR(INDEX(Settings!$F$12:$F$41,MATCH($B192,Settings!$A$12:$A$41,0)),0),0)</f>
        <v>0</v>
      </c>
      <c r="AB192" s="15">
        <f>IF(S192=1,IFERROR(INDEX(Settings!$G$12:$G$41,MATCH($B192,Settings!$A$12:$A$41,0)),0),0)</f>
        <v>0</v>
      </c>
      <c r="AC192" s="18" t="str">
        <f t="shared" si="21"/>
        <v/>
      </c>
      <c r="AD192" s="15" t="str">
        <f t="shared" si="22"/>
        <v/>
      </c>
      <c r="AE192" s="15" t="str">
        <f t="shared" si="23"/>
        <v/>
      </c>
      <c r="AF192" s="15" t="str">
        <f t="shared" si="24"/>
        <v/>
      </c>
      <c r="AG192" s="18">
        <f>IF(AND(S192=1,Z192="Y"),IF(Settings!$B$6="Percentage",IF(AD192=0,0,AC192*AA192*(N192/AD192)),IF(Settings!$B$6="Points",IF(AF192=0,0,AC192*(N192*AB192)/AF192),IF(Settings!$B$6="Equally",IF(AE192=0,0,AC192*N192/AE192),0))),0)</f>
        <v>0</v>
      </c>
      <c r="AH192" s="18" t="str">
        <f t="shared" si="25"/>
        <v/>
      </c>
      <c r="AI192" s="15">
        <f>IF(S192=1,IF(COUNTIFS($R$2:R192,R192,$S$2:S192,1)=1,1,0),0)</f>
        <v>0</v>
      </c>
      <c r="AJ192" s="15">
        <f>SUM($AI$2:AI192)</f>
        <v>12</v>
      </c>
    </row>
    <row r="193" spans="18:36">
      <c r="R193" s="15" t="str">
        <f t="shared" si="26"/>
        <v/>
      </c>
      <c r="S193" s="15">
        <f t="shared" si="18"/>
        <v>0</v>
      </c>
      <c r="T193" s="16" t="str">
        <f>IF(S193=1, DATE(YEAR(Settings!$B$3), MONTH(D193), DAY(D193)), "")</f>
        <v/>
      </c>
      <c r="U193" s="15" t="str">
        <f>IF(S193=1,IFERROR(INDEX(Settings!$B$12:$B$41,MATCH($B193,Settings!$A$12:$A$41,0)),"N"),"")</f>
        <v/>
      </c>
      <c r="V193" s="15" t="str">
        <f>IF(S193=1,IFERROR(INDEX(Settings!$C$12:$C$41,MATCH($B193,Settings!$A$12:$A$41,0)),""),"")</f>
        <v/>
      </c>
      <c r="W193" s="17">
        <f>IF(S193=1,IFERROR(INDEX(Settings!$D$12:$D$41,MATCH($B193,Settings!$A$12:$A$41,0)),0),0)</f>
        <v>0</v>
      </c>
      <c r="X193" s="18">
        <f t="shared" si="19"/>
        <v>0</v>
      </c>
      <c r="Y193" s="18" t="str">
        <f t="shared" si="20"/>
        <v/>
      </c>
      <c r="Z193" s="15" t="str">
        <f>IF(S193=1,IFERROR(INDEX(Settings!$E$12:$E$41,MATCH($B193,Settings!$A$12:$A$41,0)),"N"),"")</f>
        <v/>
      </c>
      <c r="AA193" s="17">
        <f>IF(S193=1,IFERROR(INDEX(Settings!$F$12:$F$41,MATCH($B193,Settings!$A$12:$A$41,0)),0),0)</f>
        <v>0</v>
      </c>
      <c r="AB193" s="15">
        <f>IF(S193=1,IFERROR(INDEX(Settings!$G$12:$G$41,MATCH($B193,Settings!$A$12:$A$41,0)),0),0)</f>
        <v>0</v>
      </c>
      <c r="AC193" s="18" t="str">
        <f t="shared" si="21"/>
        <v/>
      </c>
      <c r="AD193" s="15" t="str">
        <f t="shared" si="22"/>
        <v/>
      </c>
      <c r="AE193" s="15" t="str">
        <f t="shared" si="23"/>
        <v/>
      </c>
      <c r="AF193" s="15" t="str">
        <f t="shared" si="24"/>
        <v/>
      </c>
      <c r="AG193" s="18">
        <f>IF(AND(S193=1,Z193="Y"),IF(Settings!$B$6="Percentage",IF(AD193=0,0,AC193*AA193*(N193/AD193)),IF(Settings!$B$6="Points",IF(AF193=0,0,AC193*(N193*AB193)/AF193),IF(Settings!$B$6="Equally",IF(AE193=0,0,AC193*N193/AE193),0))),0)</f>
        <v>0</v>
      </c>
      <c r="AH193" s="18" t="str">
        <f t="shared" si="25"/>
        <v/>
      </c>
      <c r="AI193" s="15">
        <f>IF(S193=1,IF(COUNTIFS($R$2:R193,R193,$S$2:S193,1)=1,1,0),0)</f>
        <v>0</v>
      </c>
      <c r="AJ193" s="15">
        <f>SUM($AI$2:AI193)</f>
        <v>12</v>
      </c>
    </row>
    <row r="194" spans="18:36">
      <c r="R194" s="15" t="str">
        <f t="shared" si="26"/>
        <v/>
      </c>
      <c r="S194" s="15">
        <f t="shared" ref="S194:S257" si="27">IF(AND(D194&lt;&gt;"",A194&lt;&gt;"Total"),1,0)</f>
        <v>0</v>
      </c>
      <c r="T194" s="16" t="str">
        <f>IF(S194=1, DATE(YEAR(Settings!$B$3), MONTH(D194), DAY(D194)), "")</f>
        <v/>
      </c>
      <c r="U194" s="15" t="str">
        <f>IF(S194=1,IFERROR(INDEX(Settings!$B$12:$B$41,MATCH($B194,Settings!$A$12:$A$41,0)),"N"),"")</f>
        <v/>
      </c>
      <c r="V194" s="15" t="str">
        <f>IF(S194=1,IFERROR(INDEX(Settings!$C$12:$C$41,MATCH($B194,Settings!$A$12:$A$41,0)),""),"")</f>
        <v/>
      </c>
      <c r="W194" s="17">
        <f>IF(S194=1,IFERROR(INDEX(Settings!$D$12:$D$41,MATCH($B194,Settings!$A$12:$A$41,0)),0),0)</f>
        <v>0</v>
      </c>
      <c r="X194" s="18">
        <f t="shared" ref="X194:X257" si="28">IF(AND(S194=1,U194="Y"),IF(V194="% of Sales",O194*W194,IF(V194="% of Tips",P194*W194,0)),0)</f>
        <v>0</v>
      </c>
      <c r="Y194" s="18" t="str">
        <f t="shared" ref="Y194:Y257" si="29">IF(S194=1,P194-X194,"")</f>
        <v/>
      </c>
      <c r="Z194" s="15" t="str">
        <f>IF(S194=1,IFERROR(INDEX(Settings!$E$12:$E$41,MATCH($B194,Settings!$A$12:$A$41,0)),"N"),"")</f>
        <v/>
      </c>
      <c r="AA194" s="17">
        <f>IF(S194=1,IFERROR(INDEX(Settings!$F$12:$F$41,MATCH($B194,Settings!$A$12:$A$41,0)),0),0)</f>
        <v>0</v>
      </c>
      <c r="AB194" s="15">
        <f>IF(S194=1,IFERROR(INDEX(Settings!$G$12:$G$41,MATCH($B194,Settings!$A$12:$A$41,0)),0),0)</f>
        <v>0</v>
      </c>
      <c r="AC194" s="18" t="str">
        <f t="shared" ref="AC194:AC257" si="30">IF(S194=1,SUMIFS($X$2:$X$601,$S$2:$S$601,1,$T$2:$T$601,T194),"")</f>
        <v/>
      </c>
      <c r="AD194" s="15" t="str">
        <f t="shared" ref="AD194:AD257" si="31">IF(S194=1,SUMIFS($N$2:$N$601,$S$2:$S$601,1,$T$2:$T$601,T194,$B$2:$B$601,B194),"")</f>
        <v/>
      </c>
      <c r="AE194" s="15" t="str">
        <f t="shared" ref="AE194:AE257" si="32">IF(S194=1,SUMIFS($N$2:$N$601,$S$2:$S$601,1,$T$2:$T$601,T194,$Z$2:$Z$601,"Y"),"")</f>
        <v/>
      </c>
      <c r="AF194" s="15" t="str">
        <f t="shared" ref="AF194:AF257" si="33">IF(S194=1,SUMPRODUCT(($S$2:$S$601=1)*($T$2:$T$601=T194)*($Z$2:$Z$601="Y")*($N$2:$N$601)*($AB$2:$AB$601)),"")</f>
        <v/>
      </c>
      <c r="AG194" s="18">
        <f>IF(AND(S194=1,Z194="Y"),IF(Settings!$B$6="Percentage",IF(AD194=0,0,AC194*AA194*(N194/AD194)),IF(Settings!$B$6="Points",IF(AF194=0,0,AC194*(N194*AB194)/AF194),IF(Settings!$B$6="Equally",IF(AE194=0,0,AC194*N194/AE194),0))),0)</f>
        <v>0</v>
      </c>
      <c r="AH194" s="18" t="str">
        <f t="shared" ref="AH194:AH257" si="34">IF(S194=1,Y194+AG194,"")</f>
        <v/>
      </c>
      <c r="AI194" s="15">
        <f>IF(S194=1,IF(COUNTIFS($R$2:R194,R194,$S$2:S194,1)=1,1,0),0)</f>
        <v>0</v>
      </c>
      <c r="AJ194" s="15">
        <f>SUM($AI$2:AI194)</f>
        <v>12</v>
      </c>
    </row>
    <row r="195" spans="18:36">
      <c r="R195" s="15" t="str">
        <f t="shared" ref="R195:R258" si="35">IF(A195&lt;&gt;"",IF(A195="Total","",A195),IF(D195&lt;&gt;"",R194,""))</f>
        <v/>
      </c>
      <c r="S195" s="15">
        <f t="shared" si="27"/>
        <v>0</v>
      </c>
      <c r="T195" s="16" t="str">
        <f>IF(S195=1, DATE(YEAR(Settings!$B$3), MONTH(D195), DAY(D195)), "")</f>
        <v/>
      </c>
      <c r="U195" s="15" t="str">
        <f>IF(S195=1,IFERROR(INDEX(Settings!$B$12:$B$41,MATCH($B195,Settings!$A$12:$A$41,0)),"N"),"")</f>
        <v/>
      </c>
      <c r="V195" s="15" t="str">
        <f>IF(S195=1,IFERROR(INDEX(Settings!$C$12:$C$41,MATCH($B195,Settings!$A$12:$A$41,0)),""),"")</f>
        <v/>
      </c>
      <c r="W195" s="17">
        <f>IF(S195=1,IFERROR(INDEX(Settings!$D$12:$D$41,MATCH($B195,Settings!$A$12:$A$41,0)),0),0)</f>
        <v>0</v>
      </c>
      <c r="X195" s="18">
        <f t="shared" si="28"/>
        <v>0</v>
      </c>
      <c r="Y195" s="18" t="str">
        <f t="shared" si="29"/>
        <v/>
      </c>
      <c r="Z195" s="15" t="str">
        <f>IF(S195=1,IFERROR(INDEX(Settings!$E$12:$E$41,MATCH($B195,Settings!$A$12:$A$41,0)),"N"),"")</f>
        <v/>
      </c>
      <c r="AA195" s="17">
        <f>IF(S195=1,IFERROR(INDEX(Settings!$F$12:$F$41,MATCH($B195,Settings!$A$12:$A$41,0)),0),0)</f>
        <v>0</v>
      </c>
      <c r="AB195" s="15">
        <f>IF(S195=1,IFERROR(INDEX(Settings!$G$12:$G$41,MATCH($B195,Settings!$A$12:$A$41,0)),0),0)</f>
        <v>0</v>
      </c>
      <c r="AC195" s="18" t="str">
        <f t="shared" si="30"/>
        <v/>
      </c>
      <c r="AD195" s="15" t="str">
        <f t="shared" si="31"/>
        <v/>
      </c>
      <c r="AE195" s="15" t="str">
        <f t="shared" si="32"/>
        <v/>
      </c>
      <c r="AF195" s="15" t="str">
        <f t="shared" si="33"/>
        <v/>
      </c>
      <c r="AG195" s="18">
        <f>IF(AND(S195=1,Z195="Y"),IF(Settings!$B$6="Percentage",IF(AD195=0,0,AC195*AA195*(N195/AD195)),IF(Settings!$B$6="Points",IF(AF195=0,0,AC195*(N195*AB195)/AF195),IF(Settings!$B$6="Equally",IF(AE195=0,0,AC195*N195/AE195),0))),0)</f>
        <v>0</v>
      </c>
      <c r="AH195" s="18" t="str">
        <f t="shared" si="34"/>
        <v/>
      </c>
      <c r="AI195" s="15">
        <f>IF(S195=1,IF(COUNTIFS($R$2:R195,R195,$S$2:S195,1)=1,1,0),0)</f>
        <v>0</v>
      </c>
      <c r="AJ195" s="15">
        <f>SUM($AI$2:AI195)</f>
        <v>12</v>
      </c>
    </row>
    <row r="196" spans="18:36">
      <c r="R196" s="15" t="str">
        <f t="shared" si="35"/>
        <v/>
      </c>
      <c r="S196" s="15">
        <f t="shared" si="27"/>
        <v>0</v>
      </c>
      <c r="T196" s="16" t="str">
        <f>IF(S196=1, DATE(YEAR(Settings!$B$3), MONTH(D196), DAY(D196)), "")</f>
        <v/>
      </c>
      <c r="U196" s="15" t="str">
        <f>IF(S196=1,IFERROR(INDEX(Settings!$B$12:$B$41,MATCH($B196,Settings!$A$12:$A$41,0)),"N"),"")</f>
        <v/>
      </c>
      <c r="V196" s="15" t="str">
        <f>IF(S196=1,IFERROR(INDEX(Settings!$C$12:$C$41,MATCH($B196,Settings!$A$12:$A$41,0)),""),"")</f>
        <v/>
      </c>
      <c r="W196" s="17">
        <f>IF(S196=1,IFERROR(INDEX(Settings!$D$12:$D$41,MATCH($B196,Settings!$A$12:$A$41,0)),0),0)</f>
        <v>0</v>
      </c>
      <c r="X196" s="18">
        <f t="shared" si="28"/>
        <v>0</v>
      </c>
      <c r="Y196" s="18" t="str">
        <f t="shared" si="29"/>
        <v/>
      </c>
      <c r="Z196" s="15" t="str">
        <f>IF(S196=1,IFERROR(INDEX(Settings!$E$12:$E$41,MATCH($B196,Settings!$A$12:$A$41,0)),"N"),"")</f>
        <v/>
      </c>
      <c r="AA196" s="17">
        <f>IF(S196=1,IFERROR(INDEX(Settings!$F$12:$F$41,MATCH($B196,Settings!$A$12:$A$41,0)),0),0)</f>
        <v>0</v>
      </c>
      <c r="AB196" s="15">
        <f>IF(S196=1,IFERROR(INDEX(Settings!$G$12:$G$41,MATCH($B196,Settings!$A$12:$A$41,0)),0),0)</f>
        <v>0</v>
      </c>
      <c r="AC196" s="18" t="str">
        <f t="shared" si="30"/>
        <v/>
      </c>
      <c r="AD196" s="15" t="str">
        <f t="shared" si="31"/>
        <v/>
      </c>
      <c r="AE196" s="15" t="str">
        <f t="shared" si="32"/>
        <v/>
      </c>
      <c r="AF196" s="15" t="str">
        <f t="shared" si="33"/>
        <v/>
      </c>
      <c r="AG196" s="18">
        <f>IF(AND(S196=1,Z196="Y"),IF(Settings!$B$6="Percentage",IF(AD196=0,0,AC196*AA196*(N196/AD196)),IF(Settings!$B$6="Points",IF(AF196=0,0,AC196*(N196*AB196)/AF196),IF(Settings!$B$6="Equally",IF(AE196=0,0,AC196*N196/AE196),0))),0)</f>
        <v>0</v>
      </c>
      <c r="AH196" s="18" t="str">
        <f t="shared" si="34"/>
        <v/>
      </c>
      <c r="AI196" s="15">
        <f>IF(S196=1,IF(COUNTIFS($R$2:R196,R196,$S$2:S196,1)=1,1,0),0)</f>
        <v>0</v>
      </c>
      <c r="AJ196" s="15">
        <f>SUM($AI$2:AI196)</f>
        <v>12</v>
      </c>
    </row>
    <row r="197" spans="18:36">
      <c r="R197" s="15" t="str">
        <f t="shared" si="35"/>
        <v/>
      </c>
      <c r="S197" s="15">
        <f t="shared" si="27"/>
        <v>0</v>
      </c>
      <c r="T197" s="16" t="str">
        <f>IF(S197=1, DATE(YEAR(Settings!$B$3), MONTH(D197), DAY(D197)), "")</f>
        <v/>
      </c>
      <c r="U197" s="15" t="str">
        <f>IF(S197=1,IFERROR(INDEX(Settings!$B$12:$B$41,MATCH($B197,Settings!$A$12:$A$41,0)),"N"),"")</f>
        <v/>
      </c>
      <c r="V197" s="15" t="str">
        <f>IF(S197=1,IFERROR(INDEX(Settings!$C$12:$C$41,MATCH($B197,Settings!$A$12:$A$41,0)),""),"")</f>
        <v/>
      </c>
      <c r="W197" s="17">
        <f>IF(S197=1,IFERROR(INDEX(Settings!$D$12:$D$41,MATCH($B197,Settings!$A$12:$A$41,0)),0),0)</f>
        <v>0</v>
      </c>
      <c r="X197" s="18">
        <f t="shared" si="28"/>
        <v>0</v>
      </c>
      <c r="Y197" s="18" t="str">
        <f t="shared" si="29"/>
        <v/>
      </c>
      <c r="Z197" s="15" t="str">
        <f>IF(S197=1,IFERROR(INDEX(Settings!$E$12:$E$41,MATCH($B197,Settings!$A$12:$A$41,0)),"N"),"")</f>
        <v/>
      </c>
      <c r="AA197" s="17">
        <f>IF(S197=1,IFERROR(INDEX(Settings!$F$12:$F$41,MATCH($B197,Settings!$A$12:$A$41,0)),0),0)</f>
        <v>0</v>
      </c>
      <c r="AB197" s="15">
        <f>IF(S197=1,IFERROR(INDEX(Settings!$G$12:$G$41,MATCH($B197,Settings!$A$12:$A$41,0)),0),0)</f>
        <v>0</v>
      </c>
      <c r="AC197" s="18" t="str">
        <f t="shared" si="30"/>
        <v/>
      </c>
      <c r="AD197" s="15" t="str">
        <f t="shared" si="31"/>
        <v/>
      </c>
      <c r="AE197" s="15" t="str">
        <f t="shared" si="32"/>
        <v/>
      </c>
      <c r="AF197" s="15" t="str">
        <f t="shared" si="33"/>
        <v/>
      </c>
      <c r="AG197" s="18">
        <f>IF(AND(S197=1,Z197="Y"),IF(Settings!$B$6="Percentage",IF(AD197=0,0,AC197*AA197*(N197/AD197)),IF(Settings!$B$6="Points",IF(AF197=0,0,AC197*(N197*AB197)/AF197),IF(Settings!$B$6="Equally",IF(AE197=0,0,AC197*N197/AE197),0))),0)</f>
        <v>0</v>
      </c>
      <c r="AH197" s="18" t="str">
        <f t="shared" si="34"/>
        <v/>
      </c>
      <c r="AI197" s="15">
        <f>IF(S197=1,IF(COUNTIFS($R$2:R197,R197,$S$2:S197,1)=1,1,0),0)</f>
        <v>0</v>
      </c>
      <c r="AJ197" s="15">
        <f>SUM($AI$2:AI197)</f>
        <v>12</v>
      </c>
    </row>
    <row r="198" spans="18:36">
      <c r="R198" s="15" t="str">
        <f t="shared" si="35"/>
        <v/>
      </c>
      <c r="S198" s="15">
        <f t="shared" si="27"/>
        <v>0</v>
      </c>
      <c r="T198" s="16" t="str">
        <f>IF(S198=1, DATE(YEAR(Settings!$B$3), MONTH(D198), DAY(D198)), "")</f>
        <v/>
      </c>
      <c r="U198" s="15" t="str">
        <f>IF(S198=1,IFERROR(INDEX(Settings!$B$12:$B$41,MATCH($B198,Settings!$A$12:$A$41,0)),"N"),"")</f>
        <v/>
      </c>
      <c r="V198" s="15" t="str">
        <f>IF(S198=1,IFERROR(INDEX(Settings!$C$12:$C$41,MATCH($B198,Settings!$A$12:$A$41,0)),""),"")</f>
        <v/>
      </c>
      <c r="W198" s="17">
        <f>IF(S198=1,IFERROR(INDEX(Settings!$D$12:$D$41,MATCH($B198,Settings!$A$12:$A$41,0)),0),0)</f>
        <v>0</v>
      </c>
      <c r="X198" s="18">
        <f t="shared" si="28"/>
        <v>0</v>
      </c>
      <c r="Y198" s="18" t="str">
        <f t="shared" si="29"/>
        <v/>
      </c>
      <c r="Z198" s="15" t="str">
        <f>IF(S198=1,IFERROR(INDEX(Settings!$E$12:$E$41,MATCH($B198,Settings!$A$12:$A$41,0)),"N"),"")</f>
        <v/>
      </c>
      <c r="AA198" s="17">
        <f>IF(S198=1,IFERROR(INDEX(Settings!$F$12:$F$41,MATCH($B198,Settings!$A$12:$A$41,0)),0),0)</f>
        <v>0</v>
      </c>
      <c r="AB198" s="15">
        <f>IF(S198=1,IFERROR(INDEX(Settings!$G$12:$G$41,MATCH($B198,Settings!$A$12:$A$41,0)),0),0)</f>
        <v>0</v>
      </c>
      <c r="AC198" s="18" t="str">
        <f t="shared" si="30"/>
        <v/>
      </c>
      <c r="AD198" s="15" t="str">
        <f t="shared" si="31"/>
        <v/>
      </c>
      <c r="AE198" s="15" t="str">
        <f t="shared" si="32"/>
        <v/>
      </c>
      <c r="AF198" s="15" t="str">
        <f t="shared" si="33"/>
        <v/>
      </c>
      <c r="AG198" s="18">
        <f>IF(AND(S198=1,Z198="Y"),IF(Settings!$B$6="Percentage",IF(AD198=0,0,AC198*AA198*(N198/AD198)),IF(Settings!$B$6="Points",IF(AF198=0,0,AC198*(N198*AB198)/AF198),IF(Settings!$B$6="Equally",IF(AE198=0,0,AC198*N198/AE198),0))),0)</f>
        <v>0</v>
      </c>
      <c r="AH198" s="18" t="str">
        <f t="shared" si="34"/>
        <v/>
      </c>
      <c r="AI198" s="15">
        <f>IF(S198=1,IF(COUNTIFS($R$2:R198,R198,$S$2:S198,1)=1,1,0),0)</f>
        <v>0</v>
      </c>
      <c r="AJ198" s="15">
        <f>SUM($AI$2:AI198)</f>
        <v>12</v>
      </c>
    </row>
    <row r="199" spans="18:36">
      <c r="R199" s="15" t="str">
        <f t="shared" si="35"/>
        <v/>
      </c>
      <c r="S199" s="15">
        <f t="shared" si="27"/>
        <v>0</v>
      </c>
      <c r="T199" s="16" t="str">
        <f>IF(S199=1, DATE(YEAR(Settings!$B$3), MONTH(D199), DAY(D199)), "")</f>
        <v/>
      </c>
      <c r="U199" s="15" t="str">
        <f>IF(S199=1,IFERROR(INDEX(Settings!$B$12:$B$41,MATCH($B199,Settings!$A$12:$A$41,0)),"N"),"")</f>
        <v/>
      </c>
      <c r="V199" s="15" t="str">
        <f>IF(S199=1,IFERROR(INDEX(Settings!$C$12:$C$41,MATCH($B199,Settings!$A$12:$A$41,0)),""),"")</f>
        <v/>
      </c>
      <c r="W199" s="17">
        <f>IF(S199=1,IFERROR(INDEX(Settings!$D$12:$D$41,MATCH($B199,Settings!$A$12:$A$41,0)),0),0)</f>
        <v>0</v>
      </c>
      <c r="X199" s="18">
        <f t="shared" si="28"/>
        <v>0</v>
      </c>
      <c r="Y199" s="18" t="str">
        <f t="shared" si="29"/>
        <v/>
      </c>
      <c r="Z199" s="15" t="str">
        <f>IF(S199=1,IFERROR(INDEX(Settings!$E$12:$E$41,MATCH($B199,Settings!$A$12:$A$41,0)),"N"),"")</f>
        <v/>
      </c>
      <c r="AA199" s="17">
        <f>IF(S199=1,IFERROR(INDEX(Settings!$F$12:$F$41,MATCH($B199,Settings!$A$12:$A$41,0)),0),0)</f>
        <v>0</v>
      </c>
      <c r="AB199" s="15">
        <f>IF(S199=1,IFERROR(INDEX(Settings!$G$12:$G$41,MATCH($B199,Settings!$A$12:$A$41,0)),0),0)</f>
        <v>0</v>
      </c>
      <c r="AC199" s="18" t="str">
        <f t="shared" si="30"/>
        <v/>
      </c>
      <c r="AD199" s="15" t="str">
        <f t="shared" si="31"/>
        <v/>
      </c>
      <c r="AE199" s="15" t="str">
        <f t="shared" si="32"/>
        <v/>
      </c>
      <c r="AF199" s="15" t="str">
        <f t="shared" si="33"/>
        <v/>
      </c>
      <c r="AG199" s="18">
        <f>IF(AND(S199=1,Z199="Y"),IF(Settings!$B$6="Percentage",IF(AD199=0,0,AC199*AA199*(N199/AD199)),IF(Settings!$B$6="Points",IF(AF199=0,0,AC199*(N199*AB199)/AF199),IF(Settings!$B$6="Equally",IF(AE199=0,0,AC199*N199/AE199),0))),0)</f>
        <v>0</v>
      </c>
      <c r="AH199" s="18" t="str">
        <f t="shared" si="34"/>
        <v/>
      </c>
      <c r="AI199" s="15">
        <f>IF(S199=1,IF(COUNTIFS($R$2:R199,R199,$S$2:S199,1)=1,1,0),0)</f>
        <v>0</v>
      </c>
      <c r="AJ199" s="15">
        <f>SUM($AI$2:AI199)</f>
        <v>12</v>
      </c>
    </row>
    <row r="200" spans="18:36">
      <c r="R200" s="15" t="str">
        <f t="shared" si="35"/>
        <v/>
      </c>
      <c r="S200" s="15">
        <f t="shared" si="27"/>
        <v>0</v>
      </c>
      <c r="T200" s="16" t="str">
        <f>IF(S200=1, DATE(YEAR(Settings!$B$3), MONTH(D200), DAY(D200)), "")</f>
        <v/>
      </c>
      <c r="U200" s="15" t="str">
        <f>IF(S200=1,IFERROR(INDEX(Settings!$B$12:$B$41,MATCH($B200,Settings!$A$12:$A$41,0)),"N"),"")</f>
        <v/>
      </c>
      <c r="V200" s="15" t="str">
        <f>IF(S200=1,IFERROR(INDEX(Settings!$C$12:$C$41,MATCH($B200,Settings!$A$12:$A$41,0)),""),"")</f>
        <v/>
      </c>
      <c r="W200" s="17">
        <f>IF(S200=1,IFERROR(INDEX(Settings!$D$12:$D$41,MATCH($B200,Settings!$A$12:$A$41,0)),0),0)</f>
        <v>0</v>
      </c>
      <c r="X200" s="18">
        <f t="shared" si="28"/>
        <v>0</v>
      </c>
      <c r="Y200" s="18" t="str">
        <f t="shared" si="29"/>
        <v/>
      </c>
      <c r="Z200" s="15" t="str">
        <f>IF(S200=1,IFERROR(INDEX(Settings!$E$12:$E$41,MATCH($B200,Settings!$A$12:$A$41,0)),"N"),"")</f>
        <v/>
      </c>
      <c r="AA200" s="17">
        <f>IF(S200=1,IFERROR(INDEX(Settings!$F$12:$F$41,MATCH($B200,Settings!$A$12:$A$41,0)),0),0)</f>
        <v>0</v>
      </c>
      <c r="AB200" s="15">
        <f>IF(S200=1,IFERROR(INDEX(Settings!$G$12:$G$41,MATCH($B200,Settings!$A$12:$A$41,0)),0),0)</f>
        <v>0</v>
      </c>
      <c r="AC200" s="18" t="str">
        <f t="shared" si="30"/>
        <v/>
      </c>
      <c r="AD200" s="15" t="str">
        <f t="shared" si="31"/>
        <v/>
      </c>
      <c r="AE200" s="15" t="str">
        <f t="shared" si="32"/>
        <v/>
      </c>
      <c r="AF200" s="15" t="str">
        <f t="shared" si="33"/>
        <v/>
      </c>
      <c r="AG200" s="18">
        <f>IF(AND(S200=1,Z200="Y"),IF(Settings!$B$6="Percentage",IF(AD200=0,0,AC200*AA200*(N200/AD200)),IF(Settings!$B$6="Points",IF(AF200=0,0,AC200*(N200*AB200)/AF200),IF(Settings!$B$6="Equally",IF(AE200=0,0,AC200*N200/AE200),0))),0)</f>
        <v>0</v>
      </c>
      <c r="AH200" s="18" t="str">
        <f t="shared" si="34"/>
        <v/>
      </c>
      <c r="AI200" s="15">
        <f>IF(S200=1,IF(COUNTIFS($R$2:R200,R200,$S$2:S200,1)=1,1,0),0)</f>
        <v>0</v>
      </c>
      <c r="AJ200" s="15">
        <f>SUM($AI$2:AI200)</f>
        <v>12</v>
      </c>
    </row>
    <row r="201" spans="18:36">
      <c r="R201" s="15" t="str">
        <f t="shared" si="35"/>
        <v/>
      </c>
      <c r="S201" s="15">
        <f t="shared" si="27"/>
        <v>0</v>
      </c>
      <c r="T201" s="16" t="str">
        <f>IF(S201=1, DATE(YEAR(Settings!$B$3), MONTH(D201), DAY(D201)), "")</f>
        <v/>
      </c>
      <c r="U201" s="15" t="str">
        <f>IF(S201=1,IFERROR(INDEX(Settings!$B$12:$B$41,MATCH($B201,Settings!$A$12:$A$41,0)),"N"),"")</f>
        <v/>
      </c>
      <c r="V201" s="15" t="str">
        <f>IF(S201=1,IFERROR(INDEX(Settings!$C$12:$C$41,MATCH($B201,Settings!$A$12:$A$41,0)),""),"")</f>
        <v/>
      </c>
      <c r="W201" s="17">
        <f>IF(S201=1,IFERROR(INDEX(Settings!$D$12:$D$41,MATCH($B201,Settings!$A$12:$A$41,0)),0),0)</f>
        <v>0</v>
      </c>
      <c r="X201" s="18">
        <f t="shared" si="28"/>
        <v>0</v>
      </c>
      <c r="Y201" s="18" t="str">
        <f t="shared" si="29"/>
        <v/>
      </c>
      <c r="Z201" s="15" t="str">
        <f>IF(S201=1,IFERROR(INDEX(Settings!$E$12:$E$41,MATCH($B201,Settings!$A$12:$A$41,0)),"N"),"")</f>
        <v/>
      </c>
      <c r="AA201" s="17">
        <f>IF(S201=1,IFERROR(INDEX(Settings!$F$12:$F$41,MATCH($B201,Settings!$A$12:$A$41,0)),0),0)</f>
        <v>0</v>
      </c>
      <c r="AB201" s="15">
        <f>IF(S201=1,IFERROR(INDEX(Settings!$G$12:$G$41,MATCH($B201,Settings!$A$12:$A$41,0)),0),0)</f>
        <v>0</v>
      </c>
      <c r="AC201" s="18" t="str">
        <f t="shared" si="30"/>
        <v/>
      </c>
      <c r="AD201" s="15" t="str">
        <f t="shared" si="31"/>
        <v/>
      </c>
      <c r="AE201" s="15" t="str">
        <f t="shared" si="32"/>
        <v/>
      </c>
      <c r="AF201" s="15" t="str">
        <f t="shared" si="33"/>
        <v/>
      </c>
      <c r="AG201" s="18">
        <f>IF(AND(S201=1,Z201="Y"),IF(Settings!$B$6="Percentage",IF(AD201=0,0,AC201*AA201*(N201/AD201)),IF(Settings!$B$6="Points",IF(AF201=0,0,AC201*(N201*AB201)/AF201),IF(Settings!$B$6="Equally",IF(AE201=0,0,AC201*N201/AE201),0))),0)</f>
        <v>0</v>
      </c>
      <c r="AH201" s="18" t="str">
        <f t="shared" si="34"/>
        <v/>
      </c>
      <c r="AI201" s="15">
        <f>IF(S201=1,IF(COUNTIFS($R$2:R201,R201,$S$2:S201,1)=1,1,0),0)</f>
        <v>0</v>
      </c>
      <c r="AJ201" s="15">
        <f>SUM($AI$2:AI201)</f>
        <v>12</v>
      </c>
    </row>
    <row r="202" spans="18:36">
      <c r="R202" s="15" t="str">
        <f t="shared" si="35"/>
        <v/>
      </c>
      <c r="S202" s="15">
        <f t="shared" si="27"/>
        <v>0</v>
      </c>
      <c r="T202" s="16" t="str">
        <f>IF(S202=1, DATE(YEAR(Settings!$B$3), MONTH(D202), DAY(D202)), "")</f>
        <v/>
      </c>
      <c r="U202" s="15" t="str">
        <f>IF(S202=1,IFERROR(INDEX(Settings!$B$12:$B$41,MATCH($B202,Settings!$A$12:$A$41,0)),"N"),"")</f>
        <v/>
      </c>
      <c r="V202" s="15" t="str">
        <f>IF(S202=1,IFERROR(INDEX(Settings!$C$12:$C$41,MATCH($B202,Settings!$A$12:$A$41,0)),""),"")</f>
        <v/>
      </c>
      <c r="W202" s="17">
        <f>IF(S202=1,IFERROR(INDEX(Settings!$D$12:$D$41,MATCH($B202,Settings!$A$12:$A$41,0)),0),0)</f>
        <v>0</v>
      </c>
      <c r="X202" s="18">
        <f t="shared" si="28"/>
        <v>0</v>
      </c>
      <c r="Y202" s="18" t="str">
        <f t="shared" si="29"/>
        <v/>
      </c>
      <c r="Z202" s="15" t="str">
        <f>IF(S202=1,IFERROR(INDEX(Settings!$E$12:$E$41,MATCH($B202,Settings!$A$12:$A$41,0)),"N"),"")</f>
        <v/>
      </c>
      <c r="AA202" s="17">
        <f>IF(S202=1,IFERROR(INDEX(Settings!$F$12:$F$41,MATCH($B202,Settings!$A$12:$A$41,0)),0),0)</f>
        <v>0</v>
      </c>
      <c r="AB202" s="15">
        <f>IF(S202=1,IFERROR(INDEX(Settings!$G$12:$G$41,MATCH($B202,Settings!$A$12:$A$41,0)),0),0)</f>
        <v>0</v>
      </c>
      <c r="AC202" s="18" t="str">
        <f t="shared" si="30"/>
        <v/>
      </c>
      <c r="AD202" s="15" t="str">
        <f t="shared" si="31"/>
        <v/>
      </c>
      <c r="AE202" s="15" t="str">
        <f t="shared" si="32"/>
        <v/>
      </c>
      <c r="AF202" s="15" t="str">
        <f t="shared" si="33"/>
        <v/>
      </c>
      <c r="AG202" s="18">
        <f>IF(AND(S202=1,Z202="Y"),IF(Settings!$B$6="Percentage",IF(AD202=0,0,AC202*AA202*(N202/AD202)),IF(Settings!$B$6="Points",IF(AF202=0,0,AC202*(N202*AB202)/AF202),IF(Settings!$B$6="Equally",IF(AE202=0,0,AC202*N202/AE202),0))),0)</f>
        <v>0</v>
      </c>
      <c r="AH202" s="18" t="str">
        <f t="shared" si="34"/>
        <v/>
      </c>
      <c r="AI202" s="15">
        <f>IF(S202=1,IF(COUNTIFS($R$2:R202,R202,$S$2:S202,1)=1,1,0),0)</f>
        <v>0</v>
      </c>
      <c r="AJ202" s="15">
        <f>SUM($AI$2:AI202)</f>
        <v>12</v>
      </c>
    </row>
    <row r="203" spans="18:36">
      <c r="R203" s="15" t="str">
        <f t="shared" si="35"/>
        <v/>
      </c>
      <c r="S203" s="15">
        <f t="shared" si="27"/>
        <v>0</v>
      </c>
      <c r="T203" s="16" t="str">
        <f>IF(S203=1, DATE(YEAR(Settings!$B$3), MONTH(D203), DAY(D203)), "")</f>
        <v/>
      </c>
      <c r="U203" s="15" t="str">
        <f>IF(S203=1,IFERROR(INDEX(Settings!$B$12:$B$41,MATCH($B203,Settings!$A$12:$A$41,0)),"N"),"")</f>
        <v/>
      </c>
      <c r="V203" s="15" t="str">
        <f>IF(S203=1,IFERROR(INDEX(Settings!$C$12:$C$41,MATCH($B203,Settings!$A$12:$A$41,0)),""),"")</f>
        <v/>
      </c>
      <c r="W203" s="17">
        <f>IF(S203=1,IFERROR(INDEX(Settings!$D$12:$D$41,MATCH($B203,Settings!$A$12:$A$41,0)),0),0)</f>
        <v>0</v>
      </c>
      <c r="X203" s="18">
        <f t="shared" si="28"/>
        <v>0</v>
      </c>
      <c r="Y203" s="18" t="str">
        <f t="shared" si="29"/>
        <v/>
      </c>
      <c r="Z203" s="15" t="str">
        <f>IF(S203=1,IFERROR(INDEX(Settings!$E$12:$E$41,MATCH($B203,Settings!$A$12:$A$41,0)),"N"),"")</f>
        <v/>
      </c>
      <c r="AA203" s="17">
        <f>IF(S203=1,IFERROR(INDEX(Settings!$F$12:$F$41,MATCH($B203,Settings!$A$12:$A$41,0)),0),0)</f>
        <v>0</v>
      </c>
      <c r="AB203" s="15">
        <f>IF(S203=1,IFERROR(INDEX(Settings!$G$12:$G$41,MATCH($B203,Settings!$A$12:$A$41,0)),0),0)</f>
        <v>0</v>
      </c>
      <c r="AC203" s="18" t="str">
        <f t="shared" si="30"/>
        <v/>
      </c>
      <c r="AD203" s="15" t="str">
        <f t="shared" si="31"/>
        <v/>
      </c>
      <c r="AE203" s="15" t="str">
        <f t="shared" si="32"/>
        <v/>
      </c>
      <c r="AF203" s="15" t="str">
        <f t="shared" si="33"/>
        <v/>
      </c>
      <c r="AG203" s="18">
        <f>IF(AND(S203=1,Z203="Y"),IF(Settings!$B$6="Percentage",IF(AD203=0,0,AC203*AA203*(N203/AD203)),IF(Settings!$B$6="Points",IF(AF203=0,0,AC203*(N203*AB203)/AF203),IF(Settings!$B$6="Equally",IF(AE203=0,0,AC203*N203/AE203),0))),0)</f>
        <v>0</v>
      </c>
      <c r="AH203" s="18" t="str">
        <f t="shared" si="34"/>
        <v/>
      </c>
      <c r="AI203" s="15">
        <f>IF(S203=1,IF(COUNTIFS($R$2:R203,R203,$S$2:S203,1)=1,1,0),0)</f>
        <v>0</v>
      </c>
      <c r="AJ203" s="15">
        <f>SUM($AI$2:AI203)</f>
        <v>12</v>
      </c>
    </row>
    <row r="204" spans="18:36">
      <c r="R204" s="15" t="str">
        <f t="shared" si="35"/>
        <v/>
      </c>
      <c r="S204" s="15">
        <f t="shared" si="27"/>
        <v>0</v>
      </c>
      <c r="T204" s="16" t="str">
        <f>IF(S204=1, DATE(YEAR(Settings!$B$3), MONTH(D204), DAY(D204)), "")</f>
        <v/>
      </c>
      <c r="U204" s="15" t="str">
        <f>IF(S204=1,IFERROR(INDEX(Settings!$B$12:$B$41,MATCH($B204,Settings!$A$12:$A$41,0)),"N"),"")</f>
        <v/>
      </c>
      <c r="V204" s="15" t="str">
        <f>IF(S204=1,IFERROR(INDEX(Settings!$C$12:$C$41,MATCH($B204,Settings!$A$12:$A$41,0)),""),"")</f>
        <v/>
      </c>
      <c r="W204" s="17">
        <f>IF(S204=1,IFERROR(INDEX(Settings!$D$12:$D$41,MATCH($B204,Settings!$A$12:$A$41,0)),0),0)</f>
        <v>0</v>
      </c>
      <c r="X204" s="18">
        <f t="shared" si="28"/>
        <v>0</v>
      </c>
      <c r="Y204" s="18" t="str">
        <f t="shared" si="29"/>
        <v/>
      </c>
      <c r="Z204" s="15" t="str">
        <f>IF(S204=1,IFERROR(INDEX(Settings!$E$12:$E$41,MATCH($B204,Settings!$A$12:$A$41,0)),"N"),"")</f>
        <v/>
      </c>
      <c r="AA204" s="17">
        <f>IF(S204=1,IFERROR(INDEX(Settings!$F$12:$F$41,MATCH($B204,Settings!$A$12:$A$41,0)),0),0)</f>
        <v>0</v>
      </c>
      <c r="AB204" s="15">
        <f>IF(S204=1,IFERROR(INDEX(Settings!$G$12:$G$41,MATCH($B204,Settings!$A$12:$A$41,0)),0),0)</f>
        <v>0</v>
      </c>
      <c r="AC204" s="18" t="str">
        <f t="shared" si="30"/>
        <v/>
      </c>
      <c r="AD204" s="15" t="str">
        <f t="shared" si="31"/>
        <v/>
      </c>
      <c r="AE204" s="15" t="str">
        <f t="shared" si="32"/>
        <v/>
      </c>
      <c r="AF204" s="15" t="str">
        <f t="shared" si="33"/>
        <v/>
      </c>
      <c r="AG204" s="18">
        <f>IF(AND(S204=1,Z204="Y"),IF(Settings!$B$6="Percentage",IF(AD204=0,0,AC204*AA204*(N204/AD204)),IF(Settings!$B$6="Points",IF(AF204=0,0,AC204*(N204*AB204)/AF204),IF(Settings!$B$6="Equally",IF(AE204=0,0,AC204*N204/AE204),0))),0)</f>
        <v>0</v>
      </c>
      <c r="AH204" s="18" t="str">
        <f t="shared" si="34"/>
        <v/>
      </c>
      <c r="AI204" s="15">
        <f>IF(S204=1,IF(COUNTIFS($R$2:R204,R204,$S$2:S204,1)=1,1,0),0)</f>
        <v>0</v>
      </c>
      <c r="AJ204" s="15">
        <f>SUM($AI$2:AI204)</f>
        <v>12</v>
      </c>
    </row>
    <row r="205" spans="18:36">
      <c r="R205" s="15" t="str">
        <f t="shared" si="35"/>
        <v/>
      </c>
      <c r="S205" s="15">
        <f t="shared" si="27"/>
        <v>0</v>
      </c>
      <c r="T205" s="16" t="str">
        <f>IF(S205=1, DATE(YEAR(Settings!$B$3), MONTH(D205), DAY(D205)), "")</f>
        <v/>
      </c>
      <c r="U205" s="15" t="str">
        <f>IF(S205=1,IFERROR(INDEX(Settings!$B$12:$B$41,MATCH($B205,Settings!$A$12:$A$41,0)),"N"),"")</f>
        <v/>
      </c>
      <c r="V205" s="15" t="str">
        <f>IF(S205=1,IFERROR(INDEX(Settings!$C$12:$C$41,MATCH($B205,Settings!$A$12:$A$41,0)),""),"")</f>
        <v/>
      </c>
      <c r="W205" s="17">
        <f>IF(S205=1,IFERROR(INDEX(Settings!$D$12:$D$41,MATCH($B205,Settings!$A$12:$A$41,0)),0),0)</f>
        <v>0</v>
      </c>
      <c r="X205" s="18">
        <f t="shared" si="28"/>
        <v>0</v>
      </c>
      <c r="Y205" s="18" t="str">
        <f t="shared" si="29"/>
        <v/>
      </c>
      <c r="Z205" s="15" t="str">
        <f>IF(S205=1,IFERROR(INDEX(Settings!$E$12:$E$41,MATCH($B205,Settings!$A$12:$A$41,0)),"N"),"")</f>
        <v/>
      </c>
      <c r="AA205" s="17">
        <f>IF(S205=1,IFERROR(INDEX(Settings!$F$12:$F$41,MATCH($B205,Settings!$A$12:$A$41,0)),0),0)</f>
        <v>0</v>
      </c>
      <c r="AB205" s="15">
        <f>IF(S205=1,IFERROR(INDEX(Settings!$G$12:$G$41,MATCH($B205,Settings!$A$12:$A$41,0)),0),0)</f>
        <v>0</v>
      </c>
      <c r="AC205" s="18" t="str">
        <f t="shared" si="30"/>
        <v/>
      </c>
      <c r="AD205" s="15" t="str">
        <f t="shared" si="31"/>
        <v/>
      </c>
      <c r="AE205" s="15" t="str">
        <f t="shared" si="32"/>
        <v/>
      </c>
      <c r="AF205" s="15" t="str">
        <f t="shared" si="33"/>
        <v/>
      </c>
      <c r="AG205" s="18">
        <f>IF(AND(S205=1,Z205="Y"),IF(Settings!$B$6="Percentage",IF(AD205=0,0,AC205*AA205*(N205/AD205)),IF(Settings!$B$6="Points",IF(AF205=0,0,AC205*(N205*AB205)/AF205),IF(Settings!$B$6="Equally",IF(AE205=0,0,AC205*N205/AE205),0))),0)</f>
        <v>0</v>
      </c>
      <c r="AH205" s="18" t="str">
        <f t="shared" si="34"/>
        <v/>
      </c>
      <c r="AI205" s="15">
        <f>IF(S205=1,IF(COUNTIFS($R$2:R205,R205,$S$2:S205,1)=1,1,0),0)</f>
        <v>0</v>
      </c>
      <c r="AJ205" s="15">
        <f>SUM($AI$2:AI205)</f>
        <v>12</v>
      </c>
    </row>
    <row r="206" spans="18:36">
      <c r="R206" s="15" t="str">
        <f t="shared" si="35"/>
        <v/>
      </c>
      <c r="S206" s="15">
        <f t="shared" si="27"/>
        <v>0</v>
      </c>
      <c r="T206" s="16" t="str">
        <f>IF(S206=1, DATE(YEAR(Settings!$B$3), MONTH(D206), DAY(D206)), "")</f>
        <v/>
      </c>
      <c r="U206" s="15" t="str">
        <f>IF(S206=1,IFERROR(INDEX(Settings!$B$12:$B$41,MATCH($B206,Settings!$A$12:$A$41,0)),"N"),"")</f>
        <v/>
      </c>
      <c r="V206" s="15" t="str">
        <f>IF(S206=1,IFERROR(INDEX(Settings!$C$12:$C$41,MATCH($B206,Settings!$A$12:$A$41,0)),""),"")</f>
        <v/>
      </c>
      <c r="W206" s="17">
        <f>IF(S206=1,IFERROR(INDEX(Settings!$D$12:$D$41,MATCH($B206,Settings!$A$12:$A$41,0)),0),0)</f>
        <v>0</v>
      </c>
      <c r="X206" s="18">
        <f t="shared" si="28"/>
        <v>0</v>
      </c>
      <c r="Y206" s="18" t="str">
        <f t="shared" si="29"/>
        <v/>
      </c>
      <c r="Z206" s="15" t="str">
        <f>IF(S206=1,IFERROR(INDEX(Settings!$E$12:$E$41,MATCH($B206,Settings!$A$12:$A$41,0)),"N"),"")</f>
        <v/>
      </c>
      <c r="AA206" s="17">
        <f>IF(S206=1,IFERROR(INDEX(Settings!$F$12:$F$41,MATCH($B206,Settings!$A$12:$A$41,0)),0),0)</f>
        <v>0</v>
      </c>
      <c r="AB206" s="15">
        <f>IF(S206=1,IFERROR(INDEX(Settings!$G$12:$G$41,MATCH($B206,Settings!$A$12:$A$41,0)),0),0)</f>
        <v>0</v>
      </c>
      <c r="AC206" s="18" t="str">
        <f t="shared" si="30"/>
        <v/>
      </c>
      <c r="AD206" s="15" t="str">
        <f t="shared" si="31"/>
        <v/>
      </c>
      <c r="AE206" s="15" t="str">
        <f t="shared" si="32"/>
        <v/>
      </c>
      <c r="AF206" s="15" t="str">
        <f t="shared" si="33"/>
        <v/>
      </c>
      <c r="AG206" s="18">
        <f>IF(AND(S206=1,Z206="Y"),IF(Settings!$B$6="Percentage",IF(AD206=0,0,AC206*AA206*(N206/AD206)),IF(Settings!$B$6="Points",IF(AF206=0,0,AC206*(N206*AB206)/AF206),IF(Settings!$B$6="Equally",IF(AE206=0,0,AC206*N206/AE206),0))),0)</f>
        <v>0</v>
      </c>
      <c r="AH206" s="18" t="str">
        <f t="shared" si="34"/>
        <v/>
      </c>
      <c r="AI206" s="15">
        <f>IF(S206=1,IF(COUNTIFS($R$2:R206,R206,$S$2:S206,1)=1,1,0),0)</f>
        <v>0</v>
      </c>
      <c r="AJ206" s="15">
        <f>SUM($AI$2:AI206)</f>
        <v>12</v>
      </c>
    </row>
    <row r="207" spans="18:36">
      <c r="R207" s="15" t="str">
        <f t="shared" si="35"/>
        <v/>
      </c>
      <c r="S207" s="15">
        <f t="shared" si="27"/>
        <v>0</v>
      </c>
      <c r="T207" s="16" t="str">
        <f>IF(S207=1, DATE(YEAR(Settings!$B$3), MONTH(D207), DAY(D207)), "")</f>
        <v/>
      </c>
      <c r="U207" s="15" t="str">
        <f>IF(S207=1,IFERROR(INDEX(Settings!$B$12:$B$41,MATCH($B207,Settings!$A$12:$A$41,0)),"N"),"")</f>
        <v/>
      </c>
      <c r="V207" s="15" t="str">
        <f>IF(S207=1,IFERROR(INDEX(Settings!$C$12:$C$41,MATCH($B207,Settings!$A$12:$A$41,0)),""),"")</f>
        <v/>
      </c>
      <c r="W207" s="17">
        <f>IF(S207=1,IFERROR(INDEX(Settings!$D$12:$D$41,MATCH($B207,Settings!$A$12:$A$41,0)),0),0)</f>
        <v>0</v>
      </c>
      <c r="X207" s="18">
        <f t="shared" si="28"/>
        <v>0</v>
      </c>
      <c r="Y207" s="18" t="str">
        <f t="shared" si="29"/>
        <v/>
      </c>
      <c r="Z207" s="15" t="str">
        <f>IF(S207=1,IFERROR(INDEX(Settings!$E$12:$E$41,MATCH($B207,Settings!$A$12:$A$41,0)),"N"),"")</f>
        <v/>
      </c>
      <c r="AA207" s="17">
        <f>IF(S207=1,IFERROR(INDEX(Settings!$F$12:$F$41,MATCH($B207,Settings!$A$12:$A$41,0)),0),0)</f>
        <v>0</v>
      </c>
      <c r="AB207" s="15">
        <f>IF(S207=1,IFERROR(INDEX(Settings!$G$12:$G$41,MATCH($B207,Settings!$A$12:$A$41,0)),0),0)</f>
        <v>0</v>
      </c>
      <c r="AC207" s="18" t="str">
        <f t="shared" si="30"/>
        <v/>
      </c>
      <c r="AD207" s="15" t="str">
        <f t="shared" si="31"/>
        <v/>
      </c>
      <c r="AE207" s="15" t="str">
        <f t="shared" si="32"/>
        <v/>
      </c>
      <c r="AF207" s="15" t="str">
        <f t="shared" si="33"/>
        <v/>
      </c>
      <c r="AG207" s="18">
        <f>IF(AND(S207=1,Z207="Y"),IF(Settings!$B$6="Percentage",IF(AD207=0,0,AC207*AA207*(N207/AD207)),IF(Settings!$B$6="Points",IF(AF207=0,0,AC207*(N207*AB207)/AF207),IF(Settings!$B$6="Equally",IF(AE207=0,0,AC207*N207/AE207),0))),0)</f>
        <v>0</v>
      </c>
      <c r="AH207" s="18" t="str">
        <f t="shared" si="34"/>
        <v/>
      </c>
      <c r="AI207" s="15">
        <f>IF(S207=1,IF(COUNTIFS($R$2:R207,R207,$S$2:S207,1)=1,1,0),0)</f>
        <v>0</v>
      </c>
      <c r="AJ207" s="15">
        <f>SUM($AI$2:AI207)</f>
        <v>12</v>
      </c>
    </row>
    <row r="208" spans="18:36">
      <c r="R208" s="15" t="str">
        <f t="shared" si="35"/>
        <v/>
      </c>
      <c r="S208" s="15">
        <f t="shared" si="27"/>
        <v>0</v>
      </c>
      <c r="T208" s="16" t="str">
        <f>IF(S208=1, DATE(YEAR(Settings!$B$3), MONTH(D208), DAY(D208)), "")</f>
        <v/>
      </c>
      <c r="U208" s="15" t="str">
        <f>IF(S208=1,IFERROR(INDEX(Settings!$B$12:$B$41,MATCH($B208,Settings!$A$12:$A$41,0)),"N"),"")</f>
        <v/>
      </c>
      <c r="V208" s="15" t="str">
        <f>IF(S208=1,IFERROR(INDEX(Settings!$C$12:$C$41,MATCH($B208,Settings!$A$12:$A$41,0)),""),"")</f>
        <v/>
      </c>
      <c r="W208" s="17">
        <f>IF(S208=1,IFERROR(INDEX(Settings!$D$12:$D$41,MATCH($B208,Settings!$A$12:$A$41,0)),0),0)</f>
        <v>0</v>
      </c>
      <c r="X208" s="18">
        <f t="shared" si="28"/>
        <v>0</v>
      </c>
      <c r="Y208" s="18" t="str">
        <f t="shared" si="29"/>
        <v/>
      </c>
      <c r="Z208" s="15" t="str">
        <f>IF(S208=1,IFERROR(INDEX(Settings!$E$12:$E$41,MATCH($B208,Settings!$A$12:$A$41,0)),"N"),"")</f>
        <v/>
      </c>
      <c r="AA208" s="17">
        <f>IF(S208=1,IFERROR(INDEX(Settings!$F$12:$F$41,MATCH($B208,Settings!$A$12:$A$41,0)),0),0)</f>
        <v>0</v>
      </c>
      <c r="AB208" s="15">
        <f>IF(S208=1,IFERROR(INDEX(Settings!$G$12:$G$41,MATCH($B208,Settings!$A$12:$A$41,0)),0),0)</f>
        <v>0</v>
      </c>
      <c r="AC208" s="18" t="str">
        <f t="shared" si="30"/>
        <v/>
      </c>
      <c r="AD208" s="15" t="str">
        <f t="shared" si="31"/>
        <v/>
      </c>
      <c r="AE208" s="15" t="str">
        <f t="shared" si="32"/>
        <v/>
      </c>
      <c r="AF208" s="15" t="str">
        <f t="shared" si="33"/>
        <v/>
      </c>
      <c r="AG208" s="18">
        <f>IF(AND(S208=1,Z208="Y"),IF(Settings!$B$6="Percentage",IF(AD208=0,0,AC208*AA208*(N208/AD208)),IF(Settings!$B$6="Points",IF(AF208=0,0,AC208*(N208*AB208)/AF208),IF(Settings!$B$6="Equally",IF(AE208=0,0,AC208*N208/AE208),0))),0)</f>
        <v>0</v>
      </c>
      <c r="AH208" s="18" t="str">
        <f t="shared" si="34"/>
        <v/>
      </c>
      <c r="AI208" s="15">
        <f>IF(S208=1,IF(COUNTIFS($R$2:R208,R208,$S$2:S208,1)=1,1,0),0)</f>
        <v>0</v>
      </c>
      <c r="AJ208" s="15">
        <f>SUM($AI$2:AI208)</f>
        <v>12</v>
      </c>
    </row>
    <row r="209" spans="18:36">
      <c r="R209" s="15" t="str">
        <f t="shared" si="35"/>
        <v/>
      </c>
      <c r="S209" s="15">
        <f t="shared" si="27"/>
        <v>0</v>
      </c>
      <c r="T209" s="16" t="str">
        <f>IF(S209=1, DATE(YEAR(Settings!$B$3), MONTH(D209), DAY(D209)), "")</f>
        <v/>
      </c>
      <c r="U209" s="15" t="str">
        <f>IF(S209=1,IFERROR(INDEX(Settings!$B$12:$B$41,MATCH($B209,Settings!$A$12:$A$41,0)),"N"),"")</f>
        <v/>
      </c>
      <c r="V209" s="15" t="str">
        <f>IF(S209=1,IFERROR(INDEX(Settings!$C$12:$C$41,MATCH($B209,Settings!$A$12:$A$41,0)),""),"")</f>
        <v/>
      </c>
      <c r="W209" s="17">
        <f>IF(S209=1,IFERROR(INDEX(Settings!$D$12:$D$41,MATCH($B209,Settings!$A$12:$A$41,0)),0),0)</f>
        <v>0</v>
      </c>
      <c r="X209" s="18">
        <f t="shared" si="28"/>
        <v>0</v>
      </c>
      <c r="Y209" s="18" t="str">
        <f t="shared" si="29"/>
        <v/>
      </c>
      <c r="Z209" s="15" t="str">
        <f>IF(S209=1,IFERROR(INDEX(Settings!$E$12:$E$41,MATCH($B209,Settings!$A$12:$A$41,0)),"N"),"")</f>
        <v/>
      </c>
      <c r="AA209" s="17">
        <f>IF(S209=1,IFERROR(INDEX(Settings!$F$12:$F$41,MATCH($B209,Settings!$A$12:$A$41,0)),0),0)</f>
        <v>0</v>
      </c>
      <c r="AB209" s="15">
        <f>IF(S209=1,IFERROR(INDEX(Settings!$G$12:$G$41,MATCH($B209,Settings!$A$12:$A$41,0)),0),0)</f>
        <v>0</v>
      </c>
      <c r="AC209" s="18" t="str">
        <f t="shared" si="30"/>
        <v/>
      </c>
      <c r="AD209" s="15" t="str">
        <f t="shared" si="31"/>
        <v/>
      </c>
      <c r="AE209" s="15" t="str">
        <f t="shared" si="32"/>
        <v/>
      </c>
      <c r="AF209" s="15" t="str">
        <f t="shared" si="33"/>
        <v/>
      </c>
      <c r="AG209" s="18">
        <f>IF(AND(S209=1,Z209="Y"),IF(Settings!$B$6="Percentage",IF(AD209=0,0,AC209*AA209*(N209/AD209)),IF(Settings!$B$6="Points",IF(AF209=0,0,AC209*(N209*AB209)/AF209),IF(Settings!$B$6="Equally",IF(AE209=0,0,AC209*N209/AE209),0))),0)</f>
        <v>0</v>
      </c>
      <c r="AH209" s="18" t="str">
        <f t="shared" si="34"/>
        <v/>
      </c>
      <c r="AI209" s="15">
        <f>IF(S209=1,IF(COUNTIFS($R$2:R209,R209,$S$2:S209,1)=1,1,0),0)</f>
        <v>0</v>
      </c>
      <c r="AJ209" s="15">
        <f>SUM($AI$2:AI209)</f>
        <v>12</v>
      </c>
    </row>
    <row r="210" spans="18:36">
      <c r="R210" s="15" t="str">
        <f t="shared" si="35"/>
        <v/>
      </c>
      <c r="S210" s="15">
        <f t="shared" si="27"/>
        <v>0</v>
      </c>
      <c r="T210" s="16" t="str">
        <f>IF(S210=1, DATE(YEAR(Settings!$B$3), MONTH(D210), DAY(D210)), "")</f>
        <v/>
      </c>
      <c r="U210" s="15" t="str">
        <f>IF(S210=1,IFERROR(INDEX(Settings!$B$12:$B$41,MATCH($B210,Settings!$A$12:$A$41,0)),"N"),"")</f>
        <v/>
      </c>
      <c r="V210" s="15" t="str">
        <f>IF(S210=1,IFERROR(INDEX(Settings!$C$12:$C$41,MATCH($B210,Settings!$A$12:$A$41,0)),""),"")</f>
        <v/>
      </c>
      <c r="W210" s="17">
        <f>IF(S210=1,IFERROR(INDEX(Settings!$D$12:$D$41,MATCH($B210,Settings!$A$12:$A$41,0)),0),0)</f>
        <v>0</v>
      </c>
      <c r="X210" s="18">
        <f t="shared" si="28"/>
        <v>0</v>
      </c>
      <c r="Y210" s="18" t="str">
        <f t="shared" si="29"/>
        <v/>
      </c>
      <c r="Z210" s="15" t="str">
        <f>IF(S210=1,IFERROR(INDEX(Settings!$E$12:$E$41,MATCH($B210,Settings!$A$12:$A$41,0)),"N"),"")</f>
        <v/>
      </c>
      <c r="AA210" s="17">
        <f>IF(S210=1,IFERROR(INDEX(Settings!$F$12:$F$41,MATCH($B210,Settings!$A$12:$A$41,0)),0),0)</f>
        <v>0</v>
      </c>
      <c r="AB210" s="15">
        <f>IF(S210=1,IFERROR(INDEX(Settings!$G$12:$G$41,MATCH($B210,Settings!$A$12:$A$41,0)),0),0)</f>
        <v>0</v>
      </c>
      <c r="AC210" s="18" t="str">
        <f t="shared" si="30"/>
        <v/>
      </c>
      <c r="AD210" s="15" t="str">
        <f t="shared" si="31"/>
        <v/>
      </c>
      <c r="AE210" s="15" t="str">
        <f t="shared" si="32"/>
        <v/>
      </c>
      <c r="AF210" s="15" t="str">
        <f t="shared" si="33"/>
        <v/>
      </c>
      <c r="AG210" s="18">
        <f>IF(AND(S210=1,Z210="Y"),IF(Settings!$B$6="Percentage",IF(AD210=0,0,AC210*AA210*(N210/AD210)),IF(Settings!$B$6="Points",IF(AF210=0,0,AC210*(N210*AB210)/AF210),IF(Settings!$B$6="Equally",IF(AE210=0,0,AC210*N210/AE210),0))),0)</f>
        <v>0</v>
      </c>
      <c r="AH210" s="18" t="str">
        <f t="shared" si="34"/>
        <v/>
      </c>
      <c r="AI210" s="15">
        <f>IF(S210=1,IF(COUNTIFS($R$2:R210,R210,$S$2:S210,1)=1,1,0),0)</f>
        <v>0</v>
      </c>
      <c r="AJ210" s="15">
        <f>SUM($AI$2:AI210)</f>
        <v>12</v>
      </c>
    </row>
    <row r="211" spans="18:36">
      <c r="R211" s="15" t="str">
        <f t="shared" si="35"/>
        <v/>
      </c>
      <c r="S211" s="15">
        <f t="shared" si="27"/>
        <v>0</v>
      </c>
      <c r="T211" s="16" t="str">
        <f>IF(S211=1, DATE(YEAR(Settings!$B$3), MONTH(D211), DAY(D211)), "")</f>
        <v/>
      </c>
      <c r="U211" s="15" t="str">
        <f>IF(S211=1,IFERROR(INDEX(Settings!$B$12:$B$41,MATCH($B211,Settings!$A$12:$A$41,0)),"N"),"")</f>
        <v/>
      </c>
      <c r="V211" s="15" t="str">
        <f>IF(S211=1,IFERROR(INDEX(Settings!$C$12:$C$41,MATCH($B211,Settings!$A$12:$A$41,0)),""),"")</f>
        <v/>
      </c>
      <c r="W211" s="17">
        <f>IF(S211=1,IFERROR(INDEX(Settings!$D$12:$D$41,MATCH($B211,Settings!$A$12:$A$41,0)),0),0)</f>
        <v>0</v>
      </c>
      <c r="X211" s="18">
        <f t="shared" si="28"/>
        <v>0</v>
      </c>
      <c r="Y211" s="18" t="str">
        <f t="shared" si="29"/>
        <v/>
      </c>
      <c r="Z211" s="15" t="str">
        <f>IF(S211=1,IFERROR(INDEX(Settings!$E$12:$E$41,MATCH($B211,Settings!$A$12:$A$41,0)),"N"),"")</f>
        <v/>
      </c>
      <c r="AA211" s="17">
        <f>IF(S211=1,IFERROR(INDEX(Settings!$F$12:$F$41,MATCH($B211,Settings!$A$12:$A$41,0)),0),0)</f>
        <v>0</v>
      </c>
      <c r="AB211" s="15">
        <f>IF(S211=1,IFERROR(INDEX(Settings!$G$12:$G$41,MATCH($B211,Settings!$A$12:$A$41,0)),0),0)</f>
        <v>0</v>
      </c>
      <c r="AC211" s="18" t="str">
        <f t="shared" si="30"/>
        <v/>
      </c>
      <c r="AD211" s="15" t="str">
        <f t="shared" si="31"/>
        <v/>
      </c>
      <c r="AE211" s="15" t="str">
        <f t="shared" si="32"/>
        <v/>
      </c>
      <c r="AF211" s="15" t="str">
        <f t="shared" si="33"/>
        <v/>
      </c>
      <c r="AG211" s="18">
        <f>IF(AND(S211=1,Z211="Y"),IF(Settings!$B$6="Percentage",IF(AD211=0,0,AC211*AA211*(N211/AD211)),IF(Settings!$B$6="Points",IF(AF211=0,0,AC211*(N211*AB211)/AF211),IF(Settings!$B$6="Equally",IF(AE211=0,0,AC211*N211/AE211),0))),0)</f>
        <v>0</v>
      </c>
      <c r="AH211" s="18" t="str">
        <f t="shared" si="34"/>
        <v/>
      </c>
      <c r="AI211" s="15">
        <f>IF(S211=1,IF(COUNTIFS($R$2:R211,R211,$S$2:S211,1)=1,1,0),0)</f>
        <v>0</v>
      </c>
      <c r="AJ211" s="15">
        <f>SUM($AI$2:AI211)</f>
        <v>12</v>
      </c>
    </row>
    <row r="212" spans="18:36">
      <c r="R212" s="15" t="str">
        <f t="shared" si="35"/>
        <v/>
      </c>
      <c r="S212" s="15">
        <f t="shared" si="27"/>
        <v>0</v>
      </c>
      <c r="T212" s="16" t="str">
        <f>IF(S212=1, DATE(YEAR(Settings!$B$3), MONTH(D212), DAY(D212)), "")</f>
        <v/>
      </c>
      <c r="U212" s="15" t="str">
        <f>IF(S212=1,IFERROR(INDEX(Settings!$B$12:$B$41,MATCH($B212,Settings!$A$12:$A$41,0)),"N"),"")</f>
        <v/>
      </c>
      <c r="V212" s="15" t="str">
        <f>IF(S212=1,IFERROR(INDEX(Settings!$C$12:$C$41,MATCH($B212,Settings!$A$12:$A$41,0)),""),"")</f>
        <v/>
      </c>
      <c r="W212" s="17">
        <f>IF(S212=1,IFERROR(INDEX(Settings!$D$12:$D$41,MATCH($B212,Settings!$A$12:$A$41,0)),0),0)</f>
        <v>0</v>
      </c>
      <c r="X212" s="18">
        <f t="shared" si="28"/>
        <v>0</v>
      </c>
      <c r="Y212" s="18" t="str">
        <f t="shared" si="29"/>
        <v/>
      </c>
      <c r="Z212" s="15" t="str">
        <f>IF(S212=1,IFERROR(INDEX(Settings!$E$12:$E$41,MATCH($B212,Settings!$A$12:$A$41,0)),"N"),"")</f>
        <v/>
      </c>
      <c r="AA212" s="17">
        <f>IF(S212=1,IFERROR(INDEX(Settings!$F$12:$F$41,MATCH($B212,Settings!$A$12:$A$41,0)),0),0)</f>
        <v>0</v>
      </c>
      <c r="AB212" s="15">
        <f>IF(S212=1,IFERROR(INDEX(Settings!$G$12:$G$41,MATCH($B212,Settings!$A$12:$A$41,0)),0),0)</f>
        <v>0</v>
      </c>
      <c r="AC212" s="18" t="str">
        <f t="shared" si="30"/>
        <v/>
      </c>
      <c r="AD212" s="15" t="str">
        <f t="shared" si="31"/>
        <v/>
      </c>
      <c r="AE212" s="15" t="str">
        <f t="shared" si="32"/>
        <v/>
      </c>
      <c r="AF212" s="15" t="str">
        <f t="shared" si="33"/>
        <v/>
      </c>
      <c r="AG212" s="18">
        <f>IF(AND(S212=1,Z212="Y"),IF(Settings!$B$6="Percentage",IF(AD212=0,0,AC212*AA212*(N212/AD212)),IF(Settings!$B$6="Points",IF(AF212=0,0,AC212*(N212*AB212)/AF212),IF(Settings!$B$6="Equally",IF(AE212=0,0,AC212*N212/AE212),0))),0)</f>
        <v>0</v>
      </c>
      <c r="AH212" s="18" t="str">
        <f t="shared" si="34"/>
        <v/>
      </c>
      <c r="AI212" s="15">
        <f>IF(S212=1,IF(COUNTIFS($R$2:R212,R212,$S$2:S212,1)=1,1,0),0)</f>
        <v>0</v>
      </c>
      <c r="AJ212" s="15">
        <f>SUM($AI$2:AI212)</f>
        <v>12</v>
      </c>
    </row>
    <row r="213" spans="18:36">
      <c r="R213" s="15" t="str">
        <f t="shared" si="35"/>
        <v/>
      </c>
      <c r="S213" s="15">
        <f t="shared" si="27"/>
        <v>0</v>
      </c>
      <c r="T213" s="16" t="str">
        <f>IF(S213=1, DATE(YEAR(Settings!$B$3), MONTH(D213), DAY(D213)), "")</f>
        <v/>
      </c>
      <c r="U213" s="15" t="str">
        <f>IF(S213=1,IFERROR(INDEX(Settings!$B$12:$B$41,MATCH($B213,Settings!$A$12:$A$41,0)),"N"),"")</f>
        <v/>
      </c>
      <c r="V213" s="15" t="str">
        <f>IF(S213=1,IFERROR(INDEX(Settings!$C$12:$C$41,MATCH($B213,Settings!$A$12:$A$41,0)),""),"")</f>
        <v/>
      </c>
      <c r="W213" s="17">
        <f>IF(S213=1,IFERROR(INDEX(Settings!$D$12:$D$41,MATCH($B213,Settings!$A$12:$A$41,0)),0),0)</f>
        <v>0</v>
      </c>
      <c r="X213" s="18">
        <f t="shared" si="28"/>
        <v>0</v>
      </c>
      <c r="Y213" s="18" t="str">
        <f t="shared" si="29"/>
        <v/>
      </c>
      <c r="Z213" s="15" t="str">
        <f>IF(S213=1,IFERROR(INDEX(Settings!$E$12:$E$41,MATCH($B213,Settings!$A$12:$A$41,0)),"N"),"")</f>
        <v/>
      </c>
      <c r="AA213" s="17">
        <f>IF(S213=1,IFERROR(INDEX(Settings!$F$12:$F$41,MATCH($B213,Settings!$A$12:$A$41,0)),0),0)</f>
        <v>0</v>
      </c>
      <c r="AB213" s="15">
        <f>IF(S213=1,IFERROR(INDEX(Settings!$G$12:$G$41,MATCH($B213,Settings!$A$12:$A$41,0)),0),0)</f>
        <v>0</v>
      </c>
      <c r="AC213" s="18" t="str">
        <f t="shared" si="30"/>
        <v/>
      </c>
      <c r="AD213" s="15" t="str">
        <f t="shared" si="31"/>
        <v/>
      </c>
      <c r="AE213" s="15" t="str">
        <f t="shared" si="32"/>
        <v/>
      </c>
      <c r="AF213" s="15" t="str">
        <f t="shared" si="33"/>
        <v/>
      </c>
      <c r="AG213" s="18">
        <f>IF(AND(S213=1,Z213="Y"),IF(Settings!$B$6="Percentage",IF(AD213=0,0,AC213*AA213*(N213/AD213)),IF(Settings!$B$6="Points",IF(AF213=0,0,AC213*(N213*AB213)/AF213),IF(Settings!$B$6="Equally",IF(AE213=0,0,AC213*N213/AE213),0))),0)</f>
        <v>0</v>
      </c>
      <c r="AH213" s="18" t="str">
        <f t="shared" si="34"/>
        <v/>
      </c>
      <c r="AI213" s="15">
        <f>IF(S213=1,IF(COUNTIFS($R$2:R213,R213,$S$2:S213,1)=1,1,0),0)</f>
        <v>0</v>
      </c>
      <c r="AJ213" s="15">
        <f>SUM($AI$2:AI213)</f>
        <v>12</v>
      </c>
    </row>
    <row r="214" spans="18:36">
      <c r="R214" s="15" t="str">
        <f t="shared" si="35"/>
        <v/>
      </c>
      <c r="S214" s="15">
        <f t="shared" si="27"/>
        <v>0</v>
      </c>
      <c r="T214" s="16" t="str">
        <f>IF(S214=1, DATE(YEAR(Settings!$B$3), MONTH(D214), DAY(D214)), "")</f>
        <v/>
      </c>
      <c r="U214" s="15" t="str">
        <f>IF(S214=1,IFERROR(INDEX(Settings!$B$12:$B$41,MATCH($B214,Settings!$A$12:$A$41,0)),"N"),"")</f>
        <v/>
      </c>
      <c r="V214" s="15" t="str">
        <f>IF(S214=1,IFERROR(INDEX(Settings!$C$12:$C$41,MATCH($B214,Settings!$A$12:$A$41,0)),""),"")</f>
        <v/>
      </c>
      <c r="W214" s="17">
        <f>IF(S214=1,IFERROR(INDEX(Settings!$D$12:$D$41,MATCH($B214,Settings!$A$12:$A$41,0)),0),0)</f>
        <v>0</v>
      </c>
      <c r="X214" s="18">
        <f t="shared" si="28"/>
        <v>0</v>
      </c>
      <c r="Y214" s="18" t="str">
        <f t="shared" si="29"/>
        <v/>
      </c>
      <c r="Z214" s="15" t="str">
        <f>IF(S214=1,IFERROR(INDEX(Settings!$E$12:$E$41,MATCH($B214,Settings!$A$12:$A$41,0)),"N"),"")</f>
        <v/>
      </c>
      <c r="AA214" s="17">
        <f>IF(S214=1,IFERROR(INDEX(Settings!$F$12:$F$41,MATCH($B214,Settings!$A$12:$A$41,0)),0),0)</f>
        <v>0</v>
      </c>
      <c r="AB214" s="15">
        <f>IF(S214=1,IFERROR(INDEX(Settings!$G$12:$G$41,MATCH($B214,Settings!$A$12:$A$41,0)),0),0)</f>
        <v>0</v>
      </c>
      <c r="AC214" s="18" t="str">
        <f t="shared" si="30"/>
        <v/>
      </c>
      <c r="AD214" s="15" t="str">
        <f t="shared" si="31"/>
        <v/>
      </c>
      <c r="AE214" s="15" t="str">
        <f t="shared" si="32"/>
        <v/>
      </c>
      <c r="AF214" s="15" t="str">
        <f t="shared" si="33"/>
        <v/>
      </c>
      <c r="AG214" s="18">
        <f>IF(AND(S214=1,Z214="Y"),IF(Settings!$B$6="Percentage",IF(AD214=0,0,AC214*AA214*(N214/AD214)),IF(Settings!$B$6="Points",IF(AF214=0,0,AC214*(N214*AB214)/AF214),IF(Settings!$B$6="Equally",IF(AE214=0,0,AC214*N214/AE214),0))),0)</f>
        <v>0</v>
      </c>
      <c r="AH214" s="18" t="str">
        <f t="shared" si="34"/>
        <v/>
      </c>
      <c r="AI214" s="15">
        <f>IF(S214=1,IF(COUNTIFS($R$2:R214,R214,$S$2:S214,1)=1,1,0),0)</f>
        <v>0</v>
      </c>
      <c r="AJ214" s="15">
        <f>SUM($AI$2:AI214)</f>
        <v>12</v>
      </c>
    </row>
    <row r="215" spans="18:36">
      <c r="R215" s="15" t="str">
        <f t="shared" si="35"/>
        <v/>
      </c>
      <c r="S215" s="15">
        <f t="shared" si="27"/>
        <v>0</v>
      </c>
      <c r="T215" s="16" t="str">
        <f>IF(S215=1, DATE(YEAR(Settings!$B$3), MONTH(D215), DAY(D215)), "")</f>
        <v/>
      </c>
      <c r="U215" s="15" t="str">
        <f>IF(S215=1,IFERROR(INDEX(Settings!$B$12:$B$41,MATCH($B215,Settings!$A$12:$A$41,0)),"N"),"")</f>
        <v/>
      </c>
      <c r="V215" s="15" t="str">
        <f>IF(S215=1,IFERROR(INDEX(Settings!$C$12:$C$41,MATCH($B215,Settings!$A$12:$A$41,0)),""),"")</f>
        <v/>
      </c>
      <c r="W215" s="17">
        <f>IF(S215=1,IFERROR(INDEX(Settings!$D$12:$D$41,MATCH($B215,Settings!$A$12:$A$41,0)),0),0)</f>
        <v>0</v>
      </c>
      <c r="X215" s="18">
        <f t="shared" si="28"/>
        <v>0</v>
      </c>
      <c r="Y215" s="18" t="str">
        <f t="shared" si="29"/>
        <v/>
      </c>
      <c r="Z215" s="15" t="str">
        <f>IF(S215=1,IFERROR(INDEX(Settings!$E$12:$E$41,MATCH($B215,Settings!$A$12:$A$41,0)),"N"),"")</f>
        <v/>
      </c>
      <c r="AA215" s="17">
        <f>IF(S215=1,IFERROR(INDEX(Settings!$F$12:$F$41,MATCH($B215,Settings!$A$12:$A$41,0)),0),0)</f>
        <v>0</v>
      </c>
      <c r="AB215" s="15">
        <f>IF(S215=1,IFERROR(INDEX(Settings!$G$12:$G$41,MATCH($B215,Settings!$A$12:$A$41,0)),0),0)</f>
        <v>0</v>
      </c>
      <c r="AC215" s="18" t="str">
        <f t="shared" si="30"/>
        <v/>
      </c>
      <c r="AD215" s="15" t="str">
        <f t="shared" si="31"/>
        <v/>
      </c>
      <c r="AE215" s="15" t="str">
        <f t="shared" si="32"/>
        <v/>
      </c>
      <c r="AF215" s="15" t="str">
        <f t="shared" si="33"/>
        <v/>
      </c>
      <c r="AG215" s="18">
        <f>IF(AND(S215=1,Z215="Y"),IF(Settings!$B$6="Percentage",IF(AD215=0,0,AC215*AA215*(N215/AD215)),IF(Settings!$B$6="Points",IF(AF215=0,0,AC215*(N215*AB215)/AF215),IF(Settings!$B$6="Equally",IF(AE215=0,0,AC215*N215/AE215),0))),0)</f>
        <v>0</v>
      </c>
      <c r="AH215" s="18" t="str">
        <f t="shared" si="34"/>
        <v/>
      </c>
      <c r="AI215" s="15">
        <f>IF(S215=1,IF(COUNTIFS($R$2:R215,R215,$S$2:S215,1)=1,1,0),0)</f>
        <v>0</v>
      </c>
      <c r="AJ215" s="15">
        <f>SUM($AI$2:AI215)</f>
        <v>12</v>
      </c>
    </row>
    <row r="216" spans="18:36">
      <c r="R216" s="15" t="str">
        <f t="shared" si="35"/>
        <v/>
      </c>
      <c r="S216" s="15">
        <f t="shared" si="27"/>
        <v>0</v>
      </c>
      <c r="T216" s="16" t="str">
        <f>IF(S216=1, DATE(YEAR(Settings!$B$3), MONTH(D216), DAY(D216)), "")</f>
        <v/>
      </c>
      <c r="U216" s="15" t="str">
        <f>IF(S216=1,IFERROR(INDEX(Settings!$B$12:$B$41,MATCH($B216,Settings!$A$12:$A$41,0)),"N"),"")</f>
        <v/>
      </c>
      <c r="V216" s="15" t="str">
        <f>IF(S216=1,IFERROR(INDEX(Settings!$C$12:$C$41,MATCH($B216,Settings!$A$12:$A$41,0)),""),"")</f>
        <v/>
      </c>
      <c r="W216" s="17">
        <f>IF(S216=1,IFERROR(INDEX(Settings!$D$12:$D$41,MATCH($B216,Settings!$A$12:$A$41,0)),0),0)</f>
        <v>0</v>
      </c>
      <c r="X216" s="18">
        <f t="shared" si="28"/>
        <v>0</v>
      </c>
      <c r="Y216" s="18" t="str">
        <f t="shared" si="29"/>
        <v/>
      </c>
      <c r="Z216" s="15" t="str">
        <f>IF(S216=1,IFERROR(INDEX(Settings!$E$12:$E$41,MATCH($B216,Settings!$A$12:$A$41,0)),"N"),"")</f>
        <v/>
      </c>
      <c r="AA216" s="17">
        <f>IF(S216=1,IFERROR(INDEX(Settings!$F$12:$F$41,MATCH($B216,Settings!$A$12:$A$41,0)),0),0)</f>
        <v>0</v>
      </c>
      <c r="AB216" s="15">
        <f>IF(S216=1,IFERROR(INDEX(Settings!$G$12:$G$41,MATCH($B216,Settings!$A$12:$A$41,0)),0),0)</f>
        <v>0</v>
      </c>
      <c r="AC216" s="18" t="str">
        <f t="shared" si="30"/>
        <v/>
      </c>
      <c r="AD216" s="15" t="str">
        <f t="shared" si="31"/>
        <v/>
      </c>
      <c r="AE216" s="15" t="str">
        <f t="shared" si="32"/>
        <v/>
      </c>
      <c r="AF216" s="15" t="str">
        <f t="shared" si="33"/>
        <v/>
      </c>
      <c r="AG216" s="18">
        <f>IF(AND(S216=1,Z216="Y"),IF(Settings!$B$6="Percentage",IF(AD216=0,0,AC216*AA216*(N216/AD216)),IF(Settings!$B$6="Points",IF(AF216=0,0,AC216*(N216*AB216)/AF216),IF(Settings!$B$6="Equally",IF(AE216=0,0,AC216*N216/AE216),0))),0)</f>
        <v>0</v>
      </c>
      <c r="AH216" s="18" t="str">
        <f t="shared" si="34"/>
        <v/>
      </c>
      <c r="AI216" s="15">
        <f>IF(S216=1,IF(COUNTIFS($R$2:R216,R216,$S$2:S216,1)=1,1,0),0)</f>
        <v>0</v>
      </c>
      <c r="AJ216" s="15">
        <f>SUM($AI$2:AI216)</f>
        <v>12</v>
      </c>
    </row>
    <row r="217" spans="18:36">
      <c r="R217" s="15" t="str">
        <f t="shared" si="35"/>
        <v/>
      </c>
      <c r="S217" s="15">
        <f t="shared" si="27"/>
        <v>0</v>
      </c>
      <c r="T217" s="16" t="str">
        <f>IF(S217=1, DATE(YEAR(Settings!$B$3), MONTH(D217), DAY(D217)), "")</f>
        <v/>
      </c>
      <c r="U217" s="15" t="str">
        <f>IF(S217=1,IFERROR(INDEX(Settings!$B$12:$B$41,MATCH($B217,Settings!$A$12:$A$41,0)),"N"),"")</f>
        <v/>
      </c>
      <c r="V217" s="15" t="str">
        <f>IF(S217=1,IFERROR(INDEX(Settings!$C$12:$C$41,MATCH($B217,Settings!$A$12:$A$41,0)),""),"")</f>
        <v/>
      </c>
      <c r="W217" s="17">
        <f>IF(S217=1,IFERROR(INDEX(Settings!$D$12:$D$41,MATCH($B217,Settings!$A$12:$A$41,0)),0),0)</f>
        <v>0</v>
      </c>
      <c r="X217" s="18">
        <f t="shared" si="28"/>
        <v>0</v>
      </c>
      <c r="Y217" s="18" t="str">
        <f t="shared" si="29"/>
        <v/>
      </c>
      <c r="Z217" s="15" t="str">
        <f>IF(S217=1,IFERROR(INDEX(Settings!$E$12:$E$41,MATCH($B217,Settings!$A$12:$A$41,0)),"N"),"")</f>
        <v/>
      </c>
      <c r="AA217" s="17">
        <f>IF(S217=1,IFERROR(INDEX(Settings!$F$12:$F$41,MATCH($B217,Settings!$A$12:$A$41,0)),0),0)</f>
        <v>0</v>
      </c>
      <c r="AB217" s="15">
        <f>IF(S217=1,IFERROR(INDEX(Settings!$G$12:$G$41,MATCH($B217,Settings!$A$12:$A$41,0)),0),0)</f>
        <v>0</v>
      </c>
      <c r="AC217" s="18" t="str">
        <f t="shared" si="30"/>
        <v/>
      </c>
      <c r="AD217" s="15" t="str">
        <f t="shared" si="31"/>
        <v/>
      </c>
      <c r="AE217" s="15" t="str">
        <f t="shared" si="32"/>
        <v/>
      </c>
      <c r="AF217" s="15" t="str">
        <f t="shared" si="33"/>
        <v/>
      </c>
      <c r="AG217" s="18">
        <f>IF(AND(S217=1,Z217="Y"),IF(Settings!$B$6="Percentage",IF(AD217=0,0,AC217*AA217*(N217/AD217)),IF(Settings!$B$6="Points",IF(AF217=0,0,AC217*(N217*AB217)/AF217),IF(Settings!$B$6="Equally",IF(AE217=0,0,AC217*N217/AE217),0))),0)</f>
        <v>0</v>
      </c>
      <c r="AH217" s="18" t="str">
        <f t="shared" si="34"/>
        <v/>
      </c>
      <c r="AI217" s="15">
        <f>IF(S217=1,IF(COUNTIFS($R$2:R217,R217,$S$2:S217,1)=1,1,0),0)</f>
        <v>0</v>
      </c>
      <c r="AJ217" s="15">
        <f>SUM($AI$2:AI217)</f>
        <v>12</v>
      </c>
    </row>
    <row r="218" spans="18:36">
      <c r="R218" s="15" t="str">
        <f t="shared" si="35"/>
        <v/>
      </c>
      <c r="S218" s="15">
        <f t="shared" si="27"/>
        <v>0</v>
      </c>
      <c r="T218" s="16" t="str">
        <f>IF(S218=1, DATE(YEAR(Settings!$B$3), MONTH(D218), DAY(D218)), "")</f>
        <v/>
      </c>
      <c r="U218" s="15" t="str">
        <f>IF(S218=1,IFERROR(INDEX(Settings!$B$12:$B$41,MATCH($B218,Settings!$A$12:$A$41,0)),"N"),"")</f>
        <v/>
      </c>
      <c r="V218" s="15" t="str">
        <f>IF(S218=1,IFERROR(INDEX(Settings!$C$12:$C$41,MATCH($B218,Settings!$A$12:$A$41,0)),""),"")</f>
        <v/>
      </c>
      <c r="W218" s="17">
        <f>IF(S218=1,IFERROR(INDEX(Settings!$D$12:$D$41,MATCH($B218,Settings!$A$12:$A$41,0)),0),0)</f>
        <v>0</v>
      </c>
      <c r="X218" s="18">
        <f t="shared" si="28"/>
        <v>0</v>
      </c>
      <c r="Y218" s="18" t="str">
        <f t="shared" si="29"/>
        <v/>
      </c>
      <c r="Z218" s="15" t="str">
        <f>IF(S218=1,IFERROR(INDEX(Settings!$E$12:$E$41,MATCH($B218,Settings!$A$12:$A$41,0)),"N"),"")</f>
        <v/>
      </c>
      <c r="AA218" s="17">
        <f>IF(S218=1,IFERROR(INDEX(Settings!$F$12:$F$41,MATCH($B218,Settings!$A$12:$A$41,0)),0),0)</f>
        <v>0</v>
      </c>
      <c r="AB218" s="15">
        <f>IF(S218=1,IFERROR(INDEX(Settings!$G$12:$G$41,MATCH($B218,Settings!$A$12:$A$41,0)),0),0)</f>
        <v>0</v>
      </c>
      <c r="AC218" s="18" t="str">
        <f t="shared" si="30"/>
        <v/>
      </c>
      <c r="AD218" s="15" t="str">
        <f t="shared" si="31"/>
        <v/>
      </c>
      <c r="AE218" s="15" t="str">
        <f t="shared" si="32"/>
        <v/>
      </c>
      <c r="AF218" s="15" t="str">
        <f t="shared" si="33"/>
        <v/>
      </c>
      <c r="AG218" s="18">
        <f>IF(AND(S218=1,Z218="Y"),IF(Settings!$B$6="Percentage",IF(AD218=0,0,AC218*AA218*(N218/AD218)),IF(Settings!$B$6="Points",IF(AF218=0,0,AC218*(N218*AB218)/AF218),IF(Settings!$B$6="Equally",IF(AE218=0,0,AC218*N218/AE218),0))),0)</f>
        <v>0</v>
      </c>
      <c r="AH218" s="18" t="str">
        <f t="shared" si="34"/>
        <v/>
      </c>
      <c r="AI218" s="15">
        <f>IF(S218=1,IF(COUNTIFS($R$2:R218,R218,$S$2:S218,1)=1,1,0),0)</f>
        <v>0</v>
      </c>
      <c r="AJ218" s="15">
        <f>SUM($AI$2:AI218)</f>
        <v>12</v>
      </c>
    </row>
    <row r="219" spans="18:36">
      <c r="R219" s="15" t="str">
        <f t="shared" si="35"/>
        <v/>
      </c>
      <c r="S219" s="15">
        <f t="shared" si="27"/>
        <v>0</v>
      </c>
      <c r="T219" s="16" t="str">
        <f>IF(S219=1, DATE(YEAR(Settings!$B$3), MONTH(D219), DAY(D219)), "")</f>
        <v/>
      </c>
      <c r="U219" s="15" t="str">
        <f>IF(S219=1,IFERROR(INDEX(Settings!$B$12:$B$41,MATCH($B219,Settings!$A$12:$A$41,0)),"N"),"")</f>
        <v/>
      </c>
      <c r="V219" s="15" t="str">
        <f>IF(S219=1,IFERROR(INDEX(Settings!$C$12:$C$41,MATCH($B219,Settings!$A$12:$A$41,0)),""),"")</f>
        <v/>
      </c>
      <c r="W219" s="17">
        <f>IF(S219=1,IFERROR(INDEX(Settings!$D$12:$D$41,MATCH($B219,Settings!$A$12:$A$41,0)),0),0)</f>
        <v>0</v>
      </c>
      <c r="X219" s="18">
        <f t="shared" si="28"/>
        <v>0</v>
      </c>
      <c r="Y219" s="18" t="str">
        <f t="shared" si="29"/>
        <v/>
      </c>
      <c r="Z219" s="15" t="str">
        <f>IF(S219=1,IFERROR(INDEX(Settings!$E$12:$E$41,MATCH($B219,Settings!$A$12:$A$41,0)),"N"),"")</f>
        <v/>
      </c>
      <c r="AA219" s="17">
        <f>IF(S219=1,IFERROR(INDEX(Settings!$F$12:$F$41,MATCH($B219,Settings!$A$12:$A$41,0)),0),0)</f>
        <v>0</v>
      </c>
      <c r="AB219" s="15">
        <f>IF(S219=1,IFERROR(INDEX(Settings!$G$12:$G$41,MATCH($B219,Settings!$A$12:$A$41,0)),0),0)</f>
        <v>0</v>
      </c>
      <c r="AC219" s="18" t="str">
        <f t="shared" si="30"/>
        <v/>
      </c>
      <c r="AD219" s="15" t="str">
        <f t="shared" si="31"/>
        <v/>
      </c>
      <c r="AE219" s="15" t="str">
        <f t="shared" si="32"/>
        <v/>
      </c>
      <c r="AF219" s="15" t="str">
        <f t="shared" si="33"/>
        <v/>
      </c>
      <c r="AG219" s="18">
        <f>IF(AND(S219=1,Z219="Y"),IF(Settings!$B$6="Percentage",IF(AD219=0,0,AC219*AA219*(N219/AD219)),IF(Settings!$B$6="Points",IF(AF219=0,0,AC219*(N219*AB219)/AF219),IF(Settings!$B$6="Equally",IF(AE219=0,0,AC219*N219/AE219),0))),0)</f>
        <v>0</v>
      </c>
      <c r="AH219" s="18" t="str">
        <f t="shared" si="34"/>
        <v/>
      </c>
      <c r="AI219" s="15">
        <f>IF(S219=1,IF(COUNTIFS($R$2:R219,R219,$S$2:S219,1)=1,1,0),0)</f>
        <v>0</v>
      </c>
      <c r="AJ219" s="15">
        <f>SUM($AI$2:AI219)</f>
        <v>12</v>
      </c>
    </row>
    <row r="220" spans="18:36">
      <c r="R220" s="15" t="str">
        <f t="shared" si="35"/>
        <v/>
      </c>
      <c r="S220" s="15">
        <f t="shared" si="27"/>
        <v>0</v>
      </c>
      <c r="T220" s="16" t="str">
        <f>IF(S220=1, DATE(YEAR(Settings!$B$3), MONTH(D220), DAY(D220)), "")</f>
        <v/>
      </c>
      <c r="U220" s="15" t="str">
        <f>IF(S220=1,IFERROR(INDEX(Settings!$B$12:$B$41,MATCH($B220,Settings!$A$12:$A$41,0)),"N"),"")</f>
        <v/>
      </c>
      <c r="V220" s="15" t="str">
        <f>IF(S220=1,IFERROR(INDEX(Settings!$C$12:$C$41,MATCH($B220,Settings!$A$12:$A$41,0)),""),"")</f>
        <v/>
      </c>
      <c r="W220" s="17">
        <f>IF(S220=1,IFERROR(INDEX(Settings!$D$12:$D$41,MATCH($B220,Settings!$A$12:$A$41,0)),0),0)</f>
        <v>0</v>
      </c>
      <c r="X220" s="18">
        <f t="shared" si="28"/>
        <v>0</v>
      </c>
      <c r="Y220" s="18" t="str">
        <f t="shared" si="29"/>
        <v/>
      </c>
      <c r="Z220" s="15" t="str">
        <f>IF(S220=1,IFERROR(INDEX(Settings!$E$12:$E$41,MATCH($B220,Settings!$A$12:$A$41,0)),"N"),"")</f>
        <v/>
      </c>
      <c r="AA220" s="17">
        <f>IF(S220=1,IFERROR(INDEX(Settings!$F$12:$F$41,MATCH($B220,Settings!$A$12:$A$41,0)),0),0)</f>
        <v>0</v>
      </c>
      <c r="AB220" s="15">
        <f>IF(S220=1,IFERROR(INDEX(Settings!$G$12:$G$41,MATCH($B220,Settings!$A$12:$A$41,0)),0),0)</f>
        <v>0</v>
      </c>
      <c r="AC220" s="18" t="str">
        <f t="shared" si="30"/>
        <v/>
      </c>
      <c r="AD220" s="15" t="str">
        <f t="shared" si="31"/>
        <v/>
      </c>
      <c r="AE220" s="15" t="str">
        <f t="shared" si="32"/>
        <v/>
      </c>
      <c r="AF220" s="15" t="str">
        <f t="shared" si="33"/>
        <v/>
      </c>
      <c r="AG220" s="18">
        <f>IF(AND(S220=1,Z220="Y"),IF(Settings!$B$6="Percentage",IF(AD220=0,0,AC220*AA220*(N220/AD220)),IF(Settings!$B$6="Points",IF(AF220=0,0,AC220*(N220*AB220)/AF220),IF(Settings!$B$6="Equally",IF(AE220=0,0,AC220*N220/AE220),0))),0)</f>
        <v>0</v>
      </c>
      <c r="AH220" s="18" t="str">
        <f t="shared" si="34"/>
        <v/>
      </c>
      <c r="AI220" s="15">
        <f>IF(S220=1,IF(COUNTIFS($R$2:R220,R220,$S$2:S220,1)=1,1,0),0)</f>
        <v>0</v>
      </c>
      <c r="AJ220" s="15">
        <f>SUM($AI$2:AI220)</f>
        <v>12</v>
      </c>
    </row>
    <row r="221" spans="18:36">
      <c r="R221" s="15" t="str">
        <f t="shared" si="35"/>
        <v/>
      </c>
      <c r="S221" s="15">
        <f t="shared" si="27"/>
        <v>0</v>
      </c>
      <c r="T221" s="16" t="str">
        <f>IF(S221=1, DATE(YEAR(Settings!$B$3), MONTH(D221), DAY(D221)), "")</f>
        <v/>
      </c>
      <c r="U221" s="15" t="str">
        <f>IF(S221=1,IFERROR(INDEX(Settings!$B$12:$B$41,MATCH($B221,Settings!$A$12:$A$41,0)),"N"),"")</f>
        <v/>
      </c>
      <c r="V221" s="15" t="str">
        <f>IF(S221=1,IFERROR(INDEX(Settings!$C$12:$C$41,MATCH($B221,Settings!$A$12:$A$41,0)),""),"")</f>
        <v/>
      </c>
      <c r="W221" s="17">
        <f>IF(S221=1,IFERROR(INDEX(Settings!$D$12:$D$41,MATCH($B221,Settings!$A$12:$A$41,0)),0),0)</f>
        <v>0</v>
      </c>
      <c r="X221" s="18">
        <f t="shared" si="28"/>
        <v>0</v>
      </c>
      <c r="Y221" s="18" t="str">
        <f t="shared" si="29"/>
        <v/>
      </c>
      <c r="Z221" s="15" t="str">
        <f>IF(S221=1,IFERROR(INDEX(Settings!$E$12:$E$41,MATCH($B221,Settings!$A$12:$A$41,0)),"N"),"")</f>
        <v/>
      </c>
      <c r="AA221" s="17">
        <f>IF(S221=1,IFERROR(INDEX(Settings!$F$12:$F$41,MATCH($B221,Settings!$A$12:$A$41,0)),0),0)</f>
        <v>0</v>
      </c>
      <c r="AB221" s="15">
        <f>IF(S221=1,IFERROR(INDEX(Settings!$G$12:$G$41,MATCH($B221,Settings!$A$12:$A$41,0)),0),0)</f>
        <v>0</v>
      </c>
      <c r="AC221" s="18" t="str">
        <f t="shared" si="30"/>
        <v/>
      </c>
      <c r="AD221" s="15" t="str">
        <f t="shared" si="31"/>
        <v/>
      </c>
      <c r="AE221" s="15" t="str">
        <f t="shared" si="32"/>
        <v/>
      </c>
      <c r="AF221" s="15" t="str">
        <f t="shared" si="33"/>
        <v/>
      </c>
      <c r="AG221" s="18">
        <f>IF(AND(S221=1,Z221="Y"),IF(Settings!$B$6="Percentage",IF(AD221=0,0,AC221*AA221*(N221/AD221)),IF(Settings!$B$6="Points",IF(AF221=0,0,AC221*(N221*AB221)/AF221),IF(Settings!$B$6="Equally",IF(AE221=0,0,AC221*N221/AE221),0))),0)</f>
        <v>0</v>
      </c>
      <c r="AH221" s="18" t="str">
        <f t="shared" si="34"/>
        <v/>
      </c>
      <c r="AI221" s="15">
        <f>IF(S221=1,IF(COUNTIFS($R$2:R221,R221,$S$2:S221,1)=1,1,0),0)</f>
        <v>0</v>
      </c>
      <c r="AJ221" s="15">
        <f>SUM($AI$2:AI221)</f>
        <v>12</v>
      </c>
    </row>
    <row r="222" spans="18:36">
      <c r="R222" s="15" t="str">
        <f t="shared" si="35"/>
        <v/>
      </c>
      <c r="S222" s="15">
        <f t="shared" si="27"/>
        <v>0</v>
      </c>
      <c r="T222" s="16" t="str">
        <f>IF(S222=1, DATE(YEAR(Settings!$B$3), MONTH(D222), DAY(D222)), "")</f>
        <v/>
      </c>
      <c r="U222" s="15" t="str">
        <f>IF(S222=1,IFERROR(INDEX(Settings!$B$12:$B$41,MATCH($B222,Settings!$A$12:$A$41,0)),"N"),"")</f>
        <v/>
      </c>
      <c r="V222" s="15" t="str">
        <f>IF(S222=1,IFERROR(INDEX(Settings!$C$12:$C$41,MATCH($B222,Settings!$A$12:$A$41,0)),""),"")</f>
        <v/>
      </c>
      <c r="W222" s="17">
        <f>IF(S222=1,IFERROR(INDEX(Settings!$D$12:$D$41,MATCH($B222,Settings!$A$12:$A$41,0)),0),0)</f>
        <v>0</v>
      </c>
      <c r="X222" s="18">
        <f t="shared" si="28"/>
        <v>0</v>
      </c>
      <c r="Y222" s="18" t="str">
        <f t="shared" si="29"/>
        <v/>
      </c>
      <c r="Z222" s="15" t="str">
        <f>IF(S222=1,IFERROR(INDEX(Settings!$E$12:$E$41,MATCH($B222,Settings!$A$12:$A$41,0)),"N"),"")</f>
        <v/>
      </c>
      <c r="AA222" s="17">
        <f>IF(S222=1,IFERROR(INDEX(Settings!$F$12:$F$41,MATCH($B222,Settings!$A$12:$A$41,0)),0),0)</f>
        <v>0</v>
      </c>
      <c r="AB222" s="15">
        <f>IF(S222=1,IFERROR(INDEX(Settings!$G$12:$G$41,MATCH($B222,Settings!$A$12:$A$41,0)),0),0)</f>
        <v>0</v>
      </c>
      <c r="AC222" s="18" t="str">
        <f t="shared" si="30"/>
        <v/>
      </c>
      <c r="AD222" s="15" t="str">
        <f t="shared" si="31"/>
        <v/>
      </c>
      <c r="AE222" s="15" t="str">
        <f t="shared" si="32"/>
        <v/>
      </c>
      <c r="AF222" s="15" t="str">
        <f t="shared" si="33"/>
        <v/>
      </c>
      <c r="AG222" s="18">
        <f>IF(AND(S222=1,Z222="Y"),IF(Settings!$B$6="Percentage",IF(AD222=0,0,AC222*AA222*(N222/AD222)),IF(Settings!$B$6="Points",IF(AF222=0,0,AC222*(N222*AB222)/AF222),IF(Settings!$B$6="Equally",IF(AE222=0,0,AC222*N222/AE222),0))),0)</f>
        <v>0</v>
      </c>
      <c r="AH222" s="18" t="str">
        <f t="shared" si="34"/>
        <v/>
      </c>
      <c r="AI222" s="15">
        <f>IF(S222=1,IF(COUNTIFS($R$2:R222,R222,$S$2:S222,1)=1,1,0),0)</f>
        <v>0</v>
      </c>
      <c r="AJ222" s="15">
        <f>SUM($AI$2:AI222)</f>
        <v>12</v>
      </c>
    </row>
    <row r="223" spans="18:36">
      <c r="R223" s="15" t="str">
        <f t="shared" si="35"/>
        <v/>
      </c>
      <c r="S223" s="15">
        <f t="shared" si="27"/>
        <v>0</v>
      </c>
      <c r="T223" s="16" t="str">
        <f>IF(S223=1, DATE(YEAR(Settings!$B$3), MONTH(D223), DAY(D223)), "")</f>
        <v/>
      </c>
      <c r="U223" s="15" t="str">
        <f>IF(S223=1,IFERROR(INDEX(Settings!$B$12:$B$41,MATCH($B223,Settings!$A$12:$A$41,0)),"N"),"")</f>
        <v/>
      </c>
      <c r="V223" s="15" t="str">
        <f>IF(S223=1,IFERROR(INDEX(Settings!$C$12:$C$41,MATCH($B223,Settings!$A$12:$A$41,0)),""),"")</f>
        <v/>
      </c>
      <c r="W223" s="17">
        <f>IF(S223=1,IFERROR(INDEX(Settings!$D$12:$D$41,MATCH($B223,Settings!$A$12:$A$41,0)),0),0)</f>
        <v>0</v>
      </c>
      <c r="X223" s="18">
        <f t="shared" si="28"/>
        <v>0</v>
      </c>
      <c r="Y223" s="18" t="str">
        <f t="shared" si="29"/>
        <v/>
      </c>
      <c r="Z223" s="15" t="str">
        <f>IF(S223=1,IFERROR(INDEX(Settings!$E$12:$E$41,MATCH($B223,Settings!$A$12:$A$41,0)),"N"),"")</f>
        <v/>
      </c>
      <c r="AA223" s="17">
        <f>IF(S223=1,IFERROR(INDEX(Settings!$F$12:$F$41,MATCH($B223,Settings!$A$12:$A$41,0)),0),0)</f>
        <v>0</v>
      </c>
      <c r="AB223" s="15">
        <f>IF(S223=1,IFERROR(INDEX(Settings!$G$12:$G$41,MATCH($B223,Settings!$A$12:$A$41,0)),0),0)</f>
        <v>0</v>
      </c>
      <c r="AC223" s="18" t="str">
        <f t="shared" si="30"/>
        <v/>
      </c>
      <c r="AD223" s="15" t="str">
        <f t="shared" si="31"/>
        <v/>
      </c>
      <c r="AE223" s="15" t="str">
        <f t="shared" si="32"/>
        <v/>
      </c>
      <c r="AF223" s="15" t="str">
        <f t="shared" si="33"/>
        <v/>
      </c>
      <c r="AG223" s="18">
        <f>IF(AND(S223=1,Z223="Y"),IF(Settings!$B$6="Percentage",IF(AD223=0,0,AC223*AA223*(N223/AD223)),IF(Settings!$B$6="Points",IF(AF223=0,0,AC223*(N223*AB223)/AF223),IF(Settings!$B$6="Equally",IF(AE223=0,0,AC223*N223/AE223),0))),0)</f>
        <v>0</v>
      </c>
      <c r="AH223" s="18" t="str">
        <f t="shared" si="34"/>
        <v/>
      </c>
      <c r="AI223" s="15">
        <f>IF(S223=1,IF(COUNTIFS($R$2:R223,R223,$S$2:S223,1)=1,1,0),0)</f>
        <v>0</v>
      </c>
      <c r="AJ223" s="15">
        <f>SUM($AI$2:AI223)</f>
        <v>12</v>
      </c>
    </row>
    <row r="224" spans="18:36">
      <c r="R224" s="15" t="str">
        <f t="shared" si="35"/>
        <v/>
      </c>
      <c r="S224" s="15">
        <f t="shared" si="27"/>
        <v>0</v>
      </c>
      <c r="T224" s="16" t="str">
        <f>IF(S224=1, DATE(YEAR(Settings!$B$3), MONTH(D224), DAY(D224)), "")</f>
        <v/>
      </c>
      <c r="U224" s="15" t="str">
        <f>IF(S224=1,IFERROR(INDEX(Settings!$B$12:$B$41,MATCH($B224,Settings!$A$12:$A$41,0)),"N"),"")</f>
        <v/>
      </c>
      <c r="V224" s="15" t="str">
        <f>IF(S224=1,IFERROR(INDEX(Settings!$C$12:$C$41,MATCH($B224,Settings!$A$12:$A$41,0)),""),"")</f>
        <v/>
      </c>
      <c r="W224" s="17">
        <f>IF(S224=1,IFERROR(INDEX(Settings!$D$12:$D$41,MATCH($B224,Settings!$A$12:$A$41,0)),0),0)</f>
        <v>0</v>
      </c>
      <c r="X224" s="18">
        <f t="shared" si="28"/>
        <v>0</v>
      </c>
      <c r="Y224" s="18" t="str">
        <f t="shared" si="29"/>
        <v/>
      </c>
      <c r="Z224" s="15" t="str">
        <f>IF(S224=1,IFERROR(INDEX(Settings!$E$12:$E$41,MATCH($B224,Settings!$A$12:$A$41,0)),"N"),"")</f>
        <v/>
      </c>
      <c r="AA224" s="17">
        <f>IF(S224=1,IFERROR(INDEX(Settings!$F$12:$F$41,MATCH($B224,Settings!$A$12:$A$41,0)),0),0)</f>
        <v>0</v>
      </c>
      <c r="AB224" s="15">
        <f>IF(S224=1,IFERROR(INDEX(Settings!$G$12:$G$41,MATCH($B224,Settings!$A$12:$A$41,0)),0),0)</f>
        <v>0</v>
      </c>
      <c r="AC224" s="18" t="str">
        <f t="shared" si="30"/>
        <v/>
      </c>
      <c r="AD224" s="15" t="str">
        <f t="shared" si="31"/>
        <v/>
      </c>
      <c r="AE224" s="15" t="str">
        <f t="shared" si="32"/>
        <v/>
      </c>
      <c r="AF224" s="15" t="str">
        <f t="shared" si="33"/>
        <v/>
      </c>
      <c r="AG224" s="18">
        <f>IF(AND(S224=1,Z224="Y"),IF(Settings!$B$6="Percentage",IF(AD224=0,0,AC224*AA224*(N224/AD224)),IF(Settings!$B$6="Points",IF(AF224=0,0,AC224*(N224*AB224)/AF224),IF(Settings!$B$6="Equally",IF(AE224=0,0,AC224*N224/AE224),0))),0)</f>
        <v>0</v>
      </c>
      <c r="AH224" s="18" t="str">
        <f t="shared" si="34"/>
        <v/>
      </c>
      <c r="AI224" s="15">
        <f>IF(S224=1,IF(COUNTIFS($R$2:R224,R224,$S$2:S224,1)=1,1,0),0)</f>
        <v>0</v>
      </c>
      <c r="AJ224" s="15">
        <f>SUM($AI$2:AI224)</f>
        <v>12</v>
      </c>
    </row>
    <row r="225" spans="18:36">
      <c r="R225" s="15" t="str">
        <f t="shared" si="35"/>
        <v/>
      </c>
      <c r="S225" s="15">
        <f t="shared" si="27"/>
        <v>0</v>
      </c>
      <c r="T225" s="16" t="str">
        <f>IF(S225=1, DATE(YEAR(Settings!$B$3), MONTH(D225), DAY(D225)), "")</f>
        <v/>
      </c>
      <c r="U225" s="15" t="str">
        <f>IF(S225=1,IFERROR(INDEX(Settings!$B$12:$B$41,MATCH($B225,Settings!$A$12:$A$41,0)),"N"),"")</f>
        <v/>
      </c>
      <c r="V225" s="15" t="str">
        <f>IF(S225=1,IFERROR(INDEX(Settings!$C$12:$C$41,MATCH($B225,Settings!$A$12:$A$41,0)),""),"")</f>
        <v/>
      </c>
      <c r="W225" s="17">
        <f>IF(S225=1,IFERROR(INDEX(Settings!$D$12:$D$41,MATCH($B225,Settings!$A$12:$A$41,0)),0),0)</f>
        <v>0</v>
      </c>
      <c r="X225" s="18">
        <f t="shared" si="28"/>
        <v>0</v>
      </c>
      <c r="Y225" s="18" t="str">
        <f t="shared" si="29"/>
        <v/>
      </c>
      <c r="Z225" s="15" t="str">
        <f>IF(S225=1,IFERROR(INDEX(Settings!$E$12:$E$41,MATCH($B225,Settings!$A$12:$A$41,0)),"N"),"")</f>
        <v/>
      </c>
      <c r="AA225" s="17">
        <f>IF(S225=1,IFERROR(INDEX(Settings!$F$12:$F$41,MATCH($B225,Settings!$A$12:$A$41,0)),0),0)</f>
        <v>0</v>
      </c>
      <c r="AB225" s="15">
        <f>IF(S225=1,IFERROR(INDEX(Settings!$G$12:$G$41,MATCH($B225,Settings!$A$12:$A$41,0)),0),0)</f>
        <v>0</v>
      </c>
      <c r="AC225" s="18" t="str">
        <f t="shared" si="30"/>
        <v/>
      </c>
      <c r="AD225" s="15" t="str">
        <f t="shared" si="31"/>
        <v/>
      </c>
      <c r="AE225" s="15" t="str">
        <f t="shared" si="32"/>
        <v/>
      </c>
      <c r="AF225" s="15" t="str">
        <f t="shared" si="33"/>
        <v/>
      </c>
      <c r="AG225" s="18">
        <f>IF(AND(S225=1,Z225="Y"),IF(Settings!$B$6="Percentage",IF(AD225=0,0,AC225*AA225*(N225/AD225)),IF(Settings!$B$6="Points",IF(AF225=0,0,AC225*(N225*AB225)/AF225),IF(Settings!$B$6="Equally",IF(AE225=0,0,AC225*N225/AE225),0))),0)</f>
        <v>0</v>
      </c>
      <c r="AH225" s="18" t="str">
        <f t="shared" si="34"/>
        <v/>
      </c>
      <c r="AI225" s="15">
        <f>IF(S225=1,IF(COUNTIFS($R$2:R225,R225,$S$2:S225,1)=1,1,0),0)</f>
        <v>0</v>
      </c>
      <c r="AJ225" s="15">
        <f>SUM($AI$2:AI225)</f>
        <v>12</v>
      </c>
    </row>
    <row r="226" spans="18:36">
      <c r="R226" s="15" t="str">
        <f t="shared" si="35"/>
        <v/>
      </c>
      <c r="S226" s="15">
        <f t="shared" si="27"/>
        <v>0</v>
      </c>
      <c r="T226" s="16" t="str">
        <f>IF(S226=1, DATE(YEAR(Settings!$B$3), MONTH(D226), DAY(D226)), "")</f>
        <v/>
      </c>
      <c r="U226" s="15" t="str">
        <f>IF(S226=1,IFERROR(INDEX(Settings!$B$12:$B$41,MATCH($B226,Settings!$A$12:$A$41,0)),"N"),"")</f>
        <v/>
      </c>
      <c r="V226" s="15" t="str">
        <f>IF(S226=1,IFERROR(INDEX(Settings!$C$12:$C$41,MATCH($B226,Settings!$A$12:$A$41,0)),""),"")</f>
        <v/>
      </c>
      <c r="W226" s="17">
        <f>IF(S226=1,IFERROR(INDEX(Settings!$D$12:$D$41,MATCH($B226,Settings!$A$12:$A$41,0)),0),0)</f>
        <v>0</v>
      </c>
      <c r="X226" s="18">
        <f t="shared" si="28"/>
        <v>0</v>
      </c>
      <c r="Y226" s="18" t="str">
        <f t="shared" si="29"/>
        <v/>
      </c>
      <c r="Z226" s="15" t="str">
        <f>IF(S226=1,IFERROR(INDEX(Settings!$E$12:$E$41,MATCH($B226,Settings!$A$12:$A$41,0)),"N"),"")</f>
        <v/>
      </c>
      <c r="AA226" s="17">
        <f>IF(S226=1,IFERROR(INDEX(Settings!$F$12:$F$41,MATCH($B226,Settings!$A$12:$A$41,0)),0),0)</f>
        <v>0</v>
      </c>
      <c r="AB226" s="15">
        <f>IF(S226=1,IFERROR(INDEX(Settings!$G$12:$G$41,MATCH($B226,Settings!$A$12:$A$41,0)),0),0)</f>
        <v>0</v>
      </c>
      <c r="AC226" s="18" t="str">
        <f t="shared" si="30"/>
        <v/>
      </c>
      <c r="AD226" s="15" t="str">
        <f t="shared" si="31"/>
        <v/>
      </c>
      <c r="AE226" s="15" t="str">
        <f t="shared" si="32"/>
        <v/>
      </c>
      <c r="AF226" s="15" t="str">
        <f t="shared" si="33"/>
        <v/>
      </c>
      <c r="AG226" s="18">
        <f>IF(AND(S226=1,Z226="Y"),IF(Settings!$B$6="Percentage",IF(AD226=0,0,AC226*AA226*(N226/AD226)),IF(Settings!$B$6="Points",IF(AF226=0,0,AC226*(N226*AB226)/AF226),IF(Settings!$B$6="Equally",IF(AE226=0,0,AC226*N226/AE226),0))),0)</f>
        <v>0</v>
      </c>
      <c r="AH226" s="18" t="str">
        <f t="shared" si="34"/>
        <v/>
      </c>
      <c r="AI226" s="15">
        <f>IF(S226=1,IF(COUNTIFS($R$2:R226,R226,$S$2:S226,1)=1,1,0),0)</f>
        <v>0</v>
      </c>
      <c r="AJ226" s="15">
        <f>SUM($AI$2:AI226)</f>
        <v>12</v>
      </c>
    </row>
    <row r="227" spans="18:36">
      <c r="R227" s="15" t="str">
        <f t="shared" si="35"/>
        <v/>
      </c>
      <c r="S227" s="15">
        <f t="shared" si="27"/>
        <v>0</v>
      </c>
      <c r="T227" s="16" t="str">
        <f>IF(S227=1, DATE(YEAR(Settings!$B$3), MONTH(D227), DAY(D227)), "")</f>
        <v/>
      </c>
      <c r="U227" s="15" t="str">
        <f>IF(S227=1,IFERROR(INDEX(Settings!$B$12:$B$41,MATCH($B227,Settings!$A$12:$A$41,0)),"N"),"")</f>
        <v/>
      </c>
      <c r="V227" s="15" t="str">
        <f>IF(S227=1,IFERROR(INDEX(Settings!$C$12:$C$41,MATCH($B227,Settings!$A$12:$A$41,0)),""),"")</f>
        <v/>
      </c>
      <c r="W227" s="17">
        <f>IF(S227=1,IFERROR(INDEX(Settings!$D$12:$D$41,MATCH($B227,Settings!$A$12:$A$41,0)),0),0)</f>
        <v>0</v>
      </c>
      <c r="X227" s="18">
        <f t="shared" si="28"/>
        <v>0</v>
      </c>
      <c r="Y227" s="18" t="str">
        <f t="shared" si="29"/>
        <v/>
      </c>
      <c r="Z227" s="15" t="str">
        <f>IF(S227=1,IFERROR(INDEX(Settings!$E$12:$E$41,MATCH($B227,Settings!$A$12:$A$41,0)),"N"),"")</f>
        <v/>
      </c>
      <c r="AA227" s="17">
        <f>IF(S227=1,IFERROR(INDEX(Settings!$F$12:$F$41,MATCH($B227,Settings!$A$12:$A$41,0)),0),0)</f>
        <v>0</v>
      </c>
      <c r="AB227" s="15">
        <f>IF(S227=1,IFERROR(INDEX(Settings!$G$12:$G$41,MATCH($B227,Settings!$A$12:$A$41,0)),0),0)</f>
        <v>0</v>
      </c>
      <c r="AC227" s="18" t="str">
        <f t="shared" si="30"/>
        <v/>
      </c>
      <c r="AD227" s="15" t="str">
        <f t="shared" si="31"/>
        <v/>
      </c>
      <c r="AE227" s="15" t="str">
        <f t="shared" si="32"/>
        <v/>
      </c>
      <c r="AF227" s="15" t="str">
        <f t="shared" si="33"/>
        <v/>
      </c>
      <c r="AG227" s="18">
        <f>IF(AND(S227=1,Z227="Y"),IF(Settings!$B$6="Percentage",IF(AD227=0,0,AC227*AA227*(N227/AD227)),IF(Settings!$B$6="Points",IF(AF227=0,0,AC227*(N227*AB227)/AF227),IF(Settings!$B$6="Equally",IF(AE227=0,0,AC227*N227/AE227),0))),0)</f>
        <v>0</v>
      </c>
      <c r="AH227" s="18" t="str">
        <f t="shared" si="34"/>
        <v/>
      </c>
      <c r="AI227" s="15">
        <f>IF(S227=1,IF(COUNTIFS($R$2:R227,R227,$S$2:S227,1)=1,1,0),0)</f>
        <v>0</v>
      </c>
      <c r="AJ227" s="15">
        <f>SUM($AI$2:AI227)</f>
        <v>12</v>
      </c>
    </row>
    <row r="228" spans="18:36">
      <c r="R228" s="15" t="str">
        <f t="shared" si="35"/>
        <v/>
      </c>
      <c r="S228" s="15">
        <f t="shared" si="27"/>
        <v>0</v>
      </c>
      <c r="T228" s="16" t="str">
        <f>IF(S228=1, DATE(YEAR(Settings!$B$3), MONTH(D228), DAY(D228)), "")</f>
        <v/>
      </c>
      <c r="U228" s="15" t="str">
        <f>IF(S228=1,IFERROR(INDEX(Settings!$B$12:$B$41,MATCH($B228,Settings!$A$12:$A$41,0)),"N"),"")</f>
        <v/>
      </c>
      <c r="V228" s="15" t="str">
        <f>IF(S228=1,IFERROR(INDEX(Settings!$C$12:$C$41,MATCH($B228,Settings!$A$12:$A$41,0)),""),"")</f>
        <v/>
      </c>
      <c r="W228" s="17">
        <f>IF(S228=1,IFERROR(INDEX(Settings!$D$12:$D$41,MATCH($B228,Settings!$A$12:$A$41,0)),0),0)</f>
        <v>0</v>
      </c>
      <c r="X228" s="18">
        <f t="shared" si="28"/>
        <v>0</v>
      </c>
      <c r="Y228" s="18" t="str">
        <f t="shared" si="29"/>
        <v/>
      </c>
      <c r="Z228" s="15" t="str">
        <f>IF(S228=1,IFERROR(INDEX(Settings!$E$12:$E$41,MATCH($B228,Settings!$A$12:$A$41,0)),"N"),"")</f>
        <v/>
      </c>
      <c r="AA228" s="17">
        <f>IF(S228=1,IFERROR(INDEX(Settings!$F$12:$F$41,MATCH($B228,Settings!$A$12:$A$41,0)),0),0)</f>
        <v>0</v>
      </c>
      <c r="AB228" s="15">
        <f>IF(S228=1,IFERROR(INDEX(Settings!$G$12:$G$41,MATCH($B228,Settings!$A$12:$A$41,0)),0),0)</f>
        <v>0</v>
      </c>
      <c r="AC228" s="18" t="str">
        <f t="shared" si="30"/>
        <v/>
      </c>
      <c r="AD228" s="15" t="str">
        <f t="shared" si="31"/>
        <v/>
      </c>
      <c r="AE228" s="15" t="str">
        <f t="shared" si="32"/>
        <v/>
      </c>
      <c r="AF228" s="15" t="str">
        <f t="shared" si="33"/>
        <v/>
      </c>
      <c r="AG228" s="18">
        <f>IF(AND(S228=1,Z228="Y"),IF(Settings!$B$6="Percentage",IF(AD228=0,0,AC228*AA228*(N228/AD228)),IF(Settings!$B$6="Points",IF(AF228=0,0,AC228*(N228*AB228)/AF228),IF(Settings!$B$6="Equally",IF(AE228=0,0,AC228*N228/AE228),0))),0)</f>
        <v>0</v>
      </c>
      <c r="AH228" s="18" t="str">
        <f t="shared" si="34"/>
        <v/>
      </c>
      <c r="AI228" s="15">
        <f>IF(S228=1,IF(COUNTIFS($R$2:R228,R228,$S$2:S228,1)=1,1,0),0)</f>
        <v>0</v>
      </c>
      <c r="AJ228" s="15">
        <f>SUM($AI$2:AI228)</f>
        <v>12</v>
      </c>
    </row>
    <row r="229" spans="18:36">
      <c r="R229" s="15" t="str">
        <f t="shared" si="35"/>
        <v/>
      </c>
      <c r="S229" s="15">
        <f t="shared" si="27"/>
        <v>0</v>
      </c>
      <c r="T229" s="16" t="str">
        <f>IF(S229=1, DATE(YEAR(Settings!$B$3), MONTH(D229), DAY(D229)), "")</f>
        <v/>
      </c>
      <c r="U229" s="15" t="str">
        <f>IF(S229=1,IFERROR(INDEX(Settings!$B$12:$B$41,MATCH($B229,Settings!$A$12:$A$41,0)),"N"),"")</f>
        <v/>
      </c>
      <c r="V229" s="15" t="str">
        <f>IF(S229=1,IFERROR(INDEX(Settings!$C$12:$C$41,MATCH($B229,Settings!$A$12:$A$41,0)),""),"")</f>
        <v/>
      </c>
      <c r="W229" s="17">
        <f>IF(S229=1,IFERROR(INDEX(Settings!$D$12:$D$41,MATCH($B229,Settings!$A$12:$A$41,0)),0),0)</f>
        <v>0</v>
      </c>
      <c r="X229" s="18">
        <f t="shared" si="28"/>
        <v>0</v>
      </c>
      <c r="Y229" s="18" t="str">
        <f t="shared" si="29"/>
        <v/>
      </c>
      <c r="Z229" s="15" t="str">
        <f>IF(S229=1,IFERROR(INDEX(Settings!$E$12:$E$41,MATCH($B229,Settings!$A$12:$A$41,0)),"N"),"")</f>
        <v/>
      </c>
      <c r="AA229" s="17">
        <f>IF(S229=1,IFERROR(INDEX(Settings!$F$12:$F$41,MATCH($B229,Settings!$A$12:$A$41,0)),0),0)</f>
        <v>0</v>
      </c>
      <c r="AB229" s="15">
        <f>IF(S229=1,IFERROR(INDEX(Settings!$G$12:$G$41,MATCH($B229,Settings!$A$12:$A$41,0)),0),0)</f>
        <v>0</v>
      </c>
      <c r="AC229" s="18" t="str">
        <f t="shared" si="30"/>
        <v/>
      </c>
      <c r="AD229" s="15" t="str">
        <f t="shared" si="31"/>
        <v/>
      </c>
      <c r="AE229" s="15" t="str">
        <f t="shared" si="32"/>
        <v/>
      </c>
      <c r="AF229" s="15" t="str">
        <f t="shared" si="33"/>
        <v/>
      </c>
      <c r="AG229" s="18">
        <f>IF(AND(S229=1,Z229="Y"),IF(Settings!$B$6="Percentage",IF(AD229=0,0,AC229*AA229*(N229/AD229)),IF(Settings!$B$6="Points",IF(AF229=0,0,AC229*(N229*AB229)/AF229),IF(Settings!$B$6="Equally",IF(AE229=0,0,AC229*N229/AE229),0))),0)</f>
        <v>0</v>
      </c>
      <c r="AH229" s="18" t="str">
        <f t="shared" si="34"/>
        <v/>
      </c>
      <c r="AI229" s="15">
        <f>IF(S229=1,IF(COUNTIFS($R$2:R229,R229,$S$2:S229,1)=1,1,0),0)</f>
        <v>0</v>
      </c>
      <c r="AJ229" s="15">
        <f>SUM($AI$2:AI229)</f>
        <v>12</v>
      </c>
    </row>
    <row r="230" spans="18:36">
      <c r="R230" s="15" t="str">
        <f t="shared" si="35"/>
        <v/>
      </c>
      <c r="S230" s="15">
        <f t="shared" si="27"/>
        <v>0</v>
      </c>
      <c r="T230" s="16" t="str">
        <f>IF(S230=1, DATE(YEAR(Settings!$B$3), MONTH(D230), DAY(D230)), "")</f>
        <v/>
      </c>
      <c r="U230" s="15" t="str">
        <f>IF(S230=1,IFERROR(INDEX(Settings!$B$12:$B$41,MATCH($B230,Settings!$A$12:$A$41,0)),"N"),"")</f>
        <v/>
      </c>
      <c r="V230" s="15" t="str">
        <f>IF(S230=1,IFERROR(INDEX(Settings!$C$12:$C$41,MATCH($B230,Settings!$A$12:$A$41,0)),""),"")</f>
        <v/>
      </c>
      <c r="W230" s="17">
        <f>IF(S230=1,IFERROR(INDEX(Settings!$D$12:$D$41,MATCH($B230,Settings!$A$12:$A$41,0)),0),0)</f>
        <v>0</v>
      </c>
      <c r="X230" s="18">
        <f t="shared" si="28"/>
        <v>0</v>
      </c>
      <c r="Y230" s="18" t="str">
        <f t="shared" si="29"/>
        <v/>
      </c>
      <c r="Z230" s="15" t="str">
        <f>IF(S230=1,IFERROR(INDEX(Settings!$E$12:$E$41,MATCH($B230,Settings!$A$12:$A$41,0)),"N"),"")</f>
        <v/>
      </c>
      <c r="AA230" s="17">
        <f>IF(S230=1,IFERROR(INDEX(Settings!$F$12:$F$41,MATCH($B230,Settings!$A$12:$A$41,0)),0),0)</f>
        <v>0</v>
      </c>
      <c r="AB230" s="15">
        <f>IF(S230=1,IFERROR(INDEX(Settings!$G$12:$G$41,MATCH($B230,Settings!$A$12:$A$41,0)),0),0)</f>
        <v>0</v>
      </c>
      <c r="AC230" s="18" t="str">
        <f t="shared" si="30"/>
        <v/>
      </c>
      <c r="AD230" s="15" t="str">
        <f t="shared" si="31"/>
        <v/>
      </c>
      <c r="AE230" s="15" t="str">
        <f t="shared" si="32"/>
        <v/>
      </c>
      <c r="AF230" s="15" t="str">
        <f t="shared" si="33"/>
        <v/>
      </c>
      <c r="AG230" s="18">
        <f>IF(AND(S230=1,Z230="Y"),IF(Settings!$B$6="Percentage",IF(AD230=0,0,AC230*AA230*(N230/AD230)),IF(Settings!$B$6="Points",IF(AF230=0,0,AC230*(N230*AB230)/AF230),IF(Settings!$B$6="Equally",IF(AE230=0,0,AC230*N230/AE230),0))),0)</f>
        <v>0</v>
      </c>
      <c r="AH230" s="18" t="str">
        <f t="shared" si="34"/>
        <v/>
      </c>
      <c r="AI230" s="15">
        <f>IF(S230=1,IF(COUNTIFS($R$2:R230,R230,$S$2:S230,1)=1,1,0),0)</f>
        <v>0</v>
      </c>
      <c r="AJ230" s="15">
        <f>SUM($AI$2:AI230)</f>
        <v>12</v>
      </c>
    </row>
    <row r="231" spans="18:36">
      <c r="R231" s="15" t="str">
        <f t="shared" si="35"/>
        <v/>
      </c>
      <c r="S231" s="15">
        <f t="shared" si="27"/>
        <v>0</v>
      </c>
      <c r="T231" s="16" t="str">
        <f>IF(S231=1, DATE(YEAR(Settings!$B$3), MONTH(D231), DAY(D231)), "")</f>
        <v/>
      </c>
      <c r="U231" s="15" t="str">
        <f>IF(S231=1,IFERROR(INDEX(Settings!$B$12:$B$41,MATCH($B231,Settings!$A$12:$A$41,0)),"N"),"")</f>
        <v/>
      </c>
      <c r="V231" s="15" t="str">
        <f>IF(S231=1,IFERROR(INDEX(Settings!$C$12:$C$41,MATCH($B231,Settings!$A$12:$A$41,0)),""),"")</f>
        <v/>
      </c>
      <c r="W231" s="17">
        <f>IF(S231=1,IFERROR(INDEX(Settings!$D$12:$D$41,MATCH($B231,Settings!$A$12:$A$41,0)),0),0)</f>
        <v>0</v>
      </c>
      <c r="X231" s="18">
        <f t="shared" si="28"/>
        <v>0</v>
      </c>
      <c r="Y231" s="18" t="str">
        <f t="shared" si="29"/>
        <v/>
      </c>
      <c r="Z231" s="15" t="str">
        <f>IF(S231=1,IFERROR(INDEX(Settings!$E$12:$E$41,MATCH($B231,Settings!$A$12:$A$41,0)),"N"),"")</f>
        <v/>
      </c>
      <c r="AA231" s="17">
        <f>IF(S231=1,IFERROR(INDEX(Settings!$F$12:$F$41,MATCH($B231,Settings!$A$12:$A$41,0)),0),0)</f>
        <v>0</v>
      </c>
      <c r="AB231" s="15">
        <f>IF(S231=1,IFERROR(INDEX(Settings!$G$12:$G$41,MATCH($B231,Settings!$A$12:$A$41,0)),0),0)</f>
        <v>0</v>
      </c>
      <c r="AC231" s="18" t="str">
        <f t="shared" si="30"/>
        <v/>
      </c>
      <c r="AD231" s="15" t="str">
        <f t="shared" si="31"/>
        <v/>
      </c>
      <c r="AE231" s="15" t="str">
        <f t="shared" si="32"/>
        <v/>
      </c>
      <c r="AF231" s="15" t="str">
        <f t="shared" si="33"/>
        <v/>
      </c>
      <c r="AG231" s="18">
        <f>IF(AND(S231=1,Z231="Y"),IF(Settings!$B$6="Percentage",IF(AD231=0,0,AC231*AA231*(N231/AD231)),IF(Settings!$B$6="Points",IF(AF231=0,0,AC231*(N231*AB231)/AF231),IF(Settings!$B$6="Equally",IF(AE231=0,0,AC231*N231/AE231),0))),0)</f>
        <v>0</v>
      </c>
      <c r="AH231" s="18" t="str">
        <f t="shared" si="34"/>
        <v/>
      </c>
      <c r="AI231" s="15">
        <f>IF(S231=1,IF(COUNTIFS($R$2:R231,R231,$S$2:S231,1)=1,1,0),0)</f>
        <v>0</v>
      </c>
      <c r="AJ231" s="15">
        <f>SUM($AI$2:AI231)</f>
        <v>12</v>
      </c>
    </row>
    <row r="232" spans="18:36">
      <c r="R232" s="15" t="str">
        <f t="shared" si="35"/>
        <v/>
      </c>
      <c r="S232" s="15">
        <f t="shared" si="27"/>
        <v>0</v>
      </c>
      <c r="T232" s="16" t="str">
        <f>IF(S232=1, DATE(YEAR(Settings!$B$3), MONTH(D232), DAY(D232)), "")</f>
        <v/>
      </c>
      <c r="U232" s="15" t="str">
        <f>IF(S232=1,IFERROR(INDEX(Settings!$B$12:$B$41,MATCH($B232,Settings!$A$12:$A$41,0)),"N"),"")</f>
        <v/>
      </c>
      <c r="V232" s="15" t="str">
        <f>IF(S232=1,IFERROR(INDEX(Settings!$C$12:$C$41,MATCH($B232,Settings!$A$12:$A$41,0)),""),"")</f>
        <v/>
      </c>
      <c r="W232" s="17">
        <f>IF(S232=1,IFERROR(INDEX(Settings!$D$12:$D$41,MATCH($B232,Settings!$A$12:$A$41,0)),0),0)</f>
        <v>0</v>
      </c>
      <c r="X232" s="18">
        <f t="shared" si="28"/>
        <v>0</v>
      </c>
      <c r="Y232" s="18" t="str">
        <f t="shared" si="29"/>
        <v/>
      </c>
      <c r="Z232" s="15" t="str">
        <f>IF(S232=1,IFERROR(INDEX(Settings!$E$12:$E$41,MATCH($B232,Settings!$A$12:$A$41,0)),"N"),"")</f>
        <v/>
      </c>
      <c r="AA232" s="17">
        <f>IF(S232=1,IFERROR(INDEX(Settings!$F$12:$F$41,MATCH($B232,Settings!$A$12:$A$41,0)),0),0)</f>
        <v>0</v>
      </c>
      <c r="AB232" s="15">
        <f>IF(S232=1,IFERROR(INDEX(Settings!$G$12:$G$41,MATCH($B232,Settings!$A$12:$A$41,0)),0),0)</f>
        <v>0</v>
      </c>
      <c r="AC232" s="18" t="str">
        <f t="shared" si="30"/>
        <v/>
      </c>
      <c r="AD232" s="15" t="str">
        <f t="shared" si="31"/>
        <v/>
      </c>
      <c r="AE232" s="15" t="str">
        <f t="shared" si="32"/>
        <v/>
      </c>
      <c r="AF232" s="15" t="str">
        <f t="shared" si="33"/>
        <v/>
      </c>
      <c r="AG232" s="18">
        <f>IF(AND(S232=1,Z232="Y"),IF(Settings!$B$6="Percentage",IF(AD232=0,0,AC232*AA232*(N232/AD232)),IF(Settings!$B$6="Points",IF(AF232=0,0,AC232*(N232*AB232)/AF232),IF(Settings!$B$6="Equally",IF(AE232=0,0,AC232*N232/AE232),0))),0)</f>
        <v>0</v>
      </c>
      <c r="AH232" s="18" t="str">
        <f t="shared" si="34"/>
        <v/>
      </c>
      <c r="AI232" s="15">
        <f>IF(S232=1,IF(COUNTIFS($R$2:R232,R232,$S$2:S232,1)=1,1,0),0)</f>
        <v>0</v>
      </c>
      <c r="AJ232" s="15">
        <f>SUM($AI$2:AI232)</f>
        <v>12</v>
      </c>
    </row>
    <row r="233" spans="18:36">
      <c r="R233" s="15" t="str">
        <f t="shared" si="35"/>
        <v/>
      </c>
      <c r="S233" s="15">
        <f t="shared" si="27"/>
        <v>0</v>
      </c>
      <c r="T233" s="16" t="str">
        <f>IF(S233=1, DATE(YEAR(Settings!$B$3), MONTH(D233), DAY(D233)), "")</f>
        <v/>
      </c>
      <c r="U233" s="15" t="str">
        <f>IF(S233=1,IFERROR(INDEX(Settings!$B$12:$B$41,MATCH($B233,Settings!$A$12:$A$41,0)),"N"),"")</f>
        <v/>
      </c>
      <c r="V233" s="15" t="str">
        <f>IF(S233=1,IFERROR(INDEX(Settings!$C$12:$C$41,MATCH($B233,Settings!$A$12:$A$41,0)),""),"")</f>
        <v/>
      </c>
      <c r="W233" s="17">
        <f>IF(S233=1,IFERROR(INDEX(Settings!$D$12:$D$41,MATCH($B233,Settings!$A$12:$A$41,0)),0),0)</f>
        <v>0</v>
      </c>
      <c r="X233" s="18">
        <f t="shared" si="28"/>
        <v>0</v>
      </c>
      <c r="Y233" s="18" t="str">
        <f t="shared" si="29"/>
        <v/>
      </c>
      <c r="Z233" s="15" t="str">
        <f>IF(S233=1,IFERROR(INDEX(Settings!$E$12:$E$41,MATCH($B233,Settings!$A$12:$A$41,0)),"N"),"")</f>
        <v/>
      </c>
      <c r="AA233" s="17">
        <f>IF(S233=1,IFERROR(INDEX(Settings!$F$12:$F$41,MATCH($B233,Settings!$A$12:$A$41,0)),0),0)</f>
        <v>0</v>
      </c>
      <c r="AB233" s="15">
        <f>IF(S233=1,IFERROR(INDEX(Settings!$G$12:$G$41,MATCH($B233,Settings!$A$12:$A$41,0)),0),0)</f>
        <v>0</v>
      </c>
      <c r="AC233" s="18" t="str">
        <f t="shared" si="30"/>
        <v/>
      </c>
      <c r="AD233" s="15" t="str">
        <f t="shared" si="31"/>
        <v/>
      </c>
      <c r="AE233" s="15" t="str">
        <f t="shared" si="32"/>
        <v/>
      </c>
      <c r="AF233" s="15" t="str">
        <f t="shared" si="33"/>
        <v/>
      </c>
      <c r="AG233" s="18">
        <f>IF(AND(S233=1,Z233="Y"),IF(Settings!$B$6="Percentage",IF(AD233=0,0,AC233*AA233*(N233/AD233)),IF(Settings!$B$6="Points",IF(AF233=0,0,AC233*(N233*AB233)/AF233),IF(Settings!$B$6="Equally",IF(AE233=0,0,AC233*N233/AE233),0))),0)</f>
        <v>0</v>
      </c>
      <c r="AH233" s="18" t="str">
        <f t="shared" si="34"/>
        <v/>
      </c>
      <c r="AI233" s="15">
        <f>IF(S233=1,IF(COUNTIFS($R$2:R233,R233,$S$2:S233,1)=1,1,0),0)</f>
        <v>0</v>
      </c>
      <c r="AJ233" s="15">
        <f>SUM($AI$2:AI233)</f>
        <v>12</v>
      </c>
    </row>
    <row r="234" spans="18:36">
      <c r="R234" s="15" t="str">
        <f t="shared" si="35"/>
        <v/>
      </c>
      <c r="S234" s="15">
        <f t="shared" si="27"/>
        <v>0</v>
      </c>
      <c r="T234" s="16" t="str">
        <f>IF(S234=1, DATE(YEAR(Settings!$B$3), MONTH(D234), DAY(D234)), "")</f>
        <v/>
      </c>
      <c r="U234" s="15" t="str">
        <f>IF(S234=1,IFERROR(INDEX(Settings!$B$12:$B$41,MATCH($B234,Settings!$A$12:$A$41,0)),"N"),"")</f>
        <v/>
      </c>
      <c r="V234" s="15" t="str">
        <f>IF(S234=1,IFERROR(INDEX(Settings!$C$12:$C$41,MATCH($B234,Settings!$A$12:$A$41,0)),""),"")</f>
        <v/>
      </c>
      <c r="W234" s="17">
        <f>IF(S234=1,IFERROR(INDEX(Settings!$D$12:$D$41,MATCH($B234,Settings!$A$12:$A$41,0)),0),0)</f>
        <v>0</v>
      </c>
      <c r="X234" s="18">
        <f t="shared" si="28"/>
        <v>0</v>
      </c>
      <c r="Y234" s="18" t="str">
        <f t="shared" si="29"/>
        <v/>
      </c>
      <c r="Z234" s="15" t="str">
        <f>IF(S234=1,IFERROR(INDEX(Settings!$E$12:$E$41,MATCH($B234,Settings!$A$12:$A$41,0)),"N"),"")</f>
        <v/>
      </c>
      <c r="AA234" s="17">
        <f>IF(S234=1,IFERROR(INDEX(Settings!$F$12:$F$41,MATCH($B234,Settings!$A$12:$A$41,0)),0),0)</f>
        <v>0</v>
      </c>
      <c r="AB234" s="15">
        <f>IF(S234=1,IFERROR(INDEX(Settings!$G$12:$G$41,MATCH($B234,Settings!$A$12:$A$41,0)),0),0)</f>
        <v>0</v>
      </c>
      <c r="AC234" s="18" t="str">
        <f t="shared" si="30"/>
        <v/>
      </c>
      <c r="AD234" s="15" t="str">
        <f t="shared" si="31"/>
        <v/>
      </c>
      <c r="AE234" s="15" t="str">
        <f t="shared" si="32"/>
        <v/>
      </c>
      <c r="AF234" s="15" t="str">
        <f t="shared" si="33"/>
        <v/>
      </c>
      <c r="AG234" s="18">
        <f>IF(AND(S234=1,Z234="Y"),IF(Settings!$B$6="Percentage",IF(AD234=0,0,AC234*AA234*(N234/AD234)),IF(Settings!$B$6="Points",IF(AF234=0,0,AC234*(N234*AB234)/AF234),IF(Settings!$B$6="Equally",IF(AE234=0,0,AC234*N234/AE234),0))),0)</f>
        <v>0</v>
      </c>
      <c r="AH234" s="18" t="str">
        <f t="shared" si="34"/>
        <v/>
      </c>
      <c r="AI234" s="15">
        <f>IF(S234=1,IF(COUNTIFS($R$2:R234,R234,$S$2:S234,1)=1,1,0),0)</f>
        <v>0</v>
      </c>
      <c r="AJ234" s="15">
        <f>SUM($AI$2:AI234)</f>
        <v>12</v>
      </c>
    </row>
    <row r="235" spans="18:36">
      <c r="R235" s="15" t="str">
        <f t="shared" si="35"/>
        <v/>
      </c>
      <c r="S235" s="15">
        <f t="shared" si="27"/>
        <v>0</v>
      </c>
      <c r="T235" s="16" t="str">
        <f>IF(S235=1, DATE(YEAR(Settings!$B$3), MONTH(D235), DAY(D235)), "")</f>
        <v/>
      </c>
      <c r="U235" s="15" t="str">
        <f>IF(S235=1,IFERROR(INDEX(Settings!$B$12:$B$41,MATCH($B235,Settings!$A$12:$A$41,0)),"N"),"")</f>
        <v/>
      </c>
      <c r="V235" s="15" t="str">
        <f>IF(S235=1,IFERROR(INDEX(Settings!$C$12:$C$41,MATCH($B235,Settings!$A$12:$A$41,0)),""),"")</f>
        <v/>
      </c>
      <c r="W235" s="17">
        <f>IF(S235=1,IFERROR(INDEX(Settings!$D$12:$D$41,MATCH($B235,Settings!$A$12:$A$41,0)),0),0)</f>
        <v>0</v>
      </c>
      <c r="X235" s="18">
        <f t="shared" si="28"/>
        <v>0</v>
      </c>
      <c r="Y235" s="18" t="str">
        <f t="shared" si="29"/>
        <v/>
      </c>
      <c r="Z235" s="15" t="str">
        <f>IF(S235=1,IFERROR(INDEX(Settings!$E$12:$E$41,MATCH($B235,Settings!$A$12:$A$41,0)),"N"),"")</f>
        <v/>
      </c>
      <c r="AA235" s="17">
        <f>IF(S235=1,IFERROR(INDEX(Settings!$F$12:$F$41,MATCH($B235,Settings!$A$12:$A$41,0)),0),0)</f>
        <v>0</v>
      </c>
      <c r="AB235" s="15">
        <f>IF(S235=1,IFERROR(INDEX(Settings!$G$12:$G$41,MATCH($B235,Settings!$A$12:$A$41,0)),0),0)</f>
        <v>0</v>
      </c>
      <c r="AC235" s="18" t="str">
        <f t="shared" si="30"/>
        <v/>
      </c>
      <c r="AD235" s="15" t="str">
        <f t="shared" si="31"/>
        <v/>
      </c>
      <c r="AE235" s="15" t="str">
        <f t="shared" si="32"/>
        <v/>
      </c>
      <c r="AF235" s="15" t="str">
        <f t="shared" si="33"/>
        <v/>
      </c>
      <c r="AG235" s="18">
        <f>IF(AND(S235=1,Z235="Y"),IF(Settings!$B$6="Percentage",IF(AD235=0,0,AC235*AA235*(N235/AD235)),IF(Settings!$B$6="Points",IF(AF235=0,0,AC235*(N235*AB235)/AF235),IF(Settings!$B$6="Equally",IF(AE235=0,0,AC235*N235/AE235),0))),0)</f>
        <v>0</v>
      </c>
      <c r="AH235" s="18" t="str">
        <f t="shared" si="34"/>
        <v/>
      </c>
      <c r="AI235" s="15">
        <f>IF(S235=1,IF(COUNTIFS($R$2:R235,R235,$S$2:S235,1)=1,1,0),0)</f>
        <v>0</v>
      </c>
      <c r="AJ235" s="15">
        <f>SUM($AI$2:AI235)</f>
        <v>12</v>
      </c>
    </row>
    <row r="236" spans="18:36">
      <c r="R236" s="15" t="str">
        <f t="shared" si="35"/>
        <v/>
      </c>
      <c r="S236" s="15">
        <f t="shared" si="27"/>
        <v>0</v>
      </c>
      <c r="T236" s="16" t="str">
        <f>IF(S236=1, DATE(YEAR(Settings!$B$3), MONTH(D236), DAY(D236)), "")</f>
        <v/>
      </c>
      <c r="U236" s="15" t="str">
        <f>IF(S236=1,IFERROR(INDEX(Settings!$B$12:$B$41,MATCH($B236,Settings!$A$12:$A$41,0)),"N"),"")</f>
        <v/>
      </c>
      <c r="V236" s="15" t="str">
        <f>IF(S236=1,IFERROR(INDEX(Settings!$C$12:$C$41,MATCH($B236,Settings!$A$12:$A$41,0)),""),"")</f>
        <v/>
      </c>
      <c r="W236" s="17">
        <f>IF(S236=1,IFERROR(INDEX(Settings!$D$12:$D$41,MATCH($B236,Settings!$A$12:$A$41,0)),0),0)</f>
        <v>0</v>
      </c>
      <c r="X236" s="18">
        <f t="shared" si="28"/>
        <v>0</v>
      </c>
      <c r="Y236" s="18" t="str">
        <f t="shared" si="29"/>
        <v/>
      </c>
      <c r="Z236" s="15" t="str">
        <f>IF(S236=1,IFERROR(INDEX(Settings!$E$12:$E$41,MATCH($B236,Settings!$A$12:$A$41,0)),"N"),"")</f>
        <v/>
      </c>
      <c r="AA236" s="17">
        <f>IF(S236=1,IFERROR(INDEX(Settings!$F$12:$F$41,MATCH($B236,Settings!$A$12:$A$41,0)),0),0)</f>
        <v>0</v>
      </c>
      <c r="AB236" s="15">
        <f>IF(S236=1,IFERROR(INDEX(Settings!$G$12:$G$41,MATCH($B236,Settings!$A$12:$A$41,0)),0),0)</f>
        <v>0</v>
      </c>
      <c r="AC236" s="18" t="str">
        <f t="shared" si="30"/>
        <v/>
      </c>
      <c r="AD236" s="15" t="str">
        <f t="shared" si="31"/>
        <v/>
      </c>
      <c r="AE236" s="15" t="str">
        <f t="shared" si="32"/>
        <v/>
      </c>
      <c r="AF236" s="15" t="str">
        <f t="shared" si="33"/>
        <v/>
      </c>
      <c r="AG236" s="18">
        <f>IF(AND(S236=1,Z236="Y"),IF(Settings!$B$6="Percentage",IF(AD236=0,0,AC236*AA236*(N236/AD236)),IF(Settings!$B$6="Points",IF(AF236=0,0,AC236*(N236*AB236)/AF236),IF(Settings!$B$6="Equally",IF(AE236=0,0,AC236*N236/AE236),0))),0)</f>
        <v>0</v>
      </c>
      <c r="AH236" s="18" t="str">
        <f t="shared" si="34"/>
        <v/>
      </c>
      <c r="AI236" s="15">
        <f>IF(S236=1,IF(COUNTIFS($R$2:R236,R236,$S$2:S236,1)=1,1,0),0)</f>
        <v>0</v>
      </c>
      <c r="AJ236" s="15">
        <f>SUM($AI$2:AI236)</f>
        <v>12</v>
      </c>
    </row>
    <row r="237" spans="18:36">
      <c r="R237" s="15" t="str">
        <f t="shared" si="35"/>
        <v/>
      </c>
      <c r="S237" s="15">
        <f t="shared" si="27"/>
        <v>0</v>
      </c>
      <c r="T237" s="16" t="str">
        <f>IF(S237=1, DATE(YEAR(Settings!$B$3), MONTH(D237), DAY(D237)), "")</f>
        <v/>
      </c>
      <c r="U237" s="15" t="str">
        <f>IF(S237=1,IFERROR(INDEX(Settings!$B$12:$B$41,MATCH($B237,Settings!$A$12:$A$41,0)),"N"),"")</f>
        <v/>
      </c>
      <c r="V237" s="15" t="str">
        <f>IF(S237=1,IFERROR(INDEX(Settings!$C$12:$C$41,MATCH($B237,Settings!$A$12:$A$41,0)),""),"")</f>
        <v/>
      </c>
      <c r="W237" s="17">
        <f>IF(S237=1,IFERROR(INDEX(Settings!$D$12:$D$41,MATCH($B237,Settings!$A$12:$A$41,0)),0),0)</f>
        <v>0</v>
      </c>
      <c r="X237" s="18">
        <f t="shared" si="28"/>
        <v>0</v>
      </c>
      <c r="Y237" s="18" t="str">
        <f t="shared" si="29"/>
        <v/>
      </c>
      <c r="Z237" s="15" t="str">
        <f>IF(S237=1,IFERROR(INDEX(Settings!$E$12:$E$41,MATCH($B237,Settings!$A$12:$A$41,0)),"N"),"")</f>
        <v/>
      </c>
      <c r="AA237" s="17">
        <f>IF(S237=1,IFERROR(INDEX(Settings!$F$12:$F$41,MATCH($B237,Settings!$A$12:$A$41,0)),0),0)</f>
        <v>0</v>
      </c>
      <c r="AB237" s="15">
        <f>IF(S237=1,IFERROR(INDEX(Settings!$G$12:$G$41,MATCH($B237,Settings!$A$12:$A$41,0)),0),0)</f>
        <v>0</v>
      </c>
      <c r="AC237" s="18" t="str">
        <f t="shared" si="30"/>
        <v/>
      </c>
      <c r="AD237" s="15" t="str">
        <f t="shared" si="31"/>
        <v/>
      </c>
      <c r="AE237" s="15" t="str">
        <f t="shared" si="32"/>
        <v/>
      </c>
      <c r="AF237" s="15" t="str">
        <f t="shared" si="33"/>
        <v/>
      </c>
      <c r="AG237" s="18">
        <f>IF(AND(S237=1,Z237="Y"),IF(Settings!$B$6="Percentage",IF(AD237=0,0,AC237*AA237*(N237/AD237)),IF(Settings!$B$6="Points",IF(AF237=0,0,AC237*(N237*AB237)/AF237),IF(Settings!$B$6="Equally",IF(AE237=0,0,AC237*N237/AE237),0))),0)</f>
        <v>0</v>
      </c>
      <c r="AH237" s="18" t="str">
        <f t="shared" si="34"/>
        <v/>
      </c>
      <c r="AI237" s="15">
        <f>IF(S237=1,IF(COUNTIFS($R$2:R237,R237,$S$2:S237,1)=1,1,0),0)</f>
        <v>0</v>
      </c>
      <c r="AJ237" s="15">
        <f>SUM($AI$2:AI237)</f>
        <v>12</v>
      </c>
    </row>
    <row r="238" spans="18:36">
      <c r="R238" s="15" t="str">
        <f t="shared" si="35"/>
        <v/>
      </c>
      <c r="S238" s="15">
        <f t="shared" si="27"/>
        <v>0</v>
      </c>
      <c r="T238" s="16" t="str">
        <f>IF(S238=1, DATE(YEAR(Settings!$B$3), MONTH(D238), DAY(D238)), "")</f>
        <v/>
      </c>
      <c r="U238" s="15" t="str">
        <f>IF(S238=1,IFERROR(INDEX(Settings!$B$12:$B$41,MATCH($B238,Settings!$A$12:$A$41,0)),"N"),"")</f>
        <v/>
      </c>
      <c r="V238" s="15" t="str">
        <f>IF(S238=1,IFERROR(INDEX(Settings!$C$12:$C$41,MATCH($B238,Settings!$A$12:$A$41,0)),""),"")</f>
        <v/>
      </c>
      <c r="W238" s="17">
        <f>IF(S238=1,IFERROR(INDEX(Settings!$D$12:$D$41,MATCH($B238,Settings!$A$12:$A$41,0)),0),0)</f>
        <v>0</v>
      </c>
      <c r="X238" s="18">
        <f t="shared" si="28"/>
        <v>0</v>
      </c>
      <c r="Y238" s="18" t="str">
        <f t="shared" si="29"/>
        <v/>
      </c>
      <c r="Z238" s="15" t="str">
        <f>IF(S238=1,IFERROR(INDEX(Settings!$E$12:$E$41,MATCH($B238,Settings!$A$12:$A$41,0)),"N"),"")</f>
        <v/>
      </c>
      <c r="AA238" s="17">
        <f>IF(S238=1,IFERROR(INDEX(Settings!$F$12:$F$41,MATCH($B238,Settings!$A$12:$A$41,0)),0),0)</f>
        <v>0</v>
      </c>
      <c r="AB238" s="15">
        <f>IF(S238=1,IFERROR(INDEX(Settings!$G$12:$G$41,MATCH($B238,Settings!$A$12:$A$41,0)),0),0)</f>
        <v>0</v>
      </c>
      <c r="AC238" s="18" t="str">
        <f t="shared" si="30"/>
        <v/>
      </c>
      <c r="AD238" s="15" t="str">
        <f t="shared" si="31"/>
        <v/>
      </c>
      <c r="AE238" s="15" t="str">
        <f t="shared" si="32"/>
        <v/>
      </c>
      <c r="AF238" s="15" t="str">
        <f t="shared" si="33"/>
        <v/>
      </c>
      <c r="AG238" s="18">
        <f>IF(AND(S238=1,Z238="Y"),IF(Settings!$B$6="Percentage",IF(AD238=0,0,AC238*AA238*(N238/AD238)),IF(Settings!$B$6="Points",IF(AF238=0,0,AC238*(N238*AB238)/AF238),IF(Settings!$B$6="Equally",IF(AE238=0,0,AC238*N238/AE238),0))),0)</f>
        <v>0</v>
      </c>
      <c r="AH238" s="18" t="str">
        <f t="shared" si="34"/>
        <v/>
      </c>
      <c r="AI238" s="15">
        <f>IF(S238=1,IF(COUNTIFS($R$2:R238,R238,$S$2:S238,1)=1,1,0),0)</f>
        <v>0</v>
      </c>
      <c r="AJ238" s="15">
        <f>SUM($AI$2:AI238)</f>
        <v>12</v>
      </c>
    </row>
    <row r="239" spans="18:36">
      <c r="R239" s="15" t="str">
        <f t="shared" si="35"/>
        <v/>
      </c>
      <c r="S239" s="15">
        <f t="shared" si="27"/>
        <v>0</v>
      </c>
      <c r="T239" s="16" t="str">
        <f>IF(S239=1, DATE(YEAR(Settings!$B$3), MONTH(D239), DAY(D239)), "")</f>
        <v/>
      </c>
      <c r="U239" s="15" t="str">
        <f>IF(S239=1,IFERROR(INDEX(Settings!$B$12:$B$41,MATCH($B239,Settings!$A$12:$A$41,0)),"N"),"")</f>
        <v/>
      </c>
      <c r="V239" s="15" t="str">
        <f>IF(S239=1,IFERROR(INDEX(Settings!$C$12:$C$41,MATCH($B239,Settings!$A$12:$A$41,0)),""),"")</f>
        <v/>
      </c>
      <c r="W239" s="17">
        <f>IF(S239=1,IFERROR(INDEX(Settings!$D$12:$D$41,MATCH($B239,Settings!$A$12:$A$41,0)),0),0)</f>
        <v>0</v>
      </c>
      <c r="X239" s="18">
        <f t="shared" si="28"/>
        <v>0</v>
      </c>
      <c r="Y239" s="18" t="str">
        <f t="shared" si="29"/>
        <v/>
      </c>
      <c r="Z239" s="15" t="str">
        <f>IF(S239=1,IFERROR(INDEX(Settings!$E$12:$E$41,MATCH($B239,Settings!$A$12:$A$41,0)),"N"),"")</f>
        <v/>
      </c>
      <c r="AA239" s="17">
        <f>IF(S239=1,IFERROR(INDEX(Settings!$F$12:$F$41,MATCH($B239,Settings!$A$12:$A$41,0)),0),0)</f>
        <v>0</v>
      </c>
      <c r="AB239" s="15">
        <f>IF(S239=1,IFERROR(INDEX(Settings!$G$12:$G$41,MATCH($B239,Settings!$A$12:$A$41,0)),0),0)</f>
        <v>0</v>
      </c>
      <c r="AC239" s="18" t="str">
        <f t="shared" si="30"/>
        <v/>
      </c>
      <c r="AD239" s="15" t="str">
        <f t="shared" si="31"/>
        <v/>
      </c>
      <c r="AE239" s="15" t="str">
        <f t="shared" si="32"/>
        <v/>
      </c>
      <c r="AF239" s="15" t="str">
        <f t="shared" si="33"/>
        <v/>
      </c>
      <c r="AG239" s="18">
        <f>IF(AND(S239=1,Z239="Y"),IF(Settings!$B$6="Percentage",IF(AD239=0,0,AC239*AA239*(N239/AD239)),IF(Settings!$B$6="Points",IF(AF239=0,0,AC239*(N239*AB239)/AF239),IF(Settings!$B$6="Equally",IF(AE239=0,0,AC239*N239/AE239),0))),0)</f>
        <v>0</v>
      </c>
      <c r="AH239" s="18" t="str">
        <f t="shared" si="34"/>
        <v/>
      </c>
      <c r="AI239" s="15">
        <f>IF(S239=1,IF(COUNTIFS($R$2:R239,R239,$S$2:S239,1)=1,1,0),0)</f>
        <v>0</v>
      </c>
      <c r="AJ239" s="15">
        <f>SUM($AI$2:AI239)</f>
        <v>12</v>
      </c>
    </row>
    <row r="240" spans="18:36">
      <c r="R240" s="15" t="str">
        <f t="shared" si="35"/>
        <v/>
      </c>
      <c r="S240" s="15">
        <f t="shared" si="27"/>
        <v>0</v>
      </c>
      <c r="T240" s="16" t="str">
        <f>IF(S240=1, DATE(YEAR(Settings!$B$3), MONTH(D240), DAY(D240)), "")</f>
        <v/>
      </c>
      <c r="U240" s="15" t="str">
        <f>IF(S240=1,IFERROR(INDEX(Settings!$B$12:$B$41,MATCH($B240,Settings!$A$12:$A$41,0)),"N"),"")</f>
        <v/>
      </c>
      <c r="V240" s="15" t="str">
        <f>IF(S240=1,IFERROR(INDEX(Settings!$C$12:$C$41,MATCH($B240,Settings!$A$12:$A$41,0)),""),"")</f>
        <v/>
      </c>
      <c r="W240" s="17">
        <f>IF(S240=1,IFERROR(INDEX(Settings!$D$12:$D$41,MATCH($B240,Settings!$A$12:$A$41,0)),0),0)</f>
        <v>0</v>
      </c>
      <c r="X240" s="18">
        <f t="shared" si="28"/>
        <v>0</v>
      </c>
      <c r="Y240" s="18" t="str">
        <f t="shared" si="29"/>
        <v/>
      </c>
      <c r="Z240" s="15" t="str">
        <f>IF(S240=1,IFERROR(INDEX(Settings!$E$12:$E$41,MATCH($B240,Settings!$A$12:$A$41,0)),"N"),"")</f>
        <v/>
      </c>
      <c r="AA240" s="17">
        <f>IF(S240=1,IFERROR(INDEX(Settings!$F$12:$F$41,MATCH($B240,Settings!$A$12:$A$41,0)),0),0)</f>
        <v>0</v>
      </c>
      <c r="AB240" s="15">
        <f>IF(S240=1,IFERROR(INDEX(Settings!$G$12:$G$41,MATCH($B240,Settings!$A$12:$A$41,0)),0),0)</f>
        <v>0</v>
      </c>
      <c r="AC240" s="18" t="str">
        <f t="shared" si="30"/>
        <v/>
      </c>
      <c r="AD240" s="15" t="str">
        <f t="shared" si="31"/>
        <v/>
      </c>
      <c r="AE240" s="15" t="str">
        <f t="shared" si="32"/>
        <v/>
      </c>
      <c r="AF240" s="15" t="str">
        <f t="shared" si="33"/>
        <v/>
      </c>
      <c r="AG240" s="18">
        <f>IF(AND(S240=1,Z240="Y"),IF(Settings!$B$6="Percentage",IF(AD240=0,0,AC240*AA240*(N240/AD240)),IF(Settings!$B$6="Points",IF(AF240=0,0,AC240*(N240*AB240)/AF240),IF(Settings!$B$6="Equally",IF(AE240=0,0,AC240*N240/AE240),0))),0)</f>
        <v>0</v>
      </c>
      <c r="AH240" s="18" t="str">
        <f t="shared" si="34"/>
        <v/>
      </c>
      <c r="AI240" s="15">
        <f>IF(S240=1,IF(COUNTIFS($R$2:R240,R240,$S$2:S240,1)=1,1,0),0)</f>
        <v>0</v>
      </c>
      <c r="AJ240" s="15">
        <f>SUM($AI$2:AI240)</f>
        <v>12</v>
      </c>
    </row>
    <row r="241" spans="18:36">
      <c r="R241" s="15" t="str">
        <f t="shared" si="35"/>
        <v/>
      </c>
      <c r="S241" s="15">
        <f t="shared" si="27"/>
        <v>0</v>
      </c>
      <c r="T241" s="16" t="str">
        <f>IF(S241=1, DATE(YEAR(Settings!$B$3), MONTH(D241), DAY(D241)), "")</f>
        <v/>
      </c>
      <c r="U241" s="15" t="str">
        <f>IF(S241=1,IFERROR(INDEX(Settings!$B$12:$B$41,MATCH($B241,Settings!$A$12:$A$41,0)),"N"),"")</f>
        <v/>
      </c>
      <c r="V241" s="15" t="str">
        <f>IF(S241=1,IFERROR(INDEX(Settings!$C$12:$C$41,MATCH($B241,Settings!$A$12:$A$41,0)),""),"")</f>
        <v/>
      </c>
      <c r="W241" s="17">
        <f>IF(S241=1,IFERROR(INDEX(Settings!$D$12:$D$41,MATCH($B241,Settings!$A$12:$A$41,0)),0),0)</f>
        <v>0</v>
      </c>
      <c r="X241" s="18">
        <f t="shared" si="28"/>
        <v>0</v>
      </c>
      <c r="Y241" s="18" t="str">
        <f t="shared" si="29"/>
        <v/>
      </c>
      <c r="Z241" s="15" t="str">
        <f>IF(S241=1,IFERROR(INDEX(Settings!$E$12:$E$41,MATCH($B241,Settings!$A$12:$A$41,0)),"N"),"")</f>
        <v/>
      </c>
      <c r="AA241" s="17">
        <f>IF(S241=1,IFERROR(INDEX(Settings!$F$12:$F$41,MATCH($B241,Settings!$A$12:$A$41,0)),0),0)</f>
        <v>0</v>
      </c>
      <c r="AB241" s="15">
        <f>IF(S241=1,IFERROR(INDEX(Settings!$G$12:$G$41,MATCH($B241,Settings!$A$12:$A$41,0)),0),0)</f>
        <v>0</v>
      </c>
      <c r="AC241" s="18" t="str">
        <f t="shared" si="30"/>
        <v/>
      </c>
      <c r="AD241" s="15" t="str">
        <f t="shared" si="31"/>
        <v/>
      </c>
      <c r="AE241" s="15" t="str">
        <f t="shared" si="32"/>
        <v/>
      </c>
      <c r="AF241" s="15" t="str">
        <f t="shared" si="33"/>
        <v/>
      </c>
      <c r="AG241" s="18">
        <f>IF(AND(S241=1,Z241="Y"),IF(Settings!$B$6="Percentage",IF(AD241=0,0,AC241*AA241*(N241/AD241)),IF(Settings!$B$6="Points",IF(AF241=0,0,AC241*(N241*AB241)/AF241),IF(Settings!$B$6="Equally",IF(AE241=0,0,AC241*N241/AE241),0))),0)</f>
        <v>0</v>
      </c>
      <c r="AH241" s="18" t="str">
        <f t="shared" si="34"/>
        <v/>
      </c>
      <c r="AI241" s="15">
        <f>IF(S241=1,IF(COUNTIFS($R$2:R241,R241,$S$2:S241,1)=1,1,0),0)</f>
        <v>0</v>
      </c>
      <c r="AJ241" s="15">
        <f>SUM($AI$2:AI241)</f>
        <v>12</v>
      </c>
    </row>
    <row r="242" spans="18:36">
      <c r="R242" s="15" t="str">
        <f t="shared" si="35"/>
        <v/>
      </c>
      <c r="S242" s="15">
        <f t="shared" si="27"/>
        <v>0</v>
      </c>
      <c r="T242" s="16" t="str">
        <f>IF(S242=1, DATE(YEAR(Settings!$B$3), MONTH(D242), DAY(D242)), "")</f>
        <v/>
      </c>
      <c r="U242" s="15" t="str">
        <f>IF(S242=1,IFERROR(INDEX(Settings!$B$12:$B$41,MATCH($B242,Settings!$A$12:$A$41,0)),"N"),"")</f>
        <v/>
      </c>
      <c r="V242" s="15" t="str">
        <f>IF(S242=1,IFERROR(INDEX(Settings!$C$12:$C$41,MATCH($B242,Settings!$A$12:$A$41,0)),""),"")</f>
        <v/>
      </c>
      <c r="W242" s="17">
        <f>IF(S242=1,IFERROR(INDEX(Settings!$D$12:$D$41,MATCH($B242,Settings!$A$12:$A$41,0)),0),0)</f>
        <v>0</v>
      </c>
      <c r="X242" s="18">
        <f t="shared" si="28"/>
        <v>0</v>
      </c>
      <c r="Y242" s="18" t="str">
        <f t="shared" si="29"/>
        <v/>
      </c>
      <c r="Z242" s="15" t="str">
        <f>IF(S242=1,IFERROR(INDEX(Settings!$E$12:$E$41,MATCH($B242,Settings!$A$12:$A$41,0)),"N"),"")</f>
        <v/>
      </c>
      <c r="AA242" s="17">
        <f>IF(S242=1,IFERROR(INDEX(Settings!$F$12:$F$41,MATCH($B242,Settings!$A$12:$A$41,0)),0),0)</f>
        <v>0</v>
      </c>
      <c r="AB242" s="15">
        <f>IF(S242=1,IFERROR(INDEX(Settings!$G$12:$G$41,MATCH($B242,Settings!$A$12:$A$41,0)),0),0)</f>
        <v>0</v>
      </c>
      <c r="AC242" s="18" t="str">
        <f t="shared" si="30"/>
        <v/>
      </c>
      <c r="AD242" s="15" t="str">
        <f t="shared" si="31"/>
        <v/>
      </c>
      <c r="AE242" s="15" t="str">
        <f t="shared" si="32"/>
        <v/>
      </c>
      <c r="AF242" s="15" t="str">
        <f t="shared" si="33"/>
        <v/>
      </c>
      <c r="AG242" s="18">
        <f>IF(AND(S242=1,Z242="Y"),IF(Settings!$B$6="Percentage",IF(AD242=0,0,AC242*AA242*(N242/AD242)),IF(Settings!$B$6="Points",IF(AF242=0,0,AC242*(N242*AB242)/AF242),IF(Settings!$B$6="Equally",IF(AE242=0,0,AC242*N242/AE242),0))),0)</f>
        <v>0</v>
      </c>
      <c r="AH242" s="18" t="str">
        <f t="shared" si="34"/>
        <v/>
      </c>
      <c r="AI242" s="15">
        <f>IF(S242=1,IF(COUNTIFS($R$2:R242,R242,$S$2:S242,1)=1,1,0),0)</f>
        <v>0</v>
      </c>
      <c r="AJ242" s="15">
        <f>SUM($AI$2:AI242)</f>
        <v>12</v>
      </c>
    </row>
    <row r="243" spans="18:36">
      <c r="R243" s="15" t="str">
        <f t="shared" si="35"/>
        <v/>
      </c>
      <c r="S243" s="15">
        <f t="shared" si="27"/>
        <v>0</v>
      </c>
      <c r="T243" s="16" t="str">
        <f>IF(S243=1, DATE(YEAR(Settings!$B$3), MONTH(D243), DAY(D243)), "")</f>
        <v/>
      </c>
      <c r="U243" s="15" t="str">
        <f>IF(S243=1,IFERROR(INDEX(Settings!$B$12:$B$41,MATCH($B243,Settings!$A$12:$A$41,0)),"N"),"")</f>
        <v/>
      </c>
      <c r="V243" s="15" t="str">
        <f>IF(S243=1,IFERROR(INDEX(Settings!$C$12:$C$41,MATCH($B243,Settings!$A$12:$A$41,0)),""),"")</f>
        <v/>
      </c>
      <c r="W243" s="17">
        <f>IF(S243=1,IFERROR(INDEX(Settings!$D$12:$D$41,MATCH($B243,Settings!$A$12:$A$41,0)),0),0)</f>
        <v>0</v>
      </c>
      <c r="X243" s="18">
        <f t="shared" si="28"/>
        <v>0</v>
      </c>
      <c r="Y243" s="18" t="str">
        <f t="shared" si="29"/>
        <v/>
      </c>
      <c r="Z243" s="15" t="str">
        <f>IF(S243=1,IFERROR(INDEX(Settings!$E$12:$E$41,MATCH($B243,Settings!$A$12:$A$41,0)),"N"),"")</f>
        <v/>
      </c>
      <c r="AA243" s="17">
        <f>IF(S243=1,IFERROR(INDEX(Settings!$F$12:$F$41,MATCH($B243,Settings!$A$12:$A$41,0)),0),0)</f>
        <v>0</v>
      </c>
      <c r="AB243" s="15">
        <f>IF(S243=1,IFERROR(INDEX(Settings!$G$12:$G$41,MATCH($B243,Settings!$A$12:$A$41,0)),0),0)</f>
        <v>0</v>
      </c>
      <c r="AC243" s="18" t="str">
        <f t="shared" si="30"/>
        <v/>
      </c>
      <c r="AD243" s="15" t="str">
        <f t="shared" si="31"/>
        <v/>
      </c>
      <c r="AE243" s="15" t="str">
        <f t="shared" si="32"/>
        <v/>
      </c>
      <c r="AF243" s="15" t="str">
        <f t="shared" si="33"/>
        <v/>
      </c>
      <c r="AG243" s="18">
        <f>IF(AND(S243=1,Z243="Y"),IF(Settings!$B$6="Percentage",IF(AD243=0,0,AC243*AA243*(N243/AD243)),IF(Settings!$B$6="Points",IF(AF243=0,0,AC243*(N243*AB243)/AF243),IF(Settings!$B$6="Equally",IF(AE243=0,0,AC243*N243/AE243),0))),0)</f>
        <v>0</v>
      </c>
      <c r="AH243" s="18" t="str">
        <f t="shared" si="34"/>
        <v/>
      </c>
      <c r="AI243" s="15">
        <f>IF(S243=1,IF(COUNTIFS($R$2:R243,R243,$S$2:S243,1)=1,1,0),0)</f>
        <v>0</v>
      </c>
      <c r="AJ243" s="15">
        <f>SUM($AI$2:AI243)</f>
        <v>12</v>
      </c>
    </row>
    <row r="244" spans="18:36">
      <c r="R244" s="15" t="str">
        <f t="shared" si="35"/>
        <v/>
      </c>
      <c r="S244" s="15">
        <f t="shared" si="27"/>
        <v>0</v>
      </c>
      <c r="T244" s="16" t="str">
        <f>IF(S244=1, DATE(YEAR(Settings!$B$3), MONTH(D244), DAY(D244)), "")</f>
        <v/>
      </c>
      <c r="U244" s="15" t="str">
        <f>IF(S244=1,IFERROR(INDEX(Settings!$B$12:$B$41,MATCH($B244,Settings!$A$12:$A$41,0)),"N"),"")</f>
        <v/>
      </c>
      <c r="V244" s="15" t="str">
        <f>IF(S244=1,IFERROR(INDEX(Settings!$C$12:$C$41,MATCH($B244,Settings!$A$12:$A$41,0)),""),"")</f>
        <v/>
      </c>
      <c r="W244" s="17">
        <f>IF(S244=1,IFERROR(INDEX(Settings!$D$12:$D$41,MATCH($B244,Settings!$A$12:$A$41,0)),0),0)</f>
        <v>0</v>
      </c>
      <c r="X244" s="18">
        <f t="shared" si="28"/>
        <v>0</v>
      </c>
      <c r="Y244" s="18" t="str">
        <f t="shared" si="29"/>
        <v/>
      </c>
      <c r="Z244" s="15" t="str">
        <f>IF(S244=1,IFERROR(INDEX(Settings!$E$12:$E$41,MATCH($B244,Settings!$A$12:$A$41,0)),"N"),"")</f>
        <v/>
      </c>
      <c r="AA244" s="17">
        <f>IF(S244=1,IFERROR(INDEX(Settings!$F$12:$F$41,MATCH($B244,Settings!$A$12:$A$41,0)),0),0)</f>
        <v>0</v>
      </c>
      <c r="AB244" s="15">
        <f>IF(S244=1,IFERROR(INDEX(Settings!$G$12:$G$41,MATCH($B244,Settings!$A$12:$A$41,0)),0),0)</f>
        <v>0</v>
      </c>
      <c r="AC244" s="18" t="str">
        <f t="shared" si="30"/>
        <v/>
      </c>
      <c r="AD244" s="15" t="str">
        <f t="shared" si="31"/>
        <v/>
      </c>
      <c r="AE244" s="15" t="str">
        <f t="shared" si="32"/>
        <v/>
      </c>
      <c r="AF244" s="15" t="str">
        <f t="shared" si="33"/>
        <v/>
      </c>
      <c r="AG244" s="18">
        <f>IF(AND(S244=1,Z244="Y"),IF(Settings!$B$6="Percentage",IF(AD244=0,0,AC244*AA244*(N244/AD244)),IF(Settings!$B$6="Points",IF(AF244=0,0,AC244*(N244*AB244)/AF244),IF(Settings!$B$6="Equally",IF(AE244=0,0,AC244*N244/AE244),0))),0)</f>
        <v>0</v>
      </c>
      <c r="AH244" s="18" t="str">
        <f t="shared" si="34"/>
        <v/>
      </c>
      <c r="AI244" s="15">
        <f>IF(S244=1,IF(COUNTIFS($R$2:R244,R244,$S$2:S244,1)=1,1,0),0)</f>
        <v>0</v>
      </c>
      <c r="AJ244" s="15">
        <f>SUM($AI$2:AI244)</f>
        <v>12</v>
      </c>
    </row>
    <row r="245" spans="18:36">
      <c r="R245" s="15" t="str">
        <f t="shared" si="35"/>
        <v/>
      </c>
      <c r="S245" s="15">
        <f t="shared" si="27"/>
        <v>0</v>
      </c>
      <c r="T245" s="16" t="str">
        <f>IF(S245=1, DATE(YEAR(Settings!$B$3), MONTH(D245), DAY(D245)), "")</f>
        <v/>
      </c>
      <c r="U245" s="15" t="str">
        <f>IF(S245=1,IFERROR(INDEX(Settings!$B$12:$B$41,MATCH($B245,Settings!$A$12:$A$41,0)),"N"),"")</f>
        <v/>
      </c>
      <c r="V245" s="15" t="str">
        <f>IF(S245=1,IFERROR(INDEX(Settings!$C$12:$C$41,MATCH($B245,Settings!$A$12:$A$41,0)),""),"")</f>
        <v/>
      </c>
      <c r="W245" s="17">
        <f>IF(S245=1,IFERROR(INDEX(Settings!$D$12:$D$41,MATCH($B245,Settings!$A$12:$A$41,0)),0),0)</f>
        <v>0</v>
      </c>
      <c r="X245" s="18">
        <f t="shared" si="28"/>
        <v>0</v>
      </c>
      <c r="Y245" s="18" t="str">
        <f t="shared" si="29"/>
        <v/>
      </c>
      <c r="Z245" s="15" t="str">
        <f>IF(S245=1,IFERROR(INDEX(Settings!$E$12:$E$41,MATCH($B245,Settings!$A$12:$A$41,0)),"N"),"")</f>
        <v/>
      </c>
      <c r="AA245" s="17">
        <f>IF(S245=1,IFERROR(INDEX(Settings!$F$12:$F$41,MATCH($B245,Settings!$A$12:$A$41,0)),0),0)</f>
        <v>0</v>
      </c>
      <c r="AB245" s="15">
        <f>IF(S245=1,IFERROR(INDEX(Settings!$G$12:$G$41,MATCH($B245,Settings!$A$12:$A$41,0)),0),0)</f>
        <v>0</v>
      </c>
      <c r="AC245" s="18" t="str">
        <f t="shared" si="30"/>
        <v/>
      </c>
      <c r="AD245" s="15" t="str">
        <f t="shared" si="31"/>
        <v/>
      </c>
      <c r="AE245" s="15" t="str">
        <f t="shared" si="32"/>
        <v/>
      </c>
      <c r="AF245" s="15" t="str">
        <f t="shared" si="33"/>
        <v/>
      </c>
      <c r="AG245" s="18">
        <f>IF(AND(S245=1,Z245="Y"),IF(Settings!$B$6="Percentage",IF(AD245=0,0,AC245*AA245*(N245/AD245)),IF(Settings!$B$6="Points",IF(AF245=0,0,AC245*(N245*AB245)/AF245),IF(Settings!$B$6="Equally",IF(AE245=0,0,AC245*N245/AE245),0))),0)</f>
        <v>0</v>
      </c>
      <c r="AH245" s="18" t="str">
        <f t="shared" si="34"/>
        <v/>
      </c>
      <c r="AI245" s="15">
        <f>IF(S245=1,IF(COUNTIFS($R$2:R245,R245,$S$2:S245,1)=1,1,0),0)</f>
        <v>0</v>
      </c>
      <c r="AJ245" s="15">
        <f>SUM($AI$2:AI245)</f>
        <v>12</v>
      </c>
    </row>
    <row r="246" spans="18:36">
      <c r="R246" s="15" t="str">
        <f t="shared" si="35"/>
        <v/>
      </c>
      <c r="S246" s="15">
        <f t="shared" si="27"/>
        <v>0</v>
      </c>
      <c r="T246" s="16" t="str">
        <f>IF(S246=1, DATE(YEAR(Settings!$B$3), MONTH(D246), DAY(D246)), "")</f>
        <v/>
      </c>
      <c r="U246" s="15" t="str">
        <f>IF(S246=1,IFERROR(INDEX(Settings!$B$12:$B$41,MATCH($B246,Settings!$A$12:$A$41,0)),"N"),"")</f>
        <v/>
      </c>
      <c r="V246" s="15" t="str">
        <f>IF(S246=1,IFERROR(INDEX(Settings!$C$12:$C$41,MATCH($B246,Settings!$A$12:$A$41,0)),""),"")</f>
        <v/>
      </c>
      <c r="W246" s="17">
        <f>IF(S246=1,IFERROR(INDEX(Settings!$D$12:$D$41,MATCH($B246,Settings!$A$12:$A$41,0)),0),0)</f>
        <v>0</v>
      </c>
      <c r="X246" s="18">
        <f t="shared" si="28"/>
        <v>0</v>
      </c>
      <c r="Y246" s="18" t="str">
        <f t="shared" si="29"/>
        <v/>
      </c>
      <c r="Z246" s="15" t="str">
        <f>IF(S246=1,IFERROR(INDEX(Settings!$E$12:$E$41,MATCH($B246,Settings!$A$12:$A$41,0)),"N"),"")</f>
        <v/>
      </c>
      <c r="AA246" s="17">
        <f>IF(S246=1,IFERROR(INDEX(Settings!$F$12:$F$41,MATCH($B246,Settings!$A$12:$A$41,0)),0),0)</f>
        <v>0</v>
      </c>
      <c r="AB246" s="15">
        <f>IF(S246=1,IFERROR(INDEX(Settings!$G$12:$G$41,MATCH($B246,Settings!$A$12:$A$41,0)),0),0)</f>
        <v>0</v>
      </c>
      <c r="AC246" s="18" t="str">
        <f t="shared" si="30"/>
        <v/>
      </c>
      <c r="AD246" s="15" t="str">
        <f t="shared" si="31"/>
        <v/>
      </c>
      <c r="AE246" s="15" t="str">
        <f t="shared" si="32"/>
        <v/>
      </c>
      <c r="AF246" s="15" t="str">
        <f t="shared" si="33"/>
        <v/>
      </c>
      <c r="AG246" s="18">
        <f>IF(AND(S246=1,Z246="Y"),IF(Settings!$B$6="Percentage",IF(AD246=0,0,AC246*AA246*(N246/AD246)),IF(Settings!$B$6="Points",IF(AF246=0,0,AC246*(N246*AB246)/AF246),IF(Settings!$B$6="Equally",IF(AE246=0,0,AC246*N246/AE246),0))),0)</f>
        <v>0</v>
      </c>
      <c r="AH246" s="18" t="str">
        <f t="shared" si="34"/>
        <v/>
      </c>
      <c r="AI246" s="15">
        <f>IF(S246=1,IF(COUNTIFS($R$2:R246,R246,$S$2:S246,1)=1,1,0),0)</f>
        <v>0</v>
      </c>
      <c r="AJ246" s="15">
        <f>SUM($AI$2:AI246)</f>
        <v>12</v>
      </c>
    </row>
    <row r="247" spans="18:36">
      <c r="R247" s="15" t="str">
        <f t="shared" si="35"/>
        <v/>
      </c>
      <c r="S247" s="15">
        <f t="shared" si="27"/>
        <v>0</v>
      </c>
      <c r="T247" s="16" t="str">
        <f>IF(S247=1, DATE(YEAR(Settings!$B$3), MONTH(D247), DAY(D247)), "")</f>
        <v/>
      </c>
      <c r="U247" s="15" t="str">
        <f>IF(S247=1,IFERROR(INDEX(Settings!$B$12:$B$41,MATCH($B247,Settings!$A$12:$A$41,0)),"N"),"")</f>
        <v/>
      </c>
      <c r="V247" s="15" t="str">
        <f>IF(S247=1,IFERROR(INDEX(Settings!$C$12:$C$41,MATCH($B247,Settings!$A$12:$A$41,0)),""),"")</f>
        <v/>
      </c>
      <c r="W247" s="17">
        <f>IF(S247=1,IFERROR(INDEX(Settings!$D$12:$D$41,MATCH($B247,Settings!$A$12:$A$41,0)),0),0)</f>
        <v>0</v>
      </c>
      <c r="X247" s="18">
        <f t="shared" si="28"/>
        <v>0</v>
      </c>
      <c r="Y247" s="18" t="str">
        <f t="shared" si="29"/>
        <v/>
      </c>
      <c r="Z247" s="15" t="str">
        <f>IF(S247=1,IFERROR(INDEX(Settings!$E$12:$E$41,MATCH($B247,Settings!$A$12:$A$41,0)),"N"),"")</f>
        <v/>
      </c>
      <c r="AA247" s="17">
        <f>IF(S247=1,IFERROR(INDEX(Settings!$F$12:$F$41,MATCH($B247,Settings!$A$12:$A$41,0)),0),0)</f>
        <v>0</v>
      </c>
      <c r="AB247" s="15">
        <f>IF(S247=1,IFERROR(INDEX(Settings!$G$12:$G$41,MATCH($B247,Settings!$A$12:$A$41,0)),0),0)</f>
        <v>0</v>
      </c>
      <c r="AC247" s="18" t="str">
        <f t="shared" si="30"/>
        <v/>
      </c>
      <c r="AD247" s="15" t="str">
        <f t="shared" si="31"/>
        <v/>
      </c>
      <c r="AE247" s="15" t="str">
        <f t="shared" si="32"/>
        <v/>
      </c>
      <c r="AF247" s="15" t="str">
        <f t="shared" si="33"/>
        <v/>
      </c>
      <c r="AG247" s="18">
        <f>IF(AND(S247=1,Z247="Y"),IF(Settings!$B$6="Percentage",IF(AD247=0,0,AC247*AA247*(N247/AD247)),IF(Settings!$B$6="Points",IF(AF247=0,0,AC247*(N247*AB247)/AF247),IF(Settings!$B$6="Equally",IF(AE247=0,0,AC247*N247/AE247),0))),0)</f>
        <v>0</v>
      </c>
      <c r="AH247" s="18" t="str">
        <f t="shared" si="34"/>
        <v/>
      </c>
      <c r="AI247" s="15">
        <f>IF(S247=1,IF(COUNTIFS($R$2:R247,R247,$S$2:S247,1)=1,1,0),0)</f>
        <v>0</v>
      </c>
      <c r="AJ247" s="15">
        <f>SUM($AI$2:AI247)</f>
        <v>12</v>
      </c>
    </row>
    <row r="248" spans="18:36">
      <c r="R248" s="15" t="str">
        <f t="shared" si="35"/>
        <v/>
      </c>
      <c r="S248" s="15">
        <f t="shared" si="27"/>
        <v>0</v>
      </c>
      <c r="T248" s="16" t="str">
        <f>IF(S248=1, DATE(YEAR(Settings!$B$3), MONTH(D248), DAY(D248)), "")</f>
        <v/>
      </c>
      <c r="U248" s="15" t="str">
        <f>IF(S248=1,IFERROR(INDEX(Settings!$B$12:$B$41,MATCH($B248,Settings!$A$12:$A$41,0)),"N"),"")</f>
        <v/>
      </c>
      <c r="V248" s="15" t="str">
        <f>IF(S248=1,IFERROR(INDEX(Settings!$C$12:$C$41,MATCH($B248,Settings!$A$12:$A$41,0)),""),"")</f>
        <v/>
      </c>
      <c r="W248" s="17">
        <f>IF(S248=1,IFERROR(INDEX(Settings!$D$12:$D$41,MATCH($B248,Settings!$A$12:$A$41,0)),0),0)</f>
        <v>0</v>
      </c>
      <c r="X248" s="18">
        <f t="shared" si="28"/>
        <v>0</v>
      </c>
      <c r="Y248" s="18" t="str">
        <f t="shared" si="29"/>
        <v/>
      </c>
      <c r="Z248" s="15" t="str">
        <f>IF(S248=1,IFERROR(INDEX(Settings!$E$12:$E$41,MATCH($B248,Settings!$A$12:$A$41,0)),"N"),"")</f>
        <v/>
      </c>
      <c r="AA248" s="17">
        <f>IF(S248=1,IFERROR(INDEX(Settings!$F$12:$F$41,MATCH($B248,Settings!$A$12:$A$41,0)),0),0)</f>
        <v>0</v>
      </c>
      <c r="AB248" s="15">
        <f>IF(S248=1,IFERROR(INDEX(Settings!$G$12:$G$41,MATCH($B248,Settings!$A$12:$A$41,0)),0),0)</f>
        <v>0</v>
      </c>
      <c r="AC248" s="18" t="str">
        <f t="shared" si="30"/>
        <v/>
      </c>
      <c r="AD248" s="15" t="str">
        <f t="shared" si="31"/>
        <v/>
      </c>
      <c r="AE248" s="15" t="str">
        <f t="shared" si="32"/>
        <v/>
      </c>
      <c r="AF248" s="15" t="str">
        <f t="shared" si="33"/>
        <v/>
      </c>
      <c r="AG248" s="18">
        <f>IF(AND(S248=1,Z248="Y"),IF(Settings!$B$6="Percentage",IF(AD248=0,0,AC248*AA248*(N248/AD248)),IF(Settings!$B$6="Points",IF(AF248=0,0,AC248*(N248*AB248)/AF248),IF(Settings!$B$6="Equally",IF(AE248=0,0,AC248*N248/AE248),0))),0)</f>
        <v>0</v>
      </c>
      <c r="AH248" s="18" t="str">
        <f t="shared" si="34"/>
        <v/>
      </c>
      <c r="AI248" s="15">
        <f>IF(S248=1,IF(COUNTIFS($R$2:R248,R248,$S$2:S248,1)=1,1,0),0)</f>
        <v>0</v>
      </c>
      <c r="AJ248" s="15">
        <f>SUM($AI$2:AI248)</f>
        <v>12</v>
      </c>
    </row>
    <row r="249" spans="18:36">
      <c r="R249" s="15" t="str">
        <f t="shared" si="35"/>
        <v/>
      </c>
      <c r="S249" s="15">
        <f t="shared" si="27"/>
        <v>0</v>
      </c>
      <c r="T249" s="16" t="str">
        <f>IF(S249=1, DATE(YEAR(Settings!$B$3), MONTH(D249), DAY(D249)), "")</f>
        <v/>
      </c>
      <c r="U249" s="15" t="str">
        <f>IF(S249=1,IFERROR(INDEX(Settings!$B$12:$B$41,MATCH($B249,Settings!$A$12:$A$41,0)),"N"),"")</f>
        <v/>
      </c>
      <c r="V249" s="15" t="str">
        <f>IF(S249=1,IFERROR(INDEX(Settings!$C$12:$C$41,MATCH($B249,Settings!$A$12:$A$41,0)),""),"")</f>
        <v/>
      </c>
      <c r="W249" s="17">
        <f>IF(S249=1,IFERROR(INDEX(Settings!$D$12:$D$41,MATCH($B249,Settings!$A$12:$A$41,0)),0),0)</f>
        <v>0</v>
      </c>
      <c r="X249" s="18">
        <f t="shared" si="28"/>
        <v>0</v>
      </c>
      <c r="Y249" s="18" t="str">
        <f t="shared" si="29"/>
        <v/>
      </c>
      <c r="Z249" s="15" t="str">
        <f>IF(S249=1,IFERROR(INDEX(Settings!$E$12:$E$41,MATCH($B249,Settings!$A$12:$A$41,0)),"N"),"")</f>
        <v/>
      </c>
      <c r="AA249" s="17">
        <f>IF(S249=1,IFERROR(INDEX(Settings!$F$12:$F$41,MATCH($B249,Settings!$A$12:$A$41,0)),0),0)</f>
        <v>0</v>
      </c>
      <c r="AB249" s="15">
        <f>IF(S249=1,IFERROR(INDEX(Settings!$G$12:$G$41,MATCH($B249,Settings!$A$12:$A$41,0)),0),0)</f>
        <v>0</v>
      </c>
      <c r="AC249" s="18" t="str">
        <f t="shared" si="30"/>
        <v/>
      </c>
      <c r="AD249" s="15" t="str">
        <f t="shared" si="31"/>
        <v/>
      </c>
      <c r="AE249" s="15" t="str">
        <f t="shared" si="32"/>
        <v/>
      </c>
      <c r="AF249" s="15" t="str">
        <f t="shared" si="33"/>
        <v/>
      </c>
      <c r="AG249" s="18">
        <f>IF(AND(S249=1,Z249="Y"),IF(Settings!$B$6="Percentage",IF(AD249=0,0,AC249*AA249*(N249/AD249)),IF(Settings!$B$6="Points",IF(AF249=0,0,AC249*(N249*AB249)/AF249),IF(Settings!$B$6="Equally",IF(AE249=0,0,AC249*N249/AE249),0))),0)</f>
        <v>0</v>
      </c>
      <c r="AH249" s="18" t="str">
        <f t="shared" si="34"/>
        <v/>
      </c>
      <c r="AI249" s="15">
        <f>IF(S249=1,IF(COUNTIFS($R$2:R249,R249,$S$2:S249,1)=1,1,0),0)</f>
        <v>0</v>
      </c>
      <c r="AJ249" s="15">
        <f>SUM($AI$2:AI249)</f>
        <v>12</v>
      </c>
    </row>
    <row r="250" spans="18:36">
      <c r="R250" s="15" t="str">
        <f t="shared" si="35"/>
        <v/>
      </c>
      <c r="S250" s="15">
        <f t="shared" si="27"/>
        <v>0</v>
      </c>
      <c r="T250" s="16" t="str">
        <f>IF(S250=1, DATE(YEAR(Settings!$B$3), MONTH(D250), DAY(D250)), "")</f>
        <v/>
      </c>
      <c r="U250" s="15" t="str">
        <f>IF(S250=1,IFERROR(INDEX(Settings!$B$12:$B$41,MATCH($B250,Settings!$A$12:$A$41,0)),"N"),"")</f>
        <v/>
      </c>
      <c r="V250" s="15" t="str">
        <f>IF(S250=1,IFERROR(INDEX(Settings!$C$12:$C$41,MATCH($B250,Settings!$A$12:$A$41,0)),""),"")</f>
        <v/>
      </c>
      <c r="W250" s="17">
        <f>IF(S250=1,IFERROR(INDEX(Settings!$D$12:$D$41,MATCH($B250,Settings!$A$12:$A$41,0)),0),0)</f>
        <v>0</v>
      </c>
      <c r="X250" s="18">
        <f t="shared" si="28"/>
        <v>0</v>
      </c>
      <c r="Y250" s="18" t="str">
        <f t="shared" si="29"/>
        <v/>
      </c>
      <c r="Z250" s="15" t="str">
        <f>IF(S250=1,IFERROR(INDEX(Settings!$E$12:$E$41,MATCH($B250,Settings!$A$12:$A$41,0)),"N"),"")</f>
        <v/>
      </c>
      <c r="AA250" s="17">
        <f>IF(S250=1,IFERROR(INDEX(Settings!$F$12:$F$41,MATCH($B250,Settings!$A$12:$A$41,0)),0),0)</f>
        <v>0</v>
      </c>
      <c r="AB250" s="15">
        <f>IF(S250=1,IFERROR(INDEX(Settings!$G$12:$G$41,MATCH($B250,Settings!$A$12:$A$41,0)),0),0)</f>
        <v>0</v>
      </c>
      <c r="AC250" s="18" t="str">
        <f t="shared" si="30"/>
        <v/>
      </c>
      <c r="AD250" s="15" t="str">
        <f t="shared" si="31"/>
        <v/>
      </c>
      <c r="AE250" s="15" t="str">
        <f t="shared" si="32"/>
        <v/>
      </c>
      <c r="AF250" s="15" t="str">
        <f t="shared" si="33"/>
        <v/>
      </c>
      <c r="AG250" s="18">
        <f>IF(AND(S250=1,Z250="Y"),IF(Settings!$B$6="Percentage",IF(AD250=0,0,AC250*AA250*(N250/AD250)),IF(Settings!$B$6="Points",IF(AF250=0,0,AC250*(N250*AB250)/AF250),IF(Settings!$B$6="Equally",IF(AE250=0,0,AC250*N250/AE250),0))),0)</f>
        <v>0</v>
      </c>
      <c r="AH250" s="18" t="str">
        <f t="shared" si="34"/>
        <v/>
      </c>
      <c r="AI250" s="15">
        <f>IF(S250=1,IF(COUNTIFS($R$2:R250,R250,$S$2:S250,1)=1,1,0),0)</f>
        <v>0</v>
      </c>
      <c r="AJ250" s="15">
        <f>SUM($AI$2:AI250)</f>
        <v>12</v>
      </c>
    </row>
    <row r="251" spans="18:36">
      <c r="R251" s="15" t="str">
        <f t="shared" si="35"/>
        <v/>
      </c>
      <c r="S251" s="15">
        <f t="shared" si="27"/>
        <v>0</v>
      </c>
      <c r="T251" s="16" t="str">
        <f>IF(S251=1, DATE(YEAR(Settings!$B$3), MONTH(D251), DAY(D251)), "")</f>
        <v/>
      </c>
      <c r="U251" s="15" t="str">
        <f>IF(S251=1,IFERROR(INDEX(Settings!$B$12:$B$41,MATCH($B251,Settings!$A$12:$A$41,0)),"N"),"")</f>
        <v/>
      </c>
      <c r="V251" s="15" t="str">
        <f>IF(S251=1,IFERROR(INDEX(Settings!$C$12:$C$41,MATCH($B251,Settings!$A$12:$A$41,0)),""),"")</f>
        <v/>
      </c>
      <c r="W251" s="17">
        <f>IF(S251=1,IFERROR(INDEX(Settings!$D$12:$D$41,MATCH($B251,Settings!$A$12:$A$41,0)),0),0)</f>
        <v>0</v>
      </c>
      <c r="X251" s="18">
        <f t="shared" si="28"/>
        <v>0</v>
      </c>
      <c r="Y251" s="18" t="str">
        <f t="shared" si="29"/>
        <v/>
      </c>
      <c r="Z251" s="15" t="str">
        <f>IF(S251=1,IFERROR(INDEX(Settings!$E$12:$E$41,MATCH($B251,Settings!$A$12:$A$41,0)),"N"),"")</f>
        <v/>
      </c>
      <c r="AA251" s="17">
        <f>IF(S251=1,IFERROR(INDEX(Settings!$F$12:$F$41,MATCH($B251,Settings!$A$12:$A$41,0)),0),0)</f>
        <v>0</v>
      </c>
      <c r="AB251" s="15">
        <f>IF(S251=1,IFERROR(INDEX(Settings!$G$12:$G$41,MATCH($B251,Settings!$A$12:$A$41,0)),0),0)</f>
        <v>0</v>
      </c>
      <c r="AC251" s="18" t="str">
        <f t="shared" si="30"/>
        <v/>
      </c>
      <c r="AD251" s="15" t="str">
        <f t="shared" si="31"/>
        <v/>
      </c>
      <c r="AE251" s="15" t="str">
        <f t="shared" si="32"/>
        <v/>
      </c>
      <c r="AF251" s="15" t="str">
        <f t="shared" si="33"/>
        <v/>
      </c>
      <c r="AG251" s="18">
        <f>IF(AND(S251=1,Z251="Y"),IF(Settings!$B$6="Percentage",IF(AD251=0,0,AC251*AA251*(N251/AD251)),IF(Settings!$B$6="Points",IF(AF251=0,0,AC251*(N251*AB251)/AF251),IF(Settings!$B$6="Equally",IF(AE251=0,0,AC251*N251/AE251),0))),0)</f>
        <v>0</v>
      </c>
      <c r="AH251" s="18" t="str">
        <f t="shared" si="34"/>
        <v/>
      </c>
      <c r="AI251" s="15">
        <f>IF(S251=1,IF(COUNTIFS($R$2:R251,R251,$S$2:S251,1)=1,1,0),0)</f>
        <v>0</v>
      </c>
      <c r="AJ251" s="15">
        <f>SUM($AI$2:AI251)</f>
        <v>12</v>
      </c>
    </row>
    <row r="252" spans="18:36">
      <c r="R252" s="15" t="str">
        <f t="shared" si="35"/>
        <v/>
      </c>
      <c r="S252" s="15">
        <f t="shared" si="27"/>
        <v>0</v>
      </c>
      <c r="T252" s="16" t="str">
        <f>IF(S252=1, DATE(YEAR(Settings!$B$3), MONTH(D252), DAY(D252)), "")</f>
        <v/>
      </c>
      <c r="U252" s="15" t="str">
        <f>IF(S252=1,IFERROR(INDEX(Settings!$B$12:$B$41,MATCH($B252,Settings!$A$12:$A$41,0)),"N"),"")</f>
        <v/>
      </c>
      <c r="V252" s="15" t="str">
        <f>IF(S252=1,IFERROR(INDEX(Settings!$C$12:$C$41,MATCH($B252,Settings!$A$12:$A$41,0)),""),"")</f>
        <v/>
      </c>
      <c r="W252" s="17">
        <f>IF(S252=1,IFERROR(INDEX(Settings!$D$12:$D$41,MATCH($B252,Settings!$A$12:$A$41,0)),0),0)</f>
        <v>0</v>
      </c>
      <c r="X252" s="18">
        <f t="shared" si="28"/>
        <v>0</v>
      </c>
      <c r="Y252" s="18" t="str">
        <f t="shared" si="29"/>
        <v/>
      </c>
      <c r="Z252" s="15" t="str">
        <f>IF(S252=1,IFERROR(INDEX(Settings!$E$12:$E$41,MATCH($B252,Settings!$A$12:$A$41,0)),"N"),"")</f>
        <v/>
      </c>
      <c r="AA252" s="17">
        <f>IF(S252=1,IFERROR(INDEX(Settings!$F$12:$F$41,MATCH($B252,Settings!$A$12:$A$41,0)),0),0)</f>
        <v>0</v>
      </c>
      <c r="AB252" s="15">
        <f>IF(S252=1,IFERROR(INDEX(Settings!$G$12:$G$41,MATCH($B252,Settings!$A$12:$A$41,0)),0),0)</f>
        <v>0</v>
      </c>
      <c r="AC252" s="18" t="str">
        <f t="shared" si="30"/>
        <v/>
      </c>
      <c r="AD252" s="15" t="str">
        <f t="shared" si="31"/>
        <v/>
      </c>
      <c r="AE252" s="15" t="str">
        <f t="shared" si="32"/>
        <v/>
      </c>
      <c r="AF252" s="15" t="str">
        <f t="shared" si="33"/>
        <v/>
      </c>
      <c r="AG252" s="18">
        <f>IF(AND(S252=1,Z252="Y"),IF(Settings!$B$6="Percentage",IF(AD252=0,0,AC252*AA252*(N252/AD252)),IF(Settings!$B$6="Points",IF(AF252=0,0,AC252*(N252*AB252)/AF252),IF(Settings!$B$6="Equally",IF(AE252=0,0,AC252*N252/AE252),0))),0)</f>
        <v>0</v>
      </c>
      <c r="AH252" s="18" t="str">
        <f t="shared" si="34"/>
        <v/>
      </c>
      <c r="AI252" s="15">
        <f>IF(S252=1,IF(COUNTIFS($R$2:R252,R252,$S$2:S252,1)=1,1,0),0)</f>
        <v>0</v>
      </c>
      <c r="AJ252" s="15">
        <f>SUM($AI$2:AI252)</f>
        <v>12</v>
      </c>
    </row>
    <row r="253" spans="18:36">
      <c r="R253" s="15" t="str">
        <f t="shared" si="35"/>
        <v/>
      </c>
      <c r="S253" s="15">
        <f t="shared" si="27"/>
        <v>0</v>
      </c>
      <c r="T253" s="16" t="str">
        <f>IF(S253=1, DATE(YEAR(Settings!$B$3), MONTH(D253), DAY(D253)), "")</f>
        <v/>
      </c>
      <c r="U253" s="15" t="str">
        <f>IF(S253=1,IFERROR(INDEX(Settings!$B$12:$B$41,MATCH($B253,Settings!$A$12:$A$41,0)),"N"),"")</f>
        <v/>
      </c>
      <c r="V253" s="15" t="str">
        <f>IF(S253=1,IFERROR(INDEX(Settings!$C$12:$C$41,MATCH($B253,Settings!$A$12:$A$41,0)),""),"")</f>
        <v/>
      </c>
      <c r="W253" s="17">
        <f>IF(S253=1,IFERROR(INDEX(Settings!$D$12:$D$41,MATCH($B253,Settings!$A$12:$A$41,0)),0),0)</f>
        <v>0</v>
      </c>
      <c r="X253" s="18">
        <f t="shared" si="28"/>
        <v>0</v>
      </c>
      <c r="Y253" s="18" t="str">
        <f t="shared" si="29"/>
        <v/>
      </c>
      <c r="Z253" s="15" t="str">
        <f>IF(S253=1,IFERROR(INDEX(Settings!$E$12:$E$41,MATCH($B253,Settings!$A$12:$A$41,0)),"N"),"")</f>
        <v/>
      </c>
      <c r="AA253" s="17">
        <f>IF(S253=1,IFERROR(INDEX(Settings!$F$12:$F$41,MATCH($B253,Settings!$A$12:$A$41,0)),0),0)</f>
        <v>0</v>
      </c>
      <c r="AB253" s="15">
        <f>IF(S253=1,IFERROR(INDEX(Settings!$G$12:$G$41,MATCH($B253,Settings!$A$12:$A$41,0)),0),0)</f>
        <v>0</v>
      </c>
      <c r="AC253" s="18" t="str">
        <f t="shared" si="30"/>
        <v/>
      </c>
      <c r="AD253" s="15" t="str">
        <f t="shared" si="31"/>
        <v/>
      </c>
      <c r="AE253" s="15" t="str">
        <f t="shared" si="32"/>
        <v/>
      </c>
      <c r="AF253" s="15" t="str">
        <f t="shared" si="33"/>
        <v/>
      </c>
      <c r="AG253" s="18">
        <f>IF(AND(S253=1,Z253="Y"),IF(Settings!$B$6="Percentage",IF(AD253=0,0,AC253*AA253*(N253/AD253)),IF(Settings!$B$6="Points",IF(AF253=0,0,AC253*(N253*AB253)/AF253),IF(Settings!$B$6="Equally",IF(AE253=0,0,AC253*N253/AE253),0))),0)</f>
        <v>0</v>
      </c>
      <c r="AH253" s="18" t="str">
        <f t="shared" si="34"/>
        <v/>
      </c>
      <c r="AI253" s="15">
        <f>IF(S253=1,IF(COUNTIFS($R$2:R253,R253,$S$2:S253,1)=1,1,0),0)</f>
        <v>0</v>
      </c>
      <c r="AJ253" s="15">
        <f>SUM($AI$2:AI253)</f>
        <v>12</v>
      </c>
    </row>
    <row r="254" spans="18:36">
      <c r="R254" s="15" t="str">
        <f t="shared" si="35"/>
        <v/>
      </c>
      <c r="S254" s="15">
        <f t="shared" si="27"/>
        <v>0</v>
      </c>
      <c r="T254" s="16" t="str">
        <f>IF(S254=1, DATE(YEAR(Settings!$B$3), MONTH(D254), DAY(D254)), "")</f>
        <v/>
      </c>
      <c r="U254" s="15" t="str">
        <f>IF(S254=1,IFERROR(INDEX(Settings!$B$12:$B$41,MATCH($B254,Settings!$A$12:$A$41,0)),"N"),"")</f>
        <v/>
      </c>
      <c r="V254" s="15" t="str">
        <f>IF(S254=1,IFERROR(INDEX(Settings!$C$12:$C$41,MATCH($B254,Settings!$A$12:$A$41,0)),""),"")</f>
        <v/>
      </c>
      <c r="W254" s="17">
        <f>IF(S254=1,IFERROR(INDEX(Settings!$D$12:$D$41,MATCH($B254,Settings!$A$12:$A$41,0)),0),0)</f>
        <v>0</v>
      </c>
      <c r="X254" s="18">
        <f t="shared" si="28"/>
        <v>0</v>
      </c>
      <c r="Y254" s="18" t="str">
        <f t="shared" si="29"/>
        <v/>
      </c>
      <c r="Z254" s="15" t="str">
        <f>IF(S254=1,IFERROR(INDEX(Settings!$E$12:$E$41,MATCH($B254,Settings!$A$12:$A$41,0)),"N"),"")</f>
        <v/>
      </c>
      <c r="AA254" s="17">
        <f>IF(S254=1,IFERROR(INDEX(Settings!$F$12:$F$41,MATCH($B254,Settings!$A$12:$A$41,0)),0),0)</f>
        <v>0</v>
      </c>
      <c r="AB254" s="15">
        <f>IF(S254=1,IFERROR(INDEX(Settings!$G$12:$G$41,MATCH($B254,Settings!$A$12:$A$41,0)),0),0)</f>
        <v>0</v>
      </c>
      <c r="AC254" s="18" t="str">
        <f t="shared" si="30"/>
        <v/>
      </c>
      <c r="AD254" s="15" t="str">
        <f t="shared" si="31"/>
        <v/>
      </c>
      <c r="AE254" s="15" t="str">
        <f t="shared" si="32"/>
        <v/>
      </c>
      <c r="AF254" s="15" t="str">
        <f t="shared" si="33"/>
        <v/>
      </c>
      <c r="AG254" s="18">
        <f>IF(AND(S254=1,Z254="Y"),IF(Settings!$B$6="Percentage",IF(AD254=0,0,AC254*AA254*(N254/AD254)),IF(Settings!$B$6="Points",IF(AF254=0,0,AC254*(N254*AB254)/AF254),IF(Settings!$B$6="Equally",IF(AE254=0,0,AC254*N254/AE254),0))),0)</f>
        <v>0</v>
      </c>
      <c r="AH254" s="18" t="str">
        <f t="shared" si="34"/>
        <v/>
      </c>
      <c r="AI254" s="15">
        <f>IF(S254=1,IF(COUNTIFS($R$2:R254,R254,$S$2:S254,1)=1,1,0),0)</f>
        <v>0</v>
      </c>
      <c r="AJ254" s="15">
        <f>SUM($AI$2:AI254)</f>
        <v>12</v>
      </c>
    </row>
    <row r="255" spans="18:36">
      <c r="R255" s="15" t="str">
        <f t="shared" si="35"/>
        <v/>
      </c>
      <c r="S255" s="15">
        <f t="shared" si="27"/>
        <v>0</v>
      </c>
      <c r="T255" s="16" t="str">
        <f>IF(S255=1, DATE(YEAR(Settings!$B$3), MONTH(D255), DAY(D255)), "")</f>
        <v/>
      </c>
      <c r="U255" s="15" t="str">
        <f>IF(S255=1,IFERROR(INDEX(Settings!$B$12:$B$41,MATCH($B255,Settings!$A$12:$A$41,0)),"N"),"")</f>
        <v/>
      </c>
      <c r="V255" s="15" t="str">
        <f>IF(S255=1,IFERROR(INDEX(Settings!$C$12:$C$41,MATCH($B255,Settings!$A$12:$A$41,0)),""),"")</f>
        <v/>
      </c>
      <c r="W255" s="17">
        <f>IF(S255=1,IFERROR(INDEX(Settings!$D$12:$D$41,MATCH($B255,Settings!$A$12:$A$41,0)),0),0)</f>
        <v>0</v>
      </c>
      <c r="X255" s="18">
        <f t="shared" si="28"/>
        <v>0</v>
      </c>
      <c r="Y255" s="18" t="str">
        <f t="shared" si="29"/>
        <v/>
      </c>
      <c r="Z255" s="15" t="str">
        <f>IF(S255=1,IFERROR(INDEX(Settings!$E$12:$E$41,MATCH($B255,Settings!$A$12:$A$41,0)),"N"),"")</f>
        <v/>
      </c>
      <c r="AA255" s="17">
        <f>IF(S255=1,IFERROR(INDEX(Settings!$F$12:$F$41,MATCH($B255,Settings!$A$12:$A$41,0)),0),0)</f>
        <v>0</v>
      </c>
      <c r="AB255" s="15">
        <f>IF(S255=1,IFERROR(INDEX(Settings!$G$12:$G$41,MATCH($B255,Settings!$A$12:$A$41,0)),0),0)</f>
        <v>0</v>
      </c>
      <c r="AC255" s="18" t="str">
        <f t="shared" si="30"/>
        <v/>
      </c>
      <c r="AD255" s="15" t="str">
        <f t="shared" si="31"/>
        <v/>
      </c>
      <c r="AE255" s="15" t="str">
        <f t="shared" si="32"/>
        <v/>
      </c>
      <c r="AF255" s="15" t="str">
        <f t="shared" si="33"/>
        <v/>
      </c>
      <c r="AG255" s="18">
        <f>IF(AND(S255=1,Z255="Y"),IF(Settings!$B$6="Percentage",IF(AD255=0,0,AC255*AA255*(N255/AD255)),IF(Settings!$B$6="Points",IF(AF255=0,0,AC255*(N255*AB255)/AF255),IF(Settings!$B$6="Equally",IF(AE255=0,0,AC255*N255/AE255),0))),0)</f>
        <v>0</v>
      </c>
      <c r="AH255" s="18" t="str">
        <f t="shared" si="34"/>
        <v/>
      </c>
      <c r="AI255" s="15">
        <f>IF(S255=1,IF(COUNTIFS($R$2:R255,R255,$S$2:S255,1)=1,1,0),0)</f>
        <v>0</v>
      </c>
      <c r="AJ255" s="15">
        <f>SUM($AI$2:AI255)</f>
        <v>12</v>
      </c>
    </row>
    <row r="256" spans="18:36">
      <c r="R256" s="15" t="str">
        <f t="shared" si="35"/>
        <v/>
      </c>
      <c r="S256" s="15">
        <f t="shared" si="27"/>
        <v>0</v>
      </c>
      <c r="T256" s="16" t="str">
        <f>IF(S256=1, DATE(YEAR(Settings!$B$3), MONTH(D256), DAY(D256)), "")</f>
        <v/>
      </c>
      <c r="U256" s="15" t="str">
        <f>IF(S256=1,IFERROR(INDEX(Settings!$B$12:$B$41,MATCH($B256,Settings!$A$12:$A$41,0)),"N"),"")</f>
        <v/>
      </c>
      <c r="V256" s="15" t="str">
        <f>IF(S256=1,IFERROR(INDEX(Settings!$C$12:$C$41,MATCH($B256,Settings!$A$12:$A$41,0)),""),"")</f>
        <v/>
      </c>
      <c r="W256" s="17">
        <f>IF(S256=1,IFERROR(INDEX(Settings!$D$12:$D$41,MATCH($B256,Settings!$A$12:$A$41,0)),0),0)</f>
        <v>0</v>
      </c>
      <c r="X256" s="18">
        <f t="shared" si="28"/>
        <v>0</v>
      </c>
      <c r="Y256" s="18" t="str">
        <f t="shared" si="29"/>
        <v/>
      </c>
      <c r="Z256" s="15" t="str">
        <f>IF(S256=1,IFERROR(INDEX(Settings!$E$12:$E$41,MATCH($B256,Settings!$A$12:$A$41,0)),"N"),"")</f>
        <v/>
      </c>
      <c r="AA256" s="17">
        <f>IF(S256=1,IFERROR(INDEX(Settings!$F$12:$F$41,MATCH($B256,Settings!$A$12:$A$41,0)),0),0)</f>
        <v>0</v>
      </c>
      <c r="AB256" s="15">
        <f>IF(S256=1,IFERROR(INDEX(Settings!$G$12:$G$41,MATCH($B256,Settings!$A$12:$A$41,0)),0),0)</f>
        <v>0</v>
      </c>
      <c r="AC256" s="18" t="str">
        <f t="shared" si="30"/>
        <v/>
      </c>
      <c r="AD256" s="15" t="str">
        <f t="shared" si="31"/>
        <v/>
      </c>
      <c r="AE256" s="15" t="str">
        <f t="shared" si="32"/>
        <v/>
      </c>
      <c r="AF256" s="15" t="str">
        <f t="shared" si="33"/>
        <v/>
      </c>
      <c r="AG256" s="18">
        <f>IF(AND(S256=1,Z256="Y"),IF(Settings!$B$6="Percentage",IF(AD256=0,0,AC256*AA256*(N256/AD256)),IF(Settings!$B$6="Points",IF(AF256=0,0,AC256*(N256*AB256)/AF256),IF(Settings!$B$6="Equally",IF(AE256=0,0,AC256*N256/AE256),0))),0)</f>
        <v>0</v>
      </c>
      <c r="AH256" s="18" t="str">
        <f t="shared" si="34"/>
        <v/>
      </c>
      <c r="AI256" s="15">
        <f>IF(S256=1,IF(COUNTIFS($R$2:R256,R256,$S$2:S256,1)=1,1,0),0)</f>
        <v>0</v>
      </c>
      <c r="AJ256" s="15">
        <f>SUM($AI$2:AI256)</f>
        <v>12</v>
      </c>
    </row>
    <row r="257" spans="18:36">
      <c r="R257" s="15" t="str">
        <f t="shared" si="35"/>
        <v/>
      </c>
      <c r="S257" s="15">
        <f t="shared" si="27"/>
        <v>0</v>
      </c>
      <c r="T257" s="16" t="str">
        <f>IF(S257=1, DATE(YEAR(Settings!$B$3), MONTH(D257), DAY(D257)), "")</f>
        <v/>
      </c>
      <c r="U257" s="15" t="str">
        <f>IF(S257=1,IFERROR(INDEX(Settings!$B$12:$B$41,MATCH($B257,Settings!$A$12:$A$41,0)),"N"),"")</f>
        <v/>
      </c>
      <c r="V257" s="15" t="str">
        <f>IF(S257=1,IFERROR(INDEX(Settings!$C$12:$C$41,MATCH($B257,Settings!$A$12:$A$41,0)),""),"")</f>
        <v/>
      </c>
      <c r="W257" s="17">
        <f>IF(S257=1,IFERROR(INDEX(Settings!$D$12:$D$41,MATCH($B257,Settings!$A$12:$A$41,0)),0),0)</f>
        <v>0</v>
      </c>
      <c r="X257" s="18">
        <f t="shared" si="28"/>
        <v>0</v>
      </c>
      <c r="Y257" s="18" t="str">
        <f t="shared" si="29"/>
        <v/>
      </c>
      <c r="Z257" s="15" t="str">
        <f>IF(S257=1,IFERROR(INDEX(Settings!$E$12:$E$41,MATCH($B257,Settings!$A$12:$A$41,0)),"N"),"")</f>
        <v/>
      </c>
      <c r="AA257" s="17">
        <f>IF(S257=1,IFERROR(INDEX(Settings!$F$12:$F$41,MATCH($B257,Settings!$A$12:$A$41,0)),0),0)</f>
        <v>0</v>
      </c>
      <c r="AB257" s="15">
        <f>IF(S257=1,IFERROR(INDEX(Settings!$G$12:$G$41,MATCH($B257,Settings!$A$12:$A$41,0)),0),0)</f>
        <v>0</v>
      </c>
      <c r="AC257" s="18" t="str">
        <f t="shared" si="30"/>
        <v/>
      </c>
      <c r="AD257" s="15" t="str">
        <f t="shared" si="31"/>
        <v/>
      </c>
      <c r="AE257" s="15" t="str">
        <f t="shared" si="32"/>
        <v/>
      </c>
      <c r="AF257" s="15" t="str">
        <f t="shared" si="33"/>
        <v/>
      </c>
      <c r="AG257" s="18">
        <f>IF(AND(S257=1,Z257="Y"),IF(Settings!$B$6="Percentage",IF(AD257=0,0,AC257*AA257*(N257/AD257)),IF(Settings!$B$6="Points",IF(AF257=0,0,AC257*(N257*AB257)/AF257),IF(Settings!$B$6="Equally",IF(AE257=0,0,AC257*N257/AE257),0))),0)</f>
        <v>0</v>
      </c>
      <c r="AH257" s="18" t="str">
        <f t="shared" si="34"/>
        <v/>
      </c>
      <c r="AI257" s="15">
        <f>IF(S257=1,IF(COUNTIFS($R$2:R257,R257,$S$2:S257,1)=1,1,0),0)</f>
        <v>0</v>
      </c>
      <c r="AJ257" s="15">
        <f>SUM($AI$2:AI257)</f>
        <v>12</v>
      </c>
    </row>
    <row r="258" spans="18:36">
      <c r="R258" s="15" t="str">
        <f t="shared" si="35"/>
        <v/>
      </c>
      <c r="S258" s="15">
        <f t="shared" ref="S258:S321" si="36">IF(AND(D258&lt;&gt;"",A258&lt;&gt;"Total"),1,0)</f>
        <v>0</v>
      </c>
      <c r="T258" s="16" t="str">
        <f>IF(S258=1, DATE(YEAR(Settings!$B$3), MONTH(D258), DAY(D258)), "")</f>
        <v/>
      </c>
      <c r="U258" s="15" t="str">
        <f>IF(S258=1,IFERROR(INDEX(Settings!$B$12:$B$41,MATCH($B258,Settings!$A$12:$A$41,0)),"N"),"")</f>
        <v/>
      </c>
      <c r="V258" s="15" t="str">
        <f>IF(S258=1,IFERROR(INDEX(Settings!$C$12:$C$41,MATCH($B258,Settings!$A$12:$A$41,0)),""),"")</f>
        <v/>
      </c>
      <c r="W258" s="17">
        <f>IF(S258=1,IFERROR(INDEX(Settings!$D$12:$D$41,MATCH($B258,Settings!$A$12:$A$41,0)),0),0)</f>
        <v>0</v>
      </c>
      <c r="X258" s="18">
        <f t="shared" ref="X258:X321" si="37">IF(AND(S258=1,U258="Y"),IF(V258="% of Sales",O258*W258,IF(V258="% of Tips",P258*W258,0)),0)</f>
        <v>0</v>
      </c>
      <c r="Y258" s="18" t="str">
        <f t="shared" ref="Y258:Y321" si="38">IF(S258=1,P258-X258,"")</f>
        <v/>
      </c>
      <c r="Z258" s="15" t="str">
        <f>IF(S258=1,IFERROR(INDEX(Settings!$E$12:$E$41,MATCH($B258,Settings!$A$12:$A$41,0)),"N"),"")</f>
        <v/>
      </c>
      <c r="AA258" s="17">
        <f>IF(S258=1,IFERROR(INDEX(Settings!$F$12:$F$41,MATCH($B258,Settings!$A$12:$A$41,0)),0),0)</f>
        <v>0</v>
      </c>
      <c r="AB258" s="15">
        <f>IF(S258=1,IFERROR(INDEX(Settings!$G$12:$G$41,MATCH($B258,Settings!$A$12:$A$41,0)),0),0)</f>
        <v>0</v>
      </c>
      <c r="AC258" s="18" t="str">
        <f t="shared" ref="AC258:AC321" si="39">IF(S258=1,SUMIFS($X$2:$X$601,$S$2:$S$601,1,$T$2:$T$601,T258),"")</f>
        <v/>
      </c>
      <c r="AD258" s="15" t="str">
        <f t="shared" ref="AD258:AD321" si="40">IF(S258=1,SUMIFS($N$2:$N$601,$S$2:$S$601,1,$T$2:$T$601,T258,$B$2:$B$601,B258),"")</f>
        <v/>
      </c>
      <c r="AE258" s="15" t="str">
        <f t="shared" ref="AE258:AE321" si="41">IF(S258=1,SUMIFS($N$2:$N$601,$S$2:$S$601,1,$T$2:$T$601,T258,$Z$2:$Z$601,"Y"),"")</f>
        <v/>
      </c>
      <c r="AF258" s="15" t="str">
        <f t="shared" ref="AF258:AF321" si="42">IF(S258=1,SUMPRODUCT(($S$2:$S$601=1)*($T$2:$T$601=T258)*($Z$2:$Z$601="Y")*($N$2:$N$601)*($AB$2:$AB$601)),"")</f>
        <v/>
      </c>
      <c r="AG258" s="18">
        <f>IF(AND(S258=1,Z258="Y"),IF(Settings!$B$6="Percentage",IF(AD258=0,0,AC258*AA258*(N258/AD258)),IF(Settings!$B$6="Points",IF(AF258=0,0,AC258*(N258*AB258)/AF258),IF(Settings!$B$6="Equally",IF(AE258=0,0,AC258*N258/AE258),0))),0)</f>
        <v>0</v>
      </c>
      <c r="AH258" s="18" t="str">
        <f t="shared" ref="AH258:AH321" si="43">IF(S258=1,Y258+AG258,"")</f>
        <v/>
      </c>
      <c r="AI258" s="15">
        <f>IF(S258=1,IF(COUNTIFS($R$2:R258,R258,$S$2:S258,1)=1,1,0),0)</f>
        <v>0</v>
      </c>
      <c r="AJ258" s="15">
        <f>SUM($AI$2:AI258)</f>
        <v>12</v>
      </c>
    </row>
    <row r="259" spans="18:36">
      <c r="R259" s="15" t="str">
        <f t="shared" ref="R259:R322" si="44">IF(A259&lt;&gt;"",IF(A259="Total","",A259),IF(D259&lt;&gt;"",R258,""))</f>
        <v/>
      </c>
      <c r="S259" s="15">
        <f t="shared" si="36"/>
        <v>0</v>
      </c>
      <c r="T259" s="16" t="str">
        <f>IF(S259=1, DATE(YEAR(Settings!$B$3), MONTH(D259), DAY(D259)), "")</f>
        <v/>
      </c>
      <c r="U259" s="15" t="str">
        <f>IF(S259=1,IFERROR(INDEX(Settings!$B$12:$B$41,MATCH($B259,Settings!$A$12:$A$41,0)),"N"),"")</f>
        <v/>
      </c>
      <c r="V259" s="15" t="str">
        <f>IF(S259=1,IFERROR(INDEX(Settings!$C$12:$C$41,MATCH($B259,Settings!$A$12:$A$41,0)),""),"")</f>
        <v/>
      </c>
      <c r="W259" s="17">
        <f>IF(S259=1,IFERROR(INDEX(Settings!$D$12:$D$41,MATCH($B259,Settings!$A$12:$A$41,0)),0),0)</f>
        <v>0</v>
      </c>
      <c r="X259" s="18">
        <f t="shared" si="37"/>
        <v>0</v>
      </c>
      <c r="Y259" s="18" t="str">
        <f t="shared" si="38"/>
        <v/>
      </c>
      <c r="Z259" s="15" t="str">
        <f>IF(S259=1,IFERROR(INDEX(Settings!$E$12:$E$41,MATCH($B259,Settings!$A$12:$A$41,0)),"N"),"")</f>
        <v/>
      </c>
      <c r="AA259" s="17">
        <f>IF(S259=1,IFERROR(INDEX(Settings!$F$12:$F$41,MATCH($B259,Settings!$A$12:$A$41,0)),0),0)</f>
        <v>0</v>
      </c>
      <c r="AB259" s="15">
        <f>IF(S259=1,IFERROR(INDEX(Settings!$G$12:$G$41,MATCH($B259,Settings!$A$12:$A$41,0)),0),0)</f>
        <v>0</v>
      </c>
      <c r="AC259" s="18" t="str">
        <f t="shared" si="39"/>
        <v/>
      </c>
      <c r="AD259" s="15" t="str">
        <f t="shared" si="40"/>
        <v/>
      </c>
      <c r="AE259" s="15" t="str">
        <f t="shared" si="41"/>
        <v/>
      </c>
      <c r="AF259" s="15" t="str">
        <f t="shared" si="42"/>
        <v/>
      </c>
      <c r="AG259" s="18">
        <f>IF(AND(S259=1,Z259="Y"),IF(Settings!$B$6="Percentage",IF(AD259=0,0,AC259*AA259*(N259/AD259)),IF(Settings!$B$6="Points",IF(AF259=0,0,AC259*(N259*AB259)/AF259),IF(Settings!$B$6="Equally",IF(AE259=0,0,AC259*N259/AE259),0))),0)</f>
        <v>0</v>
      </c>
      <c r="AH259" s="18" t="str">
        <f t="shared" si="43"/>
        <v/>
      </c>
      <c r="AI259" s="15">
        <f>IF(S259=1,IF(COUNTIFS($R$2:R259,R259,$S$2:S259,1)=1,1,0),0)</f>
        <v>0</v>
      </c>
      <c r="AJ259" s="15">
        <f>SUM($AI$2:AI259)</f>
        <v>12</v>
      </c>
    </row>
    <row r="260" spans="18:36">
      <c r="R260" s="15" t="str">
        <f t="shared" si="44"/>
        <v/>
      </c>
      <c r="S260" s="15">
        <f t="shared" si="36"/>
        <v>0</v>
      </c>
      <c r="T260" s="16" t="str">
        <f>IF(S260=1, DATE(YEAR(Settings!$B$3), MONTH(D260), DAY(D260)), "")</f>
        <v/>
      </c>
      <c r="U260" s="15" t="str">
        <f>IF(S260=1,IFERROR(INDEX(Settings!$B$12:$B$41,MATCH($B260,Settings!$A$12:$A$41,0)),"N"),"")</f>
        <v/>
      </c>
      <c r="V260" s="15" t="str">
        <f>IF(S260=1,IFERROR(INDEX(Settings!$C$12:$C$41,MATCH($B260,Settings!$A$12:$A$41,0)),""),"")</f>
        <v/>
      </c>
      <c r="W260" s="17">
        <f>IF(S260=1,IFERROR(INDEX(Settings!$D$12:$D$41,MATCH($B260,Settings!$A$12:$A$41,0)),0),0)</f>
        <v>0</v>
      </c>
      <c r="X260" s="18">
        <f t="shared" si="37"/>
        <v>0</v>
      </c>
      <c r="Y260" s="18" t="str">
        <f t="shared" si="38"/>
        <v/>
      </c>
      <c r="Z260" s="15" t="str">
        <f>IF(S260=1,IFERROR(INDEX(Settings!$E$12:$E$41,MATCH($B260,Settings!$A$12:$A$41,0)),"N"),"")</f>
        <v/>
      </c>
      <c r="AA260" s="17">
        <f>IF(S260=1,IFERROR(INDEX(Settings!$F$12:$F$41,MATCH($B260,Settings!$A$12:$A$41,0)),0),0)</f>
        <v>0</v>
      </c>
      <c r="AB260" s="15">
        <f>IF(S260=1,IFERROR(INDEX(Settings!$G$12:$G$41,MATCH($B260,Settings!$A$12:$A$41,0)),0),0)</f>
        <v>0</v>
      </c>
      <c r="AC260" s="18" t="str">
        <f t="shared" si="39"/>
        <v/>
      </c>
      <c r="AD260" s="15" t="str">
        <f t="shared" si="40"/>
        <v/>
      </c>
      <c r="AE260" s="15" t="str">
        <f t="shared" si="41"/>
        <v/>
      </c>
      <c r="AF260" s="15" t="str">
        <f t="shared" si="42"/>
        <v/>
      </c>
      <c r="AG260" s="18">
        <f>IF(AND(S260=1,Z260="Y"),IF(Settings!$B$6="Percentage",IF(AD260=0,0,AC260*AA260*(N260/AD260)),IF(Settings!$B$6="Points",IF(AF260=0,0,AC260*(N260*AB260)/AF260),IF(Settings!$B$6="Equally",IF(AE260=0,0,AC260*N260/AE260),0))),0)</f>
        <v>0</v>
      </c>
      <c r="AH260" s="18" t="str">
        <f t="shared" si="43"/>
        <v/>
      </c>
      <c r="AI260" s="15">
        <f>IF(S260=1,IF(COUNTIFS($R$2:R260,R260,$S$2:S260,1)=1,1,0),0)</f>
        <v>0</v>
      </c>
      <c r="AJ260" s="15">
        <f>SUM($AI$2:AI260)</f>
        <v>12</v>
      </c>
    </row>
    <row r="261" spans="18:36">
      <c r="R261" s="15" t="str">
        <f t="shared" si="44"/>
        <v/>
      </c>
      <c r="S261" s="15">
        <f t="shared" si="36"/>
        <v>0</v>
      </c>
      <c r="T261" s="16" t="str">
        <f>IF(S261=1, DATE(YEAR(Settings!$B$3), MONTH(D261), DAY(D261)), "")</f>
        <v/>
      </c>
      <c r="U261" s="15" t="str">
        <f>IF(S261=1,IFERROR(INDEX(Settings!$B$12:$B$41,MATCH($B261,Settings!$A$12:$A$41,0)),"N"),"")</f>
        <v/>
      </c>
      <c r="V261" s="15" t="str">
        <f>IF(S261=1,IFERROR(INDEX(Settings!$C$12:$C$41,MATCH($B261,Settings!$A$12:$A$41,0)),""),"")</f>
        <v/>
      </c>
      <c r="W261" s="17">
        <f>IF(S261=1,IFERROR(INDEX(Settings!$D$12:$D$41,MATCH($B261,Settings!$A$12:$A$41,0)),0),0)</f>
        <v>0</v>
      </c>
      <c r="X261" s="18">
        <f t="shared" si="37"/>
        <v>0</v>
      </c>
      <c r="Y261" s="18" t="str">
        <f t="shared" si="38"/>
        <v/>
      </c>
      <c r="Z261" s="15" t="str">
        <f>IF(S261=1,IFERROR(INDEX(Settings!$E$12:$E$41,MATCH($B261,Settings!$A$12:$A$41,0)),"N"),"")</f>
        <v/>
      </c>
      <c r="AA261" s="17">
        <f>IF(S261=1,IFERROR(INDEX(Settings!$F$12:$F$41,MATCH($B261,Settings!$A$12:$A$41,0)),0),0)</f>
        <v>0</v>
      </c>
      <c r="AB261" s="15">
        <f>IF(S261=1,IFERROR(INDEX(Settings!$G$12:$G$41,MATCH($B261,Settings!$A$12:$A$41,0)),0),0)</f>
        <v>0</v>
      </c>
      <c r="AC261" s="18" t="str">
        <f t="shared" si="39"/>
        <v/>
      </c>
      <c r="AD261" s="15" t="str">
        <f t="shared" si="40"/>
        <v/>
      </c>
      <c r="AE261" s="15" t="str">
        <f t="shared" si="41"/>
        <v/>
      </c>
      <c r="AF261" s="15" t="str">
        <f t="shared" si="42"/>
        <v/>
      </c>
      <c r="AG261" s="18">
        <f>IF(AND(S261=1,Z261="Y"),IF(Settings!$B$6="Percentage",IF(AD261=0,0,AC261*AA261*(N261/AD261)),IF(Settings!$B$6="Points",IF(AF261=0,0,AC261*(N261*AB261)/AF261),IF(Settings!$B$6="Equally",IF(AE261=0,0,AC261*N261/AE261),0))),0)</f>
        <v>0</v>
      </c>
      <c r="AH261" s="18" t="str">
        <f t="shared" si="43"/>
        <v/>
      </c>
      <c r="AI261" s="15">
        <f>IF(S261=1,IF(COUNTIFS($R$2:R261,R261,$S$2:S261,1)=1,1,0),0)</f>
        <v>0</v>
      </c>
      <c r="AJ261" s="15">
        <f>SUM($AI$2:AI261)</f>
        <v>12</v>
      </c>
    </row>
    <row r="262" spans="18:36">
      <c r="R262" s="15" t="str">
        <f t="shared" si="44"/>
        <v/>
      </c>
      <c r="S262" s="15">
        <f t="shared" si="36"/>
        <v>0</v>
      </c>
      <c r="T262" s="16" t="str">
        <f>IF(S262=1, DATE(YEAR(Settings!$B$3), MONTH(D262), DAY(D262)), "")</f>
        <v/>
      </c>
      <c r="U262" s="15" t="str">
        <f>IF(S262=1,IFERROR(INDEX(Settings!$B$12:$B$41,MATCH($B262,Settings!$A$12:$A$41,0)),"N"),"")</f>
        <v/>
      </c>
      <c r="V262" s="15" t="str">
        <f>IF(S262=1,IFERROR(INDEX(Settings!$C$12:$C$41,MATCH($B262,Settings!$A$12:$A$41,0)),""),"")</f>
        <v/>
      </c>
      <c r="W262" s="17">
        <f>IF(S262=1,IFERROR(INDEX(Settings!$D$12:$D$41,MATCH($B262,Settings!$A$12:$A$41,0)),0),0)</f>
        <v>0</v>
      </c>
      <c r="X262" s="18">
        <f t="shared" si="37"/>
        <v>0</v>
      </c>
      <c r="Y262" s="18" t="str">
        <f t="shared" si="38"/>
        <v/>
      </c>
      <c r="Z262" s="15" t="str">
        <f>IF(S262=1,IFERROR(INDEX(Settings!$E$12:$E$41,MATCH($B262,Settings!$A$12:$A$41,0)),"N"),"")</f>
        <v/>
      </c>
      <c r="AA262" s="17">
        <f>IF(S262=1,IFERROR(INDEX(Settings!$F$12:$F$41,MATCH($B262,Settings!$A$12:$A$41,0)),0),0)</f>
        <v>0</v>
      </c>
      <c r="AB262" s="15">
        <f>IF(S262=1,IFERROR(INDEX(Settings!$G$12:$G$41,MATCH($B262,Settings!$A$12:$A$41,0)),0),0)</f>
        <v>0</v>
      </c>
      <c r="AC262" s="18" t="str">
        <f t="shared" si="39"/>
        <v/>
      </c>
      <c r="AD262" s="15" t="str">
        <f t="shared" si="40"/>
        <v/>
      </c>
      <c r="AE262" s="15" t="str">
        <f t="shared" si="41"/>
        <v/>
      </c>
      <c r="AF262" s="15" t="str">
        <f t="shared" si="42"/>
        <v/>
      </c>
      <c r="AG262" s="18">
        <f>IF(AND(S262=1,Z262="Y"),IF(Settings!$B$6="Percentage",IF(AD262=0,0,AC262*AA262*(N262/AD262)),IF(Settings!$B$6="Points",IF(AF262=0,0,AC262*(N262*AB262)/AF262),IF(Settings!$B$6="Equally",IF(AE262=0,0,AC262*N262/AE262),0))),0)</f>
        <v>0</v>
      </c>
      <c r="AH262" s="18" t="str">
        <f t="shared" si="43"/>
        <v/>
      </c>
      <c r="AI262" s="15">
        <f>IF(S262=1,IF(COUNTIFS($R$2:R262,R262,$S$2:S262,1)=1,1,0),0)</f>
        <v>0</v>
      </c>
      <c r="AJ262" s="15">
        <f>SUM($AI$2:AI262)</f>
        <v>12</v>
      </c>
    </row>
    <row r="263" spans="18:36">
      <c r="R263" s="15" t="str">
        <f t="shared" si="44"/>
        <v/>
      </c>
      <c r="S263" s="15">
        <f t="shared" si="36"/>
        <v>0</v>
      </c>
      <c r="T263" s="16" t="str">
        <f>IF(S263=1, DATE(YEAR(Settings!$B$3), MONTH(D263), DAY(D263)), "")</f>
        <v/>
      </c>
      <c r="U263" s="15" t="str">
        <f>IF(S263=1,IFERROR(INDEX(Settings!$B$12:$B$41,MATCH($B263,Settings!$A$12:$A$41,0)),"N"),"")</f>
        <v/>
      </c>
      <c r="V263" s="15" t="str">
        <f>IF(S263=1,IFERROR(INDEX(Settings!$C$12:$C$41,MATCH($B263,Settings!$A$12:$A$41,0)),""),"")</f>
        <v/>
      </c>
      <c r="W263" s="17">
        <f>IF(S263=1,IFERROR(INDEX(Settings!$D$12:$D$41,MATCH($B263,Settings!$A$12:$A$41,0)),0),0)</f>
        <v>0</v>
      </c>
      <c r="X263" s="18">
        <f t="shared" si="37"/>
        <v>0</v>
      </c>
      <c r="Y263" s="18" t="str">
        <f t="shared" si="38"/>
        <v/>
      </c>
      <c r="Z263" s="15" t="str">
        <f>IF(S263=1,IFERROR(INDEX(Settings!$E$12:$E$41,MATCH($B263,Settings!$A$12:$A$41,0)),"N"),"")</f>
        <v/>
      </c>
      <c r="AA263" s="17">
        <f>IF(S263=1,IFERROR(INDEX(Settings!$F$12:$F$41,MATCH($B263,Settings!$A$12:$A$41,0)),0),0)</f>
        <v>0</v>
      </c>
      <c r="AB263" s="15">
        <f>IF(S263=1,IFERROR(INDEX(Settings!$G$12:$G$41,MATCH($B263,Settings!$A$12:$A$41,0)),0),0)</f>
        <v>0</v>
      </c>
      <c r="AC263" s="18" t="str">
        <f t="shared" si="39"/>
        <v/>
      </c>
      <c r="AD263" s="15" t="str">
        <f t="shared" si="40"/>
        <v/>
      </c>
      <c r="AE263" s="15" t="str">
        <f t="shared" si="41"/>
        <v/>
      </c>
      <c r="AF263" s="15" t="str">
        <f t="shared" si="42"/>
        <v/>
      </c>
      <c r="AG263" s="18">
        <f>IF(AND(S263=1,Z263="Y"),IF(Settings!$B$6="Percentage",IF(AD263=0,0,AC263*AA263*(N263/AD263)),IF(Settings!$B$6="Points",IF(AF263=0,0,AC263*(N263*AB263)/AF263),IF(Settings!$B$6="Equally",IF(AE263=0,0,AC263*N263/AE263),0))),0)</f>
        <v>0</v>
      </c>
      <c r="AH263" s="18" t="str">
        <f t="shared" si="43"/>
        <v/>
      </c>
      <c r="AI263" s="15">
        <f>IF(S263=1,IF(COUNTIFS($R$2:R263,R263,$S$2:S263,1)=1,1,0),0)</f>
        <v>0</v>
      </c>
      <c r="AJ263" s="15">
        <f>SUM($AI$2:AI263)</f>
        <v>12</v>
      </c>
    </row>
    <row r="264" spans="18:36">
      <c r="R264" s="15" t="str">
        <f t="shared" si="44"/>
        <v/>
      </c>
      <c r="S264" s="15">
        <f t="shared" si="36"/>
        <v>0</v>
      </c>
      <c r="T264" s="16" t="str">
        <f>IF(S264=1, DATE(YEAR(Settings!$B$3), MONTH(D264), DAY(D264)), "")</f>
        <v/>
      </c>
      <c r="U264" s="15" t="str">
        <f>IF(S264=1,IFERROR(INDEX(Settings!$B$12:$B$41,MATCH($B264,Settings!$A$12:$A$41,0)),"N"),"")</f>
        <v/>
      </c>
      <c r="V264" s="15" t="str">
        <f>IF(S264=1,IFERROR(INDEX(Settings!$C$12:$C$41,MATCH($B264,Settings!$A$12:$A$41,0)),""),"")</f>
        <v/>
      </c>
      <c r="W264" s="17">
        <f>IF(S264=1,IFERROR(INDEX(Settings!$D$12:$D$41,MATCH($B264,Settings!$A$12:$A$41,0)),0),0)</f>
        <v>0</v>
      </c>
      <c r="X264" s="18">
        <f t="shared" si="37"/>
        <v>0</v>
      </c>
      <c r="Y264" s="18" t="str">
        <f t="shared" si="38"/>
        <v/>
      </c>
      <c r="Z264" s="15" t="str">
        <f>IF(S264=1,IFERROR(INDEX(Settings!$E$12:$E$41,MATCH($B264,Settings!$A$12:$A$41,0)),"N"),"")</f>
        <v/>
      </c>
      <c r="AA264" s="17">
        <f>IF(S264=1,IFERROR(INDEX(Settings!$F$12:$F$41,MATCH($B264,Settings!$A$12:$A$41,0)),0),0)</f>
        <v>0</v>
      </c>
      <c r="AB264" s="15">
        <f>IF(S264=1,IFERROR(INDEX(Settings!$G$12:$G$41,MATCH($B264,Settings!$A$12:$A$41,0)),0),0)</f>
        <v>0</v>
      </c>
      <c r="AC264" s="18" t="str">
        <f t="shared" si="39"/>
        <v/>
      </c>
      <c r="AD264" s="15" t="str">
        <f t="shared" si="40"/>
        <v/>
      </c>
      <c r="AE264" s="15" t="str">
        <f t="shared" si="41"/>
        <v/>
      </c>
      <c r="AF264" s="15" t="str">
        <f t="shared" si="42"/>
        <v/>
      </c>
      <c r="AG264" s="18">
        <f>IF(AND(S264=1,Z264="Y"),IF(Settings!$B$6="Percentage",IF(AD264=0,0,AC264*AA264*(N264/AD264)),IF(Settings!$B$6="Points",IF(AF264=0,0,AC264*(N264*AB264)/AF264),IF(Settings!$B$6="Equally",IF(AE264=0,0,AC264*N264/AE264),0))),0)</f>
        <v>0</v>
      </c>
      <c r="AH264" s="18" t="str">
        <f t="shared" si="43"/>
        <v/>
      </c>
      <c r="AI264" s="15">
        <f>IF(S264=1,IF(COUNTIFS($R$2:R264,R264,$S$2:S264,1)=1,1,0),0)</f>
        <v>0</v>
      </c>
      <c r="AJ264" s="15">
        <f>SUM($AI$2:AI264)</f>
        <v>12</v>
      </c>
    </row>
    <row r="265" spans="18:36">
      <c r="R265" s="15" t="str">
        <f t="shared" si="44"/>
        <v/>
      </c>
      <c r="S265" s="15">
        <f t="shared" si="36"/>
        <v>0</v>
      </c>
      <c r="T265" s="16" t="str">
        <f>IF(S265=1, DATE(YEAR(Settings!$B$3), MONTH(D265), DAY(D265)), "")</f>
        <v/>
      </c>
      <c r="U265" s="15" t="str">
        <f>IF(S265=1,IFERROR(INDEX(Settings!$B$12:$B$41,MATCH($B265,Settings!$A$12:$A$41,0)),"N"),"")</f>
        <v/>
      </c>
      <c r="V265" s="15" t="str">
        <f>IF(S265=1,IFERROR(INDEX(Settings!$C$12:$C$41,MATCH($B265,Settings!$A$12:$A$41,0)),""),"")</f>
        <v/>
      </c>
      <c r="W265" s="17">
        <f>IF(S265=1,IFERROR(INDEX(Settings!$D$12:$D$41,MATCH($B265,Settings!$A$12:$A$41,0)),0),0)</f>
        <v>0</v>
      </c>
      <c r="X265" s="18">
        <f t="shared" si="37"/>
        <v>0</v>
      </c>
      <c r="Y265" s="18" t="str">
        <f t="shared" si="38"/>
        <v/>
      </c>
      <c r="Z265" s="15" t="str">
        <f>IF(S265=1,IFERROR(INDEX(Settings!$E$12:$E$41,MATCH($B265,Settings!$A$12:$A$41,0)),"N"),"")</f>
        <v/>
      </c>
      <c r="AA265" s="17">
        <f>IF(S265=1,IFERROR(INDEX(Settings!$F$12:$F$41,MATCH($B265,Settings!$A$12:$A$41,0)),0),0)</f>
        <v>0</v>
      </c>
      <c r="AB265" s="15">
        <f>IF(S265=1,IFERROR(INDEX(Settings!$G$12:$G$41,MATCH($B265,Settings!$A$12:$A$41,0)),0),0)</f>
        <v>0</v>
      </c>
      <c r="AC265" s="18" t="str">
        <f t="shared" si="39"/>
        <v/>
      </c>
      <c r="AD265" s="15" t="str">
        <f t="shared" si="40"/>
        <v/>
      </c>
      <c r="AE265" s="15" t="str">
        <f t="shared" si="41"/>
        <v/>
      </c>
      <c r="AF265" s="15" t="str">
        <f t="shared" si="42"/>
        <v/>
      </c>
      <c r="AG265" s="18">
        <f>IF(AND(S265=1,Z265="Y"),IF(Settings!$B$6="Percentage",IF(AD265=0,0,AC265*AA265*(N265/AD265)),IF(Settings!$B$6="Points",IF(AF265=0,0,AC265*(N265*AB265)/AF265),IF(Settings!$B$6="Equally",IF(AE265=0,0,AC265*N265/AE265),0))),0)</f>
        <v>0</v>
      </c>
      <c r="AH265" s="18" t="str">
        <f t="shared" si="43"/>
        <v/>
      </c>
      <c r="AI265" s="15">
        <f>IF(S265=1,IF(COUNTIFS($R$2:R265,R265,$S$2:S265,1)=1,1,0),0)</f>
        <v>0</v>
      </c>
      <c r="AJ265" s="15">
        <f>SUM($AI$2:AI265)</f>
        <v>12</v>
      </c>
    </row>
    <row r="266" spans="18:36">
      <c r="R266" s="15" t="str">
        <f t="shared" si="44"/>
        <v/>
      </c>
      <c r="S266" s="15">
        <f t="shared" si="36"/>
        <v>0</v>
      </c>
      <c r="T266" s="16" t="str">
        <f>IF(S266=1, DATE(YEAR(Settings!$B$3), MONTH(D266), DAY(D266)), "")</f>
        <v/>
      </c>
      <c r="U266" s="15" t="str">
        <f>IF(S266=1,IFERROR(INDEX(Settings!$B$12:$B$41,MATCH($B266,Settings!$A$12:$A$41,0)),"N"),"")</f>
        <v/>
      </c>
      <c r="V266" s="15" t="str">
        <f>IF(S266=1,IFERROR(INDEX(Settings!$C$12:$C$41,MATCH($B266,Settings!$A$12:$A$41,0)),""),"")</f>
        <v/>
      </c>
      <c r="W266" s="17">
        <f>IF(S266=1,IFERROR(INDEX(Settings!$D$12:$D$41,MATCH($B266,Settings!$A$12:$A$41,0)),0),0)</f>
        <v>0</v>
      </c>
      <c r="X266" s="18">
        <f t="shared" si="37"/>
        <v>0</v>
      </c>
      <c r="Y266" s="18" t="str">
        <f t="shared" si="38"/>
        <v/>
      </c>
      <c r="Z266" s="15" t="str">
        <f>IF(S266=1,IFERROR(INDEX(Settings!$E$12:$E$41,MATCH($B266,Settings!$A$12:$A$41,0)),"N"),"")</f>
        <v/>
      </c>
      <c r="AA266" s="17">
        <f>IF(S266=1,IFERROR(INDEX(Settings!$F$12:$F$41,MATCH($B266,Settings!$A$12:$A$41,0)),0),0)</f>
        <v>0</v>
      </c>
      <c r="AB266" s="15">
        <f>IF(S266=1,IFERROR(INDEX(Settings!$G$12:$G$41,MATCH($B266,Settings!$A$12:$A$41,0)),0),0)</f>
        <v>0</v>
      </c>
      <c r="AC266" s="18" t="str">
        <f t="shared" si="39"/>
        <v/>
      </c>
      <c r="AD266" s="15" t="str">
        <f t="shared" si="40"/>
        <v/>
      </c>
      <c r="AE266" s="15" t="str">
        <f t="shared" si="41"/>
        <v/>
      </c>
      <c r="AF266" s="15" t="str">
        <f t="shared" si="42"/>
        <v/>
      </c>
      <c r="AG266" s="18">
        <f>IF(AND(S266=1,Z266="Y"),IF(Settings!$B$6="Percentage",IF(AD266=0,0,AC266*AA266*(N266/AD266)),IF(Settings!$B$6="Points",IF(AF266=0,0,AC266*(N266*AB266)/AF266),IF(Settings!$B$6="Equally",IF(AE266=0,0,AC266*N266/AE266),0))),0)</f>
        <v>0</v>
      </c>
      <c r="AH266" s="18" t="str">
        <f t="shared" si="43"/>
        <v/>
      </c>
      <c r="AI266" s="15">
        <f>IF(S266=1,IF(COUNTIFS($R$2:R266,R266,$S$2:S266,1)=1,1,0),0)</f>
        <v>0</v>
      </c>
      <c r="AJ266" s="15">
        <f>SUM($AI$2:AI266)</f>
        <v>12</v>
      </c>
    </row>
    <row r="267" spans="18:36">
      <c r="R267" s="15" t="str">
        <f t="shared" si="44"/>
        <v/>
      </c>
      <c r="S267" s="15">
        <f t="shared" si="36"/>
        <v>0</v>
      </c>
      <c r="T267" s="16" t="str">
        <f>IF(S267=1, DATE(YEAR(Settings!$B$3), MONTH(D267), DAY(D267)), "")</f>
        <v/>
      </c>
      <c r="U267" s="15" t="str">
        <f>IF(S267=1,IFERROR(INDEX(Settings!$B$12:$B$41,MATCH($B267,Settings!$A$12:$A$41,0)),"N"),"")</f>
        <v/>
      </c>
      <c r="V267" s="15" t="str">
        <f>IF(S267=1,IFERROR(INDEX(Settings!$C$12:$C$41,MATCH($B267,Settings!$A$12:$A$41,0)),""),"")</f>
        <v/>
      </c>
      <c r="W267" s="17">
        <f>IF(S267=1,IFERROR(INDEX(Settings!$D$12:$D$41,MATCH($B267,Settings!$A$12:$A$41,0)),0),0)</f>
        <v>0</v>
      </c>
      <c r="X267" s="18">
        <f t="shared" si="37"/>
        <v>0</v>
      </c>
      <c r="Y267" s="18" t="str">
        <f t="shared" si="38"/>
        <v/>
      </c>
      <c r="Z267" s="15" t="str">
        <f>IF(S267=1,IFERROR(INDEX(Settings!$E$12:$E$41,MATCH($B267,Settings!$A$12:$A$41,0)),"N"),"")</f>
        <v/>
      </c>
      <c r="AA267" s="17">
        <f>IF(S267=1,IFERROR(INDEX(Settings!$F$12:$F$41,MATCH($B267,Settings!$A$12:$A$41,0)),0),0)</f>
        <v>0</v>
      </c>
      <c r="AB267" s="15">
        <f>IF(S267=1,IFERROR(INDEX(Settings!$G$12:$G$41,MATCH($B267,Settings!$A$12:$A$41,0)),0),0)</f>
        <v>0</v>
      </c>
      <c r="AC267" s="18" t="str">
        <f t="shared" si="39"/>
        <v/>
      </c>
      <c r="AD267" s="15" t="str">
        <f t="shared" si="40"/>
        <v/>
      </c>
      <c r="AE267" s="15" t="str">
        <f t="shared" si="41"/>
        <v/>
      </c>
      <c r="AF267" s="15" t="str">
        <f t="shared" si="42"/>
        <v/>
      </c>
      <c r="AG267" s="18">
        <f>IF(AND(S267=1,Z267="Y"),IF(Settings!$B$6="Percentage",IF(AD267=0,0,AC267*AA267*(N267/AD267)),IF(Settings!$B$6="Points",IF(AF267=0,0,AC267*(N267*AB267)/AF267),IF(Settings!$B$6="Equally",IF(AE267=0,0,AC267*N267/AE267),0))),0)</f>
        <v>0</v>
      </c>
      <c r="AH267" s="18" t="str">
        <f t="shared" si="43"/>
        <v/>
      </c>
      <c r="AI267" s="15">
        <f>IF(S267=1,IF(COUNTIFS($R$2:R267,R267,$S$2:S267,1)=1,1,0),0)</f>
        <v>0</v>
      </c>
      <c r="AJ267" s="15">
        <f>SUM($AI$2:AI267)</f>
        <v>12</v>
      </c>
    </row>
    <row r="268" spans="18:36">
      <c r="R268" s="15" t="str">
        <f t="shared" si="44"/>
        <v/>
      </c>
      <c r="S268" s="15">
        <f t="shared" si="36"/>
        <v>0</v>
      </c>
      <c r="T268" s="16" t="str">
        <f>IF(S268=1, DATE(YEAR(Settings!$B$3), MONTH(D268), DAY(D268)), "")</f>
        <v/>
      </c>
      <c r="U268" s="15" t="str">
        <f>IF(S268=1,IFERROR(INDEX(Settings!$B$12:$B$41,MATCH($B268,Settings!$A$12:$A$41,0)),"N"),"")</f>
        <v/>
      </c>
      <c r="V268" s="15" t="str">
        <f>IF(S268=1,IFERROR(INDEX(Settings!$C$12:$C$41,MATCH($B268,Settings!$A$12:$A$41,0)),""),"")</f>
        <v/>
      </c>
      <c r="W268" s="17">
        <f>IF(S268=1,IFERROR(INDEX(Settings!$D$12:$D$41,MATCH($B268,Settings!$A$12:$A$41,0)),0),0)</f>
        <v>0</v>
      </c>
      <c r="X268" s="18">
        <f t="shared" si="37"/>
        <v>0</v>
      </c>
      <c r="Y268" s="18" t="str">
        <f t="shared" si="38"/>
        <v/>
      </c>
      <c r="Z268" s="15" t="str">
        <f>IF(S268=1,IFERROR(INDEX(Settings!$E$12:$E$41,MATCH($B268,Settings!$A$12:$A$41,0)),"N"),"")</f>
        <v/>
      </c>
      <c r="AA268" s="17">
        <f>IF(S268=1,IFERROR(INDEX(Settings!$F$12:$F$41,MATCH($B268,Settings!$A$12:$A$41,0)),0),0)</f>
        <v>0</v>
      </c>
      <c r="AB268" s="15">
        <f>IF(S268=1,IFERROR(INDEX(Settings!$G$12:$G$41,MATCH($B268,Settings!$A$12:$A$41,0)),0),0)</f>
        <v>0</v>
      </c>
      <c r="AC268" s="18" t="str">
        <f t="shared" si="39"/>
        <v/>
      </c>
      <c r="AD268" s="15" t="str">
        <f t="shared" si="40"/>
        <v/>
      </c>
      <c r="AE268" s="15" t="str">
        <f t="shared" si="41"/>
        <v/>
      </c>
      <c r="AF268" s="15" t="str">
        <f t="shared" si="42"/>
        <v/>
      </c>
      <c r="AG268" s="18">
        <f>IF(AND(S268=1,Z268="Y"),IF(Settings!$B$6="Percentage",IF(AD268=0,0,AC268*AA268*(N268/AD268)),IF(Settings!$B$6="Points",IF(AF268=0,0,AC268*(N268*AB268)/AF268),IF(Settings!$B$6="Equally",IF(AE268=0,0,AC268*N268/AE268),0))),0)</f>
        <v>0</v>
      </c>
      <c r="AH268" s="18" t="str">
        <f t="shared" si="43"/>
        <v/>
      </c>
      <c r="AI268" s="15">
        <f>IF(S268=1,IF(COUNTIFS($R$2:R268,R268,$S$2:S268,1)=1,1,0),0)</f>
        <v>0</v>
      </c>
      <c r="AJ268" s="15">
        <f>SUM($AI$2:AI268)</f>
        <v>12</v>
      </c>
    </row>
    <row r="269" spans="18:36">
      <c r="R269" s="15" t="str">
        <f t="shared" si="44"/>
        <v/>
      </c>
      <c r="S269" s="15">
        <f t="shared" si="36"/>
        <v>0</v>
      </c>
      <c r="T269" s="16" t="str">
        <f>IF(S269=1, DATE(YEAR(Settings!$B$3), MONTH(D269), DAY(D269)), "")</f>
        <v/>
      </c>
      <c r="U269" s="15" t="str">
        <f>IF(S269=1,IFERROR(INDEX(Settings!$B$12:$B$41,MATCH($B269,Settings!$A$12:$A$41,0)),"N"),"")</f>
        <v/>
      </c>
      <c r="V269" s="15" t="str">
        <f>IF(S269=1,IFERROR(INDEX(Settings!$C$12:$C$41,MATCH($B269,Settings!$A$12:$A$41,0)),""),"")</f>
        <v/>
      </c>
      <c r="W269" s="17">
        <f>IF(S269=1,IFERROR(INDEX(Settings!$D$12:$D$41,MATCH($B269,Settings!$A$12:$A$41,0)),0),0)</f>
        <v>0</v>
      </c>
      <c r="X269" s="18">
        <f t="shared" si="37"/>
        <v>0</v>
      </c>
      <c r="Y269" s="18" t="str">
        <f t="shared" si="38"/>
        <v/>
      </c>
      <c r="Z269" s="15" t="str">
        <f>IF(S269=1,IFERROR(INDEX(Settings!$E$12:$E$41,MATCH($B269,Settings!$A$12:$A$41,0)),"N"),"")</f>
        <v/>
      </c>
      <c r="AA269" s="17">
        <f>IF(S269=1,IFERROR(INDEX(Settings!$F$12:$F$41,MATCH($B269,Settings!$A$12:$A$41,0)),0),0)</f>
        <v>0</v>
      </c>
      <c r="AB269" s="15">
        <f>IF(S269=1,IFERROR(INDEX(Settings!$G$12:$G$41,MATCH($B269,Settings!$A$12:$A$41,0)),0),0)</f>
        <v>0</v>
      </c>
      <c r="AC269" s="18" t="str">
        <f t="shared" si="39"/>
        <v/>
      </c>
      <c r="AD269" s="15" t="str">
        <f t="shared" si="40"/>
        <v/>
      </c>
      <c r="AE269" s="15" t="str">
        <f t="shared" si="41"/>
        <v/>
      </c>
      <c r="AF269" s="15" t="str">
        <f t="shared" si="42"/>
        <v/>
      </c>
      <c r="AG269" s="18">
        <f>IF(AND(S269=1,Z269="Y"),IF(Settings!$B$6="Percentage",IF(AD269=0,0,AC269*AA269*(N269/AD269)),IF(Settings!$B$6="Points",IF(AF269=0,0,AC269*(N269*AB269)/AF269),IF(Settings!$B$6="Equally",IF(AE269=0,0,AC269*N269/AE269),0))),0)</f>
        <v>0</v>
      </c>
      <c r="AH269" s="18" t="str">
        <f t="shared" si="43"/>
        <v/>
      </c>
      <c r="AI269" s="15">
        <f>IF(S269=1,IF(COUNTIFS($R$2:R269,R269,$S$2:S269,1)=1,1,0),0)</f>
        <v>0</v>
      </c>
      <c r="AJ269" s="15">
        <f>SUM($AI$2:AI269)</f>
        <v>12</v>
      </c>
    </row>
    <row r="270" spans="18:36">
      <c r="R270" s="15" t="str">
        <f t="shared" si="44"/>
        <v/>
      </c>
      <c r="S270" s="15">
        <f t="shared" si="36"/>
        <v>0</v>
      </c>
      <c r="T270" s="16" t="str">
        <f>IF(S270=1, DATE(YEAR(Settings!$B$3), MONTH(D270), DAY(D270)), "")</f>
        <v/>
      </c>
      <c r="U270" s="15" t="str">
        <f>IF(S270=1,IFERROR(INDEX(Settings!$B$12:$B$41,MATCH($B270,Settings!$A$12:$A$41,0)),"N"),"")</f>
        <v/>
      </c>
      <c r="V270" s="15" t="str">
        <f>IF(S270=1,IFERROR(INDEX(Settings!$C$12:$C$41,MATCH($B270,Settings!$A$12:$A$41,0)),""),"")</f>
        <v/>
      </c>
      <c r="W270" s="17">
        <f>IF(S270=1,IFERROR(INDEX(Settings!$D$12:$D$41,MATCH($B270,Settings!$A$12:$A$41,0)),0),0)</f>
        <v>0</v>
      </c>
      <c r="X270" s="18">
        <f t="shared" si="37"/>
        <v>0</v>
      </c>
      <c r="Y270" s="18" t="str">
        <f t="shared" si="38"/>
        <v/>
      </c>
      <c r="Z270" s="15" t="str">
        <f>IF(S270=1,IFERROR(INDEX(Settings!$E$12:$E$41,MATCH($B270,Settings!$A$12:$A$41,0)),"N"),"")</f>
        <v/>
      </c>
      <c r="AA270" s="17">
        <f>IF(S270=1,IFERROR(INDEX(Settings!$F$12:$F$41,MATCH($B270,Settings!$A$12:$A$41,0)),0),0)</f>
        <v>0</v>
      </c>
      <c r="AB270" s="15">
        <f>IF(S270=1,IFERROR(INDEX(Settings!$G$12:$G$41,MATCH($B270,Settings!$A$12:$A$41,0)),0),0)</f>
        <v>0</v>
      </c>
      <c r="AC270" s="18" t="str">
        <f t="shared" si="39"/>
        <v/>
      </c>
      <c r="AD270" s="15" t="str">
        <f t="shared" si="40"/>
        <v/>
      </c>
      <c r="AE270" s="15" t="str">
        <f t="shared" si="41"/>
        <v/>
      </c>
      <c r="AF270" s="15" t="str">
        <f t="shared" si="42"/>
        <v/>
      </c>
      <c r="AG270" s="18">
        <f>IF(AND(S270=1,Z270="Y"),IF(Settings!$B$6="Percentage",IF(AD270=0,0,AC270*AA270*(N270/AD270)),IF(Settings!$B$6="Points",IF(AF270=0,0,AC270*(N270*AB270)/AF270),IF(Settings!$B$6="Equally",IF(AE270=0,0,AC270*N270/AE270),0))),0)</f>
        <v>0</v>
      </c>
      <c r="AH270" s="18" t="str">
        <f t="shared" si="43"/>
        <v/>
      </c>
      <c r="AI270" s="15">
        <f>IF(S270=1,IF(COUNTIFS($R$2:R270,R270,$S$2:S270,1)=1,1,0),0)</f>
        <v>0</v>
      </c>
      <c r="AJ270" s="15">
        <f>SUM($AI$2:AI270)</f>
        <v>12</v>
      </c>
    </row>
    <row r="271" spans="18:36">
      <c r="R271" s="15" t="str">
        <f t="shared" si="44"/>
        <v/>
      </c>
      <c r="S271" s="15">
        <f t="shared" si="36"/>
        <v>0</v>
      </c>
      <c r="T271" s="16" t="str">
        <f>IF(S271=1, DATE(YEAR(Settings!$B$3), MONTH(D271), DAY(D271)), "")</f>
        <v/>
      </c>
      <c r="U271" s="15" t="str">
        <f>IF(S271=1,IFERROR(INDEX(Settings!$B$12:$B$41,MATCH($B271,Settings!$A$12:$A$41,0)),"N"),"")</f>
        <v/>
      </c>
      <c r="V271" s="15" t="str">
        <f>IF(S271=1,IFERROR(INDEX(Settings!$C$12:$C$41,MATCH($B271,Settings!$A$12:$A$41,0)),""),"")</f>
        <v/>
      </c>
      <c r="W271" s="17">
        <f>IF(S271=1,IFERROR(INDEX(Settings!$D$12:$D$41,MATCH($B271,Settings!$A$12:$A$41,0)),0),0)</f>
        <v>0</v>
      </c>
      <c r="X271" s="18">
        <f t="shared" si="37"/>
        <v>0</v>
      </c>
      <c r="Y271" s="18" t="str">
        <f t="shared" si="38"/>
        <v/>
      </c>
      <c r="Z271" s="15" t="str">
        <f>IF(S271=1,IFERROR(INDEX(Settings!$E$12:$E$41,MATCH($B271,Settings!$A$12:$A$41,0)),"N"),"")</f>
        <v/>
      </c>
      <c r="AA271" s="17">
        <f>IF(S271=1,IFERROR(INDEX(Settings!$F$12:$F$41,MATCH($B271,Settings!$A$12:$A$41,0)),0),0)</f>
        <v>0</v>
      </c>
      <c r="AB271" s="15">
        <f>IF(S271=1,IFERROR(INDEX(Settings!$G$12:$G$41,MATCH($B271,Settings!$A$12:$A$41,0)),0),0)</f>
        <v>0</v>
      </c>
      <c r="AC271" s="18" t="str">
        <f t="shared" si="39"/>
        <v/>
      </c>
      <c r="AD271" s="15" t="str">
        <f t="shared" si="40"/>
        <v/>
      </c>
      <c r="AE271" s="15" t="str">
        <f t="shared" si="41"/>
        <v/>
      </c>
      <c r="AF271" s="15" t="str">
        <f t="shared" si="42"/>
        <v/>
      </c>
      <c r="AG271" s="18">
        <f>IF(AND(S271=1,Z271="Y"),IF(Settings!$B$6="Percentage",IF(AD271=0,0,AC271*AA271*(N271/AD271)),IF(Settings!$B$6="Points",IF(AF271=0,0,AC271*(N271*AB271)/AF271),IF(Settings!$B$6="Equally",IF(AE271=0,0,AC271*N271/AE271),0))),0)</f>
        <v>0</v>
      </c>
      <c r="AH271" s="18" t="str">
        <f t="shared" si="43"/>
        <v/>
      </c>
      <c r="AI271" s="15">
        <f>IF(S271=1,IF(COUNTIFS($R$2:R271,R271,$S$2:S271,1)=1,1,0),0)</f>
        <v>0</v>
      </c>
      <c r="AJ271" s="15">
        <f>SUM($AI$2:AI271)</f>
        <v>12</v>
      </c>
    </row>
    <row r="272" spans="18:36">
      <c r="R272" s="15" t="str">
        <f t="shared" si="44"/>
        <v/>
      </c>
      <c r="S272" s="15">
        <f t="shared" si="36"/>
        <v>0</v>
      </c>
      <c r="T272" s="16" t="str">
        <f>IF(S272=1, DATE(YEAR(Settings!$B$3), MONTH(D272), DAY(D272)), "")</f>
        <v/>
      </c>
      <c r="U272" s="15" t="str">
        <f>IF(S272=1,IFERROR(INDEX(Settings!$B$12:$B$41,MATCH($B272,Settings!$A$12:$A$41,0)),"N"),"")</f>
        <v/>
      </c>
      <c r="V272" s="15" t="str">
        <f>IF(S272=1,IFERROR(INDEX(Settings!$C$12:$C$41,MATCH($B272,Settings!$A$12:$A$41,0)),""),"")</f>
        <v/>
      </c>
      <c r="W272" s="17">
        <f>IF(S272=1,IFERROR(INDEX(Settings!$D$12:$D$41,MATCH($B272,Settings!$A$12:$A$41,0)),0),0)</f>
        <v>0</v>
      </c>
      <c r="X272" s="18">
        <f t="shared" si="37"/>
        <v>0</v>
      </c>
      <c r="Y272" s="18" t="str">
        <f t="shared" si="38"/>
        <v/>
      </c>
      <c r="Z272" s="15" t="str">
        <f>IF(S272=1,IFERROR(INDEX(Settings!$E$12:$E$41,MATCH($B272,Settings!$A$12:$A$41,0)),"N"),"")</f>
        <v/>
      </c>
      <c r="AA272" s="17">
        <f>IF(S272=1,IFERROR(INDEX(Settings!$F$12:$F$41,MATCH($B272,Settings!$A$12:$A$41,0)),0),0)</f>
        <v>0</v>
      </c>
      <c r="AB272" s="15">
        <f>IF(S272=1,IFERROR(INDEX(Settings!$G$12:$G$41,MATCH($B272,Settings!$A$12:$A$41,0)),0),0)</f>
        <v>0</v>
      </c>
      <c r="AC272" s="18" t="str">
        <f t="shared" si="39"/>
        <v/>
      </c>
      <c r="AD272" s="15" t="str">
        <f t="shared" si="40"/>
        <v/>
      </c>
      <c r="AE272" s="15" t="str">
        <f t="shared" si="41"/>
        <v/>
      </c>
      <c r="AF272" s="15" t="str">
        <f t="shared" si="42"/>
        <v/>
      </c>
      <c r="AG272" s="18">
        <f>IF(AND(S272=1,Z272="Y"),IF(Settings!$B$6="Percentage",IF(AD272=0,0,AC272*AA272*(N272/AD272)),IF(Settings!$B$6="Points",IF(AF272=0,0,AC272*(N272*AB272)/AF272),IF(Settings!$B$6="Equally",IF(AE272=0,0,AC272*N272/AE272),0))),0)</f>
        <v>0</v>
      </c>
      <c r="AH272" s="18" t="str">
        <f t="shared" si="43"/>
        <v/>
      </c>
      <c r="AI272" s="15">
        <f>IF(S272=1,IF(COUNTIFS($R$2:R272,R272,$S$2:S272,1)=1,1,0),0)</f>
        <v>0</v>
      </c>
      <c r="AJ272" s="15">
        <f>SUM($AI$2:AI272)</f>
        <v>12</v>
      </c>
    </row>
    <row r="273" spans="18:36">
      <c r="R273" s="15" t="str">
        <f t="shared" si="44"/>
        <v/>
      </c>
      <c r="S273" s="15">
        <f t="shared" si="36"/>
        <v>0</v>
      </c>
      <c r="T273" s="16" t="str">
        <f>IF(S273=1, DATE(YEAR(Settings!$B$3), MONTH(D273), DAY(D273)), "")</f>
        <v/>
      </c>
      <c r="U273" s="15" t="str">
        <f>IF(S273=1,IFERROR(INDEX(Settings!$B$12:$B$41,MATCH($B273,Settings!$A$12:$A$41,0)),"N"),"")</f>
        <v/>
      </c>
      <c r="V273" s="15" t="str">
        <f>IF(S273=1,IFERROR(INDEX(Settings!$C$12:$C$41,MATCH($B273,Settings!$A$12:$A$41,0)),""),"")</f>
        <v/>
      </c>
      <c r="W273" s="17">
        <f>IF(S273=1,IFERROR(INDEX(Settings!$D$12:$D$41,MATCH($B273,Settings!$A$12:$A$41,0)),0),0)</f>
        <v>0</v>
      </c>
      <c r="X273" s="18">
        <f t="shared" si="37"/>
        <v>0</v>
      </c>
      <c r="Y273" s="18" t="str">
        <f t="shared" si="38"/>
        <v/>
      </c>
      <c r="Z273" s="15" t="str">
        <f>IF(S273=1,IFERROR(INDEX(Settings!$E$12:$E$41,MATCH($B273,Settings!$A$12:$A$41,0)),"N"),"")</f>
        <v/>
      </c>
      <c r="AA273" s="17">
        <f>IF(S273=1,IFERROR(INDEX(Settings!$F$12:$F$41,MATCH($B273,Settings!$A$12:$A$41,0)),0),0)</f>
        <v>0</v>
      </c>
      <c r="AB273" s="15">
        <f>IF(S273=1,IFERROR(INDEX(Settings!$G$12:$G$41,MATCH($B273,Settings!$A$12:$A$41,0)),0),0)</f>
        <v>0</v>
      </c>
      <c r="AC273" s="18" t="str">
        <f t="shared" si="39"/>
        <v/>
      </c>
      <c r="AD273" s="15" t="str">
        <f t="shared" si="40"/>
        <v/>
      </c>
      <c r="AE273" s="15" t="str">
        <f t="shared" si="41"/>
        <v/>
      </c>
      <c r="AF273" s="15" t="str">
        <f t="shared" si="42"/>
        <v/>
      </c>
      <c r="AG273" s="18">
        <f>IF(AND(S273=1,Z273="Y"),IF(Settings!$B$6="Percentage",IF(AD273=0,0,AC273*AA273*(N273/AD273)),IF(Settings!$B$6="Points",IF(AF273=0,0,AC273*(N273*AB273)/AF273),IF(Settings!$B$6="Equally",IF(AE273=0,0,AC273*N273/AE273),0))),0)</f>
        <v>0</v>
      </c>
      <c r="AH273" s="18" t="str">
        <f t="shared" si="43"/>
        <v/>
      </c>
      <c r="AI273" s="15">
        <f>IF(S273=1,IF(COUNTIFS($R$2:R273,R273,$S$2:S273,1)=1,1,0),0)</f>
        <v>0</v>
      </c>
      <c r="AJ273" s="15">
        <f>SUM($AI$2:AI273)</f>
        <v>12</v>
      </c>
    </row>
    <row r="274" spans="18:36">
      <c r="R274" s="15" t="str">
        <f t="shared" si="44"/>
        <v/>
      </c>
      <c r="S274" s="15">
        <f t="shared" si="36"/>
        <v>0</v>
      </c>
      <c r="T274" s="16" t="str">
        <f>IF(S274=1, DATE(YEAR(Settings!$B$3), MONTH(D274), DAY(D274)), "")</f>
        <v/>
      </c>
      <c r="U274" s="15" t="str">
        <f>IF(S274=1,IFERROR(INDEX(Settings!$B$12:$B$41,MATCH($B274,Settings!$A$12:$A$41,0)),"N"),"")</f>
        <v/>
      </c>
      <c r="V274" s="15" t="str">
        <f>IF(S274=1,IFERROR(INDEX(Settings!$C$12:$C$41,MATCH($B274,Settings!$A$12:$A$41,0)),""),"")</f>
        <v/>
      </c>
      <c r="W274" s="17">
        <f>IF(S274=1,IFERROR(INDEX(Settings!$D$12:$D$41,MATCH($B274,Settings!$A$12:$A$41,0)),0),0)</f>
        <v>0</v>
      </c>
      <c r="X274" s="18">
        <f t="shared" si="37"/>
        <v>0</v>
      </c>
      <c r="Y274" s="18" t="str">
        <f t="shared" si="38"/>
        <v/>
      </c>
      <c r="Z274" s="15" t="str">
        <f>IF(S274=1,IFERROR(INDEX(Settings!$E$12:$E$41,MATCH($B274,Settings!$A$12:$A$41,0)),"N"),"")</f>
        <v/>
      </c>
      <c r="AA274" s="17">
        <f>IF(S274=1,IFERROR(INDEX(Settings!$F$12:$F$41,MATCH($B274,Settings!$A$12:$A$41,0)),0),0)</f>
        <v>0</v>
      </c>
      <c r="AB274" s="15">
        <f>IF(S274=1,IFERROR(INDEX(Settings!$G$12:$G$41,MATCH($B274,Settings!$A$12:$A$41,0)),0),0)</f>
        <v>0</v>
      </c>
      <c r="AC274" s="18" t="str">
        <f t="shared" si="39"/>
        <v/>
      </c>
      <c r="AD274" s="15" t="str">
        <f t="shared" si="40"/>
        <v/>
      </c>
      <c r="AE274" s="15" t="str">
        <f t="shared" si="41"/>
        <v/>
      </c>
      <c r="AF274" s="15" t="str">
        <f t="shared" si="42"/>
        <v/>
      </c>
      <c r="AG274" s="18">
        <f>IF(AND(S274=1,Z274="Y"),IF(Settings!$B$6="Percentage",IF(AD274=0,0,AC274*AA274*(N274/AD274)),IF(Settings!$B$6="Points",IF(AF274=0,0,AC274*(N274*AB274)/AF274),IF(Settings!$B$6="Equally",IF(AE274=0,0,AC274*N274/AE274),0))),0)</f>
        <v>0</v>
      </c>
      <c r="AH274" s="18" t="str">
        <f t="shared" si="43"/>
        <v/>
      </c>
      <c r="AI274" s="15">
        <f>IF(S274=1,IF(COUNTIFS($R$2:R274,R274,$S$2:S274,1)=1,1,0),0)</f>
        <v>0</v>
      </c>
      <c r="AJ274" s="15">
        <f>SUM($AI$2:AI274)</f>
        <v>12</v>
      </c>
    </row>
    <row r="275" spans="18:36">
      <c r="R275" s="15" t="str">
        <f t="shared" si="44"/>
        <v/>
      </c>
      <c r="S275" s="15">
        <f t="shared" si="36"/>
        <v>0</v>
      </c>
      <c r="T275" s="16" t="str">
        <f>IF(S275=1, DATE(YEAR(Settings!$B$3), MONTH(D275), DAY(D275)), "")</f>
        <v/>
      </c>
      <c r="U275" s="15" t="str">
        <f>IF(S275=1,IFERROR(INDEX(Settings!$B$12:$B$41,MATCH($B275,Settings!$A$12:$A$41,0)),"N"),"")</f>
        <v/>
      </c>
      <c r="V275" s="15" t="str">
        <f>IF(S275=1,IFERROR(INDEX(Settings!$C$12:$C$41,MATCH($B275,Settings!$A$12:$A$41,0)),""),"")</f>
        <v/>
      </c>
      <c r="W275" s="17">
        <f>IF(S275=1,IFERROR(INDEX(Settings!$D$12:$D$41,MATCH($B275,Settings!$A$12:$A$41,0)),0),0)</f>
        <v>0</v>
      </c>
      <c r="X275" s="18">
        <f t="shared" si="37"/>
        <v>0</v>
      </c>
      <c r="Y275" s="18" t="str">
        <f t="shared" si="38"/>
        <v/>
      </c>
      <c r="Z275" s="15" t="str">
        <f>IF(S275=1,IFERROR(INDEX(Settings!$E$12:$E$41,MATCH($B275,Settings!$A$12:$A$41,0)),"N"),"")</f>
        <v/>
      </c>
      <c r="AA275" s="17">
        <f>IF(S275=1,IFERROR(INDEX(Settings!$F$12:$F$41,MATCH($B275,Settings!$A$12:$A$41,0)),0),0)</f>
        <v>0</v>
      </c>
      <c r="AB275" s="15">
        <f>IF(S275=1,IFERROR(INDEX(Settings!$G$12:$G$41,MATCH($B275,Settings!$A$12:$A$41,0)),0),0)</f>
        <v>0</v>
      </c>
      <c r="AC275" s="18" t="str">
        <f t="shared" si="39"/>
        <v/>
      </c>
      <c r="AD275" s="15" t="str">
        <f t="shared" si="40"/>
        <v/>
      </c>
      <c r="AE275" s="15" t="str">
        <f t="shared" si="41"/>
        <v/>
      </c>
      <c r="AF275" s="15" t="str">
        <f t="shared" si="42"/>
        <v/>
      </c>
      <c r="AG275" s="18">
        <f>IF(AND(S275=1,Z275="Y"),IF(Settings!$B$6="Percentage",IF(AD275=0,0,AC275*AA275*(N275/AD275)),IF(Settings!$B$6="Points",IF(AF275=0,0,AC275*(N275*AB275)/AF275),IF(Settings!$B$6="Equally",IF(AE275=0,0,AC275*N275/AE275),0))),0)</f>
        <v>0</v>
      </c>
      <c r="AH275" s="18" t="str">
        <f t="shared" si="43"/>
        <v/>
      </c>
      <c r="AI275" s="15">
        <f>IF(S275=1,IF(COUNTIFS($R$2:R275,R275,$S$2:S275,1)=1,1,0),0)</f>
        <v>0</v>
      </c>
      <c r="AJ275" s="15">
        <f>SUM($AI$2:AI275)</f>
        <v>12</v>
      </c>
    </row>
    <row r="276" spans="18:36">
      <c r="R276" s="15" t="str">
        <f t="shared" si="44"/>
        <v/>
      </c>
      <c r="S276" s="15">
        <f t="shared" si="36"/>
        <v>0</v>
      </c>
      <c r="T276" s="16" t="str">
        <f>IF(S276=1, DATE(YEAR(Settings!$B$3), MONTH(D276), DAY(D276)), "")</f>
        <v/>
      </c>
      <c r="U276" s="15" t="str">
        <f>IF(S276=1,IFERROR(INDEX(Settings!$B$12:$B$41,MATCH($B276,Settings!$A$12:$A$41,0)),"N"),"")</f>
        <v/>
      </c>
      <c r="V276" s="15" t="str">
        <f>IF(S276=1,IFERROR(INDEX(Settings!$C$12:$C$41,MATCH($B276,Settings!$A$12:$A$41,0)),""),"")</f>
        <v/>
      </c>
      <c r="W276" s="17">
        <f>IF(S276=1,IFERROR(INDEX(Settings!$D$12:$D$41,MATCH($B276,Settings!$A$12:$A$41,0)),0),0)</f>
        <v>0</v>
      </c>
      <c r="X276" s="18">
        <f t="shared" si="37"/>
        <v>0</v>
      </c>
      <c r="Y276" s="18" t="str">
        <f t="shared" si="38"/>
        <v/>
      </c>
      <c r="Z276" s="15" t="str">
        <f>IF(S276=1,IFERROR(INDEX(Settings!$E$12:$E$41,MATCH($B276,Settings!$A$12:$A$41,0)),"N"),"")</f>
        <v/>
      </c>
      <c r="AA276" s="17">
        <f>IF(S276=1,IFERROR(INDEX(Settings!$F$12:$F$41,MATCH($B276,Settings!$A$12:$A$41,0)),0),0)</f>
        <v>0</v>
      </c>
      <c r="AB276" s="15">
        <f>IF(S276=1,IFERROR(INDEX(Settings!$G$12:$G$41,MATCH($B276,Settings!$A$12:$A$41,0)),0),0)</f>
        <v>0</v>
      </c>
      <c r="AC276" s="18" t="str">
        <f t="shared" si="39"/>
        <v/>
      </c>
      <c r="AD276" s="15" t="str">
        <f t="shared" si="40"/>
        <v/>
      </c>
      <c r="AE276" s="15" t="str">
        <f t="shared" si="41"/>
        <v/>
      </c>
      <c r="AF276" s="15" t="str">
        <f t="shared" si="42"/>
        <v/>
      </c>
      <c r="AG276" s="18">
        <f>IF(AND(S276=1,Z276="Y"),IF(Settings!$B$6="Percentage",IF(AD276=0,0,AC276*AA276*(N276/AD276)),IF(Settings!$B$6="Points",IF(AF276=0,0,AC276*(N276*AB276)/AF276),IF(Settings!$B$6="Equally",IF(AE276=0,0,AC276*N276/AE276),0))),0)</f>
        <v>0</v>
      </c>
      <c r="AH276" s="18" t="str">
        <f t="shared" si="43"/>
        <v/>
      </c>
      <c r="AI276" s="15">
        <f>IF(S276=1,IF(COUNTIFS($R$2:R276,R276,$S$2:S276,1)=1,1,0),0)</f>
        <v>0</v>
      </c>
      <c r="AJ276" s="15">
        <f>SUM($AI$2:AI276)</f>
        <v>12</v>
      </c>
    </row>
    <row r="277" spans="18:36">
      <c r="R277" s="15" t="str">
        <f t="shared" si="44"/>
        <v/>
      </c>
      <c r="S277" s="15">
        <f t="shared" si="36"/>
        <v>0</v>
      </c>
      <c r="T277" s="16" t="str">
        <f>IF(S277=1, DATE(YEAR(Settings!$B$3), MONTH(D277), DAY(D277)), "")</f>
        <v/>
      </c>
      <c r="U277" s="15" t="str">
        <f>IF(S277=1,IFERROR(INDEX(Settings!$B$12:$B$41,MATCH($B277,Settings!$A$12:$A$41,0)),"N"),"")</f>
        <v/>
      </c>
      <c r="V277" s="15" t="str">
        <f>IF(S277=1,IFERROR(INDEX(Settings!$C$12:$C$41,MATCH($B277,Settings!$A$12:$A$41,0)),""),"")</f>
        <v/>
      </c>
      <c r="W277" s="17">
        <f>IF(S277=1,IFERROR(INDEX(Settings!$D$12:$D$41,MATCH($B277,Settings!$A$12:$A$41,0)),0),0)</f>
        <v>0</v>
      </c>
      <c r="X277" s="18">
        <f t="shared" si="37"/>
        <v>0</v>
      </c>
      <c r="Y277" s="18" t="str">
        <f t="shared" si="38"/>
        <v/>
      </c>
      <c r="Z277" s="15" t="str">
        <f>IF(S277=1,IFERROR(INDEX(Settings!$E$12:$E$41,MATCH($B277,Settings!$A$12:$A$41,0)),"N"),"")</f>
        <v/>
      </c>
      <c r="AA277" s="17">
        <f>IF(S277=1,IFERROR(INDEX(Settings!$F$12:$F$41,MATCH($B277,Settings!$A$12:$A$41,0)),0),0)</f>
        <v>0</v>
      </c>
      <c r="AB277" s="15">
        <f>IF(S277=1,IFERROR(INDEX(Settings!$G$12:$G$41,MATCH($B277,Settings!$A$12:$A$41,0)),0),0)</f>
        <v>0</v>
      </c>
      <c r="AC277" s="18" t="str">
        <f t="shared" si="39"/>
        <v/>
      </c>
      <c r="AD277" s="15" t="str">
        <f t="shared" si="40"/>
        <v/>
      </c>
      <c r="AE277" s="15" t="str">
        <f t="shared" si="41"/>
        <v/>
      </c>
      <c r="AF277" s="15" t="str">
        <f t="shared" si="42"/>
        <v/>
      </c>
      <c r="AG277" s="18">
        <f>IF(AND(S277=1,Z277="Y"),IF(Settings!$B$6="Percentage",IF(AD277=0,0,AC277*AA277*(N277/AD277)),IF(Settings!$B$6="Points",IF(AF277=0,0,AC277*(N277*AB277)/AF277),IF(Settings!$B$6="Equally",IF(AE277=0,0,AC277*N277/AE277),0))),0)</f>
        <v>0</v>
      </c>
      <c r="AH277" s="18" t="str">
        <f t="shared" si="43"/>
        <v/>
      </c>
      <c r="AI277" s="15">
        <f>IF(S277=1,IF(COUNTIFS($R$2:R277,R277,$S$2:S277,1)=1,1,0),0)</f>
        <v>0</v>
      </c>
      <c r="AJ277" s="15">
        <f>SUM($AI$2:AI277)</f>
        <v>12</v>
      </c>
    </row>
    <row r="278" spans="18:36">
      <c r="R278" s="15" t="str">
        <f t="shared" si="44"/>
        <v/>
      </c>
      <c r="S278" s="15">
        <f t="shared" si="36"/>
        <v>0</v>
      </c>
      <c r="T278" s="16" t="str">
        <f>IF(S278=1, DATE(YEAR(Settings!$B$3), MONTH(D278), DAY(D278)), "")</f>
        <v/>
      </c>
      <c r="U278" s="15" t="str">
        <f>IF(S278=1,IFERROR(INDEX(Settings!$B$12:$B$41,MATCH($B278,Settings!$A$12:$A$41,0)),"N"),"")</f>
        <v/>
      </c>
      <c r="V278" s="15" t="str">
        <f>IF(S278=1,IFERROR(INDEX(Settings!$C$12:$C$41,MATCH($B278,Settings!$A$12:$A$41,0)),""),"")</f>
        <v/>
      </c>
      <c r="W278" s="17">
        <f>IF(S278=1,IFERROR(INDEX(Settings!$D$12:$D$41,MATCH($B278,Settings!$A$12:$A$41,0)),0),0)</f>
        <v>0</v>
      </c>
      <c r="X278" s="18">
        <f t="shared" si="37"/>
        <v>0</v>
      </c>
      <c r="Y278" s="18" t="str">
        <f t="shared" si="38"/>
        <v/>
      </c>
      <c r="Z278" s="15" t="str">
        <f>IF(S278=1,IFERROR(INDEX(Settings!$E$12:$E$41,MATCH($B278,Settings!$A$12:$A$41,0)),"N"),"")</f>
        <v/>
      </c>
      <c r="AA278" s="17">
        <f>IF(S278=1,IFERROR(INDEX(Settings!$F$12:$F$41,MATCH($B278,Settings!$A$12:$A$41,0)),0),0)</f>
        <v>0</v>
      </c>
      <c r="AB278" s="15">
        <f>IF(S278=1,IFERROR(INDEX(Settings!$G$12:$G$41,MATCH($B278,Settings!$A$12:$A$41,0)),0),0)</f>
        <v>0</v>
      </c>
      <c r="AC278" s="18" t="str">
        <f t="shared" si="39"/>
        <v/>
      </c>
      <c r="AD278" s="15" t="str">
        <f t="shared" si="40"/>
        <v/>
      </c>
      <c r="AE278" s="15" t="str">
        <f t="shared" si="41"/>
        <v/>
      </c>
      <c r="AF278" s="15" t="str">
        <f t="shared" si="42"/>
        <v/>
      </c>
      <c r="AG278" s="18">
        <f>IF(AND(S278=1,Z278="Y"),IF(Settings!$B$6="Percentage",IF(AD278=0,0,AC278*AA278*(N278/AD278)),IF(Settings!$B$6="Points",IF(AF278=0,0,AC278*(N278*AB278)/AF278),IF(Settings!$B$6="Equally",IF(AE278=0,0,AC278*N278/AE278),0))),0)</f>
        <v>0</v>
      </c>
      <c r="AH278" s="18" t="str">
        <f t="shared" si="43"/>
        <v/>
      </c>
      <c r="AI278" s="15">
        <f>IF(S278=1,IF(COUNTIFS($R$2:R278,R278,$S$2:S278,1)=1,1,0),0)</f>
        <v>0</v>
      </c>
      <c r="AJ278" s="15">
        <f>SUM($AI$2:AI278)</f>
        <v>12</v>
      </c>
    </row>
    <row r="279" spans="18:36">
      <c r="R279" s="15" t="str">
        <f t="shared" si="44"/>
        <v/>
      </c>
      <c r="S279" s="15">
        <f t="shared" si="36"/>
        <v>0</v>
      </c>
      <c r="T279" s="16" t="str">
        <f>IF(S279=1, DATE(YEAR(Settings!$B$3), MONTH(D279), DAY(D279)), "")</f>
        <v/>
      </c>
      <c r="U279" s="15" t="str">
        <f>IF(S279=1,IFERROR(INDEX(Settings!$B$12:$B$41,MATCH($B279,Settings!$A$12:$A$41,0)),"N"),"")</f>
        <v/>
      </c>
      <c r="V279" s="15" t="str">
        <f>IF(S279=1,IFERROR(INDEX(Settings!$C$12:$C$41,MATCH($B279,Settings!$A$12:$A$41,0)),""),"")</f>
        <v/>
      </c>
      <c r="W279" s="17">
        <f>IF(S279=1,IFERROR(INDEX(Settings!$D$12:$D$41,MATCH($B279,Settings!$A$12:$A$41,0)),0),0)</f>
        <v>0</v>
      </c>
      <c r="X279" s="18">
        <f t="shared" si="37"/>
        <v>0</v>
      </c>
      <c r="Y279" s="18" t="str">
        <f t="shared" si="38"/>
        <v/>
      </c>
      <c r="Z279" s="15" t="str">
        <f>IF(S279=1,IFERROR(INDEX(Settings!$E$12:$E$41,MATCH($B279,Settings!$A$12:$A$41,0)),"N"),"")</f>
        <v/>
      </c>
      <c r="AA279" s="17">
        <f>IF(S279=1,IFERROR(INDEX(Settings!$F$12:$F$41,MATCH($B279,Settings!$A$12:$A$41,0)),0),0)</f>
        <v>0</v>
      </c>
      <c r="AB279" s="15">
        <f>IF(S279=1,IFERROR(INDEX(Settings!$G$12:$G$41,MATCH($B279,Settings!$A$12:$A$41,0)),0),0)</f>
        <v>0</v>
      </c>
      <c r="AC279" s="18" t="str">
        <f t="shared" si="39"/>
        <v/>
      </c>
      <c r="AD279" s="15" t="str">
        <f t="shared" si="40"/>
        <v/>
      </c>
      <c r="AE279" s="15" t="str">
        <f t="shared" si="41"/>
        <v/>
      </c>
      <c r="AF279" s="15" t="str">
        <f t="shared" si="42"/>
        <v/>
      </c>
      <c r="AG279" s="18">
        <f>IF(AND(S279=1,Z279="Y"),IF(Settings!$B$6="Percentage",IF(AD279=0,0,AC279*AA279*(N279/AD279)),IF(Settings!$B$6="Points",IF(AF279=0,0,AC279*(N279*AB279)/AF279),IF(Settings!$B$6="Equally",IF(AE279=0,0,AC279*N279/AE279),0))),0)</f>
        <v>0</v>
      </c>
      <c r="AH279" s="18" t="str">
        <f t="shared" si="43"/>
        <v/>
      </c>
      <c r="AI279" s="15">
        <f>IF(S279=1,IF(COUNTIFS($R$2:R279,R279,$S$2:S279,1)=1,1,0),0)</f>
        <v>0</v>
      </c>
      <c r="AJ279" s="15">
        <f>SUM($AI$2:AI279)</f>
        <v>12</v>
      </c>
    </row>
    <row r="280" spans="18:36">
      <c r="R280" s="15" t="str">
        <f t="shared" si="44"/>
        <v/>
      </c>
      <c r="S280" s="15">
        <f t="shared" si="36"/>
        <v>0</v>
      </c>
      <c r="T280" s="16" t="str">
        <f>IF(S280=1, DATE(YEAR(Settings!$B$3), MONTH(D280), DAY(D280)), "")</f>
        <v/>
      </c>
      <c r="U280" s="15" t="str">
        <f>IF(S280=1,IFERROR(INDEX(Settings!$B$12:$B$41,MATCH($B280,Settings!$A$12:$A$41,0)),"N"),"")</f>
        <v/>
      </c>
      <c r="V280" s="15" t="str">
        <f>IF(S280=1,IFERROR(INDEX(Settings!$C$12:$C$41,MATCH($B280,Settings!$A$12:$A$41,0)),""),"")</f>
        <v/>
      </c>
      <c r="W280" s="17">
        <f>IF(S280=1,IFERROR(INDEX(Settings!$D$12:$D$41,MATCH($B280,Settings!$A$12:$A$41,0)),0),0)</f>
        <v>0</v>
      </c>
      <c r="X280" s="18">
        <f t="shared" si="37"/>
        <v>0</v>
      </c>
      <c r="Y280" s="18" t="str">
        <f t="shared" si="38"/>
        <v/>
      </c>
      <c r="Z280" s="15" t="str">
        <f>IF(S280=1,IFERROR(INDEX(Settings!$E$12:$E$41,MATCH($B280,Settings!$A$12:$A$41,0)),"N"),"")</f>
        <v/>
      </c>
      <c r="AA280" s="17">
        <f>IF(S280=1,IFERROR(INDEX(Settings!$F$12:$F$41,MATCH($B280,Settings!$A$12:$A$41,0)),0),0)</f>
        <v>0</v>
      </c>
      <c r="AB280" s="15">
        <f>IF(S280=1,IFERROR(INDEX(Settings!$G$12:$G$41,MATCH($B280,Settings!$A$12:$A$41,0)),0),0)</f>
        <v>0</v>
      </c>
      <c r="AC280" s="18" t="str">
        <f t="shared" si="39"/>
        <v/>
      </c>
      <c r="AD280" s="15" t="str">
        <f t="shared" si="40"/>
        <v/>
      </c>
      <c r="AE280" s="15" t="str">
        <f t="shared" si="41"/>
        <v/>
      </c>
      <c r="AF280" s="15" t="str">
        <f t="shared" si="42"/>
        <v/>
      </c>
      <c r="AG280" s="18">
        <f>IF(AND(S280=1,Z280="Y"),IF(Settings!$B$6="Percentage",IF(AD280=0,0,AC280*AA280*(N280/AD280)),IF(Settings!$B$6="Points",IF(AF280=0,0,AC280*(N280*AB280)/AF280),IF(Settings!$B$6="Equally",IF(AE280=0,0,AC280*N280/AE280),0))),0)</f>
        <v>0</v>
      </c>
      <c r="AH280" s="18" t="str">
        <f t="shared" si="43"/>
        <v/>
      </c>
      <c r="AI280" s="15">
        <f>IF(S280=1,IF(COUNTIFS($R$2:R280,R280,$S$2:S280,1)=1,1,0),0)</f>
        <v>0</v>
      </c>
      <c r="AJ280" s="15">
        <f>SUM($AI$2:AI280)</f>
        <v>12</v>
      </c>
    </row>
    <row r="281" spans="18:36">
      <c r="R281" s="15" t="str">
        <f t="shared" si="44"/>
        <v/>
      </c>
      <c r="S281" s="15">
        <f t="shared" si="36"/>
        <v>0</v>
      </c>
      <c r="T281" s="16" t="str">
        <f>IF(S281=1, DATE(YEAR(Settings!$B$3), MONTH(D281), DAY(D281)), "")</f>
        <v/>
      </c>
      <c r="U281" s="15" t="str">
        <f>IF(S281=1,IFERROR(INDEX(Settings!$B$12:$B$41,MATCH($B281,Settings!$A$12:$A$41,0)),"N"),"")</f>
        <v/>
      </c>
      <c r="V281" s="15" t="str">
        <f>IF(S281=1,IFERROR(INDEX(Settings!$C$12:$C$41,MATCH($B281,Settings!$A$12:$A$41,0)),""),"")</f>
        <v/>
      </c>
      <c r="W281" s="17">
        <f>IF(S281=1,IFERROR(INDEX(Settings!$D$12:$D$41,MATCH($B281,Settings!$A$12:$A$41,0)),0),0)</f>
        <v>0</v>
      </c>
      <c r="X281" s="18">
        <f t="shared" si="37"/>
        <v>0</v>
      </c>
      <c r="Y281" s="18" t="str">
        <f t="shared" si="38"/>
        <v/>
      </c>
      <c r="Z281" s="15" t="str">
        <f>IF(S281=1,IFERROR(INDEX(Settings!$E$12:$E$41,MATCH($B281,Settings!$A$12:$A$41,0)),"N"),"")</f>
        <v/>
      </c>
      <c r="AA281" s="17">
        <f>IF(S281=1,IFERROR(INDEX(Settings!$F$12:$F$41,MATCH($B281,Settings!$A$12:$A$41,0)),0),0)</f>
        <v>0</v>
      </c>
      <c r="AB281" s="15">
        <f>IF(S281=1,IFERROR(INDEX(Settings!$G$12:$G$41,MATCH($B281,Settings!$A$12:$A$41,0)),0),0)</f>
        <v>0</v>
      </c>
      <c r="AC281" s="18" t="str">
        <f t="shared" si="39"/>
        <v/>
      </c>
      <c r="AD281" s="15" t="str">
        <f t="shared" si="40"/>
        <v/>
      </c>
      <c r="AE281" s="15" t="str">
        <f t="shared" si="41"/>
        <v/>
      </c>
      <c r="AF281" s="15" t="str">
        <f t="shared" si="42"/>
        <v/>
      </c>
      <c r="AG281" s="18">
        <f>IF(AND(S281=1,Z281="Y"),IF(Settings!$B$6="Percentage",IF(AD281=0,0,AC281*AA281*(N281/AD281)),IF(Settings!$B$6="Points",IF(AF281=0,0,AC281*(N281*AB281)/AF281),IF(Settings!$B$6="Equally",IF(AE281=0,0,AC281*N281/AE281),0))),0)</f>
        <v>0</v>
      </c>
      <c r="AH281" s="18" t="str">
        <f t="shared" si="43"/>
        <v/>
      </c>
      <c r="AI281" s="15">
        <f>IF(S281=1,IF(COUNTIFS($R$2:R281,R281,$S$2:S281,1)=1,1,0),0)</f>
        <v>0</v>
      </c>
      <c r="AJ281" s="15">
        <f>SUM($AI$2:AI281)</f>
        <v>12</v>
      </c>
    </row>
    <row r="282" spans="18:36">
      <c r="R282" s="15" t="str">
        <f t="shared" si="44"/>
        <v/>
      </c>
      <c r="S282" s="15">
        <f t="shared" si="36"/>
        <v>0</v>
      </c>
      <c r="T282" s="16" t="str">
        <f>IF(S282=1, DATE(YEAR(Settings!$B$3), MONTH(D282), DAY(D282)), "")</f>
        <v/>
      </c>
      <c r="U282" s="15" t="str">
        <f>IF(S282=1,IFERROR(INDEX(Settings!$B$12:$B$41,MATCH($B282,Settings!$A$12:$A$41,0)),"N"),"")</f>
        <v/>
      </c>
      <c r="V282" s="15" t="str">
        <f>IF(S282=1,IFERROR(INDEX(Settings!$C$12:$C$41,MATCH($B282,Settings!$A$12:$A$41,0)),""),"")</f>
        <v/>
      </c>
      <c r="W282" s="17">
        <f>IF(S282=1,IFERROR(INDEX(Settings!$D$12:$D$41,MATCH($B282,Settings!$A$12:$A$41,0)),0),0)</f>
        <v>0</v>
      </c>
      <c r="X282" s="18">
        <f t="shared" si="37"/>
        <v>0</v>
      </c>
      <c r="Y282" s="18" t="str">
        <f t="shared" si="38"/>
        <v/>
      </c>
      <c r="Z282" s="15" t="str">
        <f>IF(S282=1,IFERROR(INDEX(Settings!$E$12:$E$41,MATCH($B282,Settings!$A$12:$A$41,0)),"N"),"")</f>
        <v/>
      </c>
      <c r="AA282" s="17">
        <f>IF(S282=1,IFERROR(INDEX(Settings!$F$12:$F$41,MATCH($B282,Settings!$A$12:$A$41,0)),0),0)</f>
        <v>0</v>
      </c>
      <c r="AB282" s="15">
        <f>IF(S282=1,IFERROR(INDEX(Settings!$G$12:$G$41,MATCH($B282,Settings!$A$12:$A$41,0)),0),0)</f>
        <v>0</v>
      </c>
      <c r="AC282" s="18" t="str">
        <f t="shared" si="39"/>
        <v/>
      </c>
      <c r="AD282" s="15" t="str">
        <f t="shared" si="40"/>
        <v/>
      </c>
      <c r="AE282" s="15" t="str">
        <f t="shared" si="41"/>
        <v/>
      </c>
      <c r="AF282" s="15" t="str">
        <f t="shared" si="42"/>
        <v/>
      </c>
      <c r="AG282" s="18">
        <f>IF(AND(S282=1,Z282="Y"),IF(Settings!$B$6="Percentage",IF(AD282=0,0,AC282*AA282*(N282/AD282)),IF(Settings!$B$6="Points",IF(AF282=0,0,AC282*(N282*AB282)/AF282),IF(Settings!$B$6="Equally",IF(AE282=0,0,AC282*N282/AE282),0))),0)</f>
        <v>0</v>
      </c>
      <c r="AH282" s="18" t="str">
        <f t="shared" si="43"/>
        <v/>
      </c>
      <c r="AI282" s="15">
        <f>IF(S282=1,IF(COUNTIFS($R$2:R282,R282,$S$2:S282,1)=1,1,0),0)</f>
        <v>0</v>
      </c>
      <c r="AJ282" s="15">
        <f>SUM($AI$2:AI282)</f>
        <v>12</v>
      </c>
    </row>
    <row r="283" spans="18:36">
      <c r="R283" s="15" t="str">
        <f t="shared" si="44"/>
        <v/>
      </c>
      <c r="S283" s="15">
        <f t="shared" si="36"/>
        <v>0</v>
      </c>
      <c r="T283" s="16" t="str">
        <f>IF(S283=1, DATE(YEAR(Settings!$B$3), MONTH(D283), DAY(D283)), "")</f>
        <v/>
      </c>
      <c r="U283" s="15" t="str">
        <f>IF(S283=1,IFERROR(INDEX(Settings!$B$12:$B$41,MATCH($B283,Settings!$A$12:$A$41,0)),"N"),"")</f>
        <v/>
      </c>
      <c r="V283" s="15" t="str">
        <f>IF(S283=1,IFERROR(INDEX(Settings!$C$12:$C$41,MATCH($B283,Settings!$A$12:$A$41,0)),""),"")</f>
        <v/>
      </c>
      <c r="W283" s="17">
        <f>IF(S283=1,IFERROR(INDEX(Settings!$D$12:$D$41,MATCH($B283,Settings!$A$12:$A$41,0)),0),0)</f>
        <v>0</v>
      </c>
      <c r="X283" s="18">
        <f t="shared" si="37"/>
        <v>0</v>
      </c>
      <c r="Y283" s="18" t="str">
        <f t="shared" si="38"/>
        <v/>
      </c>
      <c r="Z283" s="15" t="str">
        <f>IF(S283=1,IFERROR(INDEX(Settings!$E$12:$E$41,MATCH($B283,Settings!$A$12:$A$41,0)),"N"),"")</f>
        <v/>
      </c>
      <c r="AA283" s="17">
        <f>IF(S283=1,IFERROR(INDEX(Settings!$F$12:$F$41,MATCH($B283,Settings!$A$12:$A$41,0)),0),0)</f>
        <v>0</v>
      </c>
      <c r="AB283" s="15">
        <f>IF(S283=1,IFERROR(INDEX(Settings!$G$12:$G$41,MATCH($B283,Settings!$A$12:$A$41,0)),0),0)</f>
        <v>0</v>
      </c>
      <c r="AC283" s="18" t="str">
        <f t="shared" si="39"/>
        <v/>
      </c>
      <c r="AD283" s="15" t="str">
        <f t="shared" si="40"/>
        <v/>
      </c>
      <c r="AE283" s="15" t="str">
        <f t="shared" si="41"/>
        <v/>
      </c>
      <c r="AF283" s="15" t="str">
        <f t="shared" si="42"/>
        <v/>
      </c>
      <c r="AG283" s="18">
        <f>IF(AND(S283=1,Z283="Y"),IF(Settings!$B$6="Percentage",IF(AD283=0,0,AC283*AA283*(N283/AD283)),IF(Settings!$B$6="Points",IF(AF283=0,0,AC283*(N283*AB283)/AF283),IF(Settings!$B$6="Equally",IF(AE283=0,0,AC283*N283/AE283),0))),0)</f>
        <v>0</v>
      </c>
      <c r="AH283" s="18" t="str">
        <f t="shared" si="43"/>
        <v/>
      </c>
      <c r="AI283" s="15">
        <f>IF(S283=1,IF(COUNTIFS($R$2:R283,R283,$S$2:S283,1)=1,1,0),0)</f>
        <v>0</v>
      </c>
      <c r="AJ283" s="15">
        <f>SUM($AI$2:AI283)</f>
        <v>12</v>
      </c>
    </row>
    <row r="284" spans="18:36">
      <c r="R284" s="15" t="str">
        <f t="shared" si="44"/>
        <v/>
      </c>
      <c r="S284" s="15">
        <f t="shared" si="36"/>
        <v>0</v>
      </c>
      <c r="T284" s="16" t="str">
        <f>IF(S284=1, DATE(YEAR(Settings!$B$3), MONTH(D284), DAY(D284)), "")</f>
        <v/>
      </c>
      <c r="U284" s="15" t="str">
        <f>IF(S284=1,IFERROR(INDEX(Settings!$B$12:$B$41,MATCH($B284,Settings!$A$12:$A$41,0)),"N"),"")</f>
        <v/>
      </c>
      <c r="V284" s="15" t="str">
        <f>IF(S284=1,IFERROR(INDEX(Settings!$C$12:$C$41,MATCH($B284,Settings!$A$12:$A$41,0)),""),"")</f>
        <v/>
      </c>
      <c r="W284" s="17">
        <f>IF(S284=1,IFERROR(INDEX(Settings!$D$12:$D$41,MATCH($B284,Settings!$A$12:$A$41,0)),0),0)</f>
        <v>0</v>
      </c>
      <c r="X284" s="18">
        <f t="shared" si="37"/>
        <v>0</v>
      </c>
      <c r="Y284" s="18" t="str">
        <f t="shared" si="38"/>
        <v/>
      </c>
      <c r="Z284" s="15" t="str">
        <f>IF(S284=1,IFERROR(INDEX(Settings!$E$12:$E$41,MATCH($B284,Settings!$A$12:$A$41,0)),"N"),"")</f>
        <v/>
      </c>
      <c r="AA284" s="17">
        <f>IF(S284=1,IFERROR(INDEX(Settings!$F$12:$F$41,MATCH($B284,Settings!$A$12:$A$41,0)),0),0)</f>
        <v>0</v>
      </c>
      <c r="AB284" s="15">
        <f>IF(S284=1,IFERROR(INDEX(Settings!$G$12:$G$41,MATCH($B284,Settings!$A$12:$A$41,0)),0),0)</f>
        <v>0</v>
      </c>
      <c r="AC284" s="18" t="str">
        <f t="shared" si="39"/>
        <v/>
      </c>
      <c r="AD284" s="15" t="str">
        <f t="shared" si="40"/>
        <v/>
      </c>
      <c r="AE284" s="15" t="str">
        <f t="shared" si="41"/>
        <v/>
      </c>
      <c r="AF284" s="15" t="str">
        <f t="shared" si="42"/>
        <v/>
      </c>
      <c r="AG284" s="18">
        <f>IF(AND(S284=1,Z284="Y"),IF(Settings!$B$6="Percentage",IF(AD284=0,0,AC284*AA284*(N284/AD284)),IF(Settings!$B$6="Points",IF(AF284=0,0,AC284*(N284*AB284)/AF284),IF(Settings!$B$6="Equally",IF(AE284=0,0,AC284*N284/AE284),0))),0)</f>
        <v>0</v>
      </c>
      <c r="AH284" s="18" t="str">
        <f t="shared" si="43"/>
        <v/>
      </c>
      <c r="AI284" s="15">
        <f>IF(S284=1,IF(COUNTIFS($R$2:R284,R284,$S$2:S284,1)=1,1,0),0)</f>
        <v>0</v>
      </c>
      <c r="AJ284" s="15">
        <f>SUM($AI$2:AI284)</f>
        <v>12</v>
      </c>
    </row>
    <row r="285" spans="18:36">
      <c r="R285" s="15" t="str">
        <f t="shared" si="44"/>
        <v/>
      </c>
      <c r="S285" s="15">
        <f t="shared" si="36"/>
        <v>0</v>
      </c>
      <c r="T285" s="16" t="str">
        <f>IF(S285=1, DATE(YEAR(Settings!$B$3), MONTH(D285), DAY(D285)), "")</f>
        <v/>
      </c>
      <c r="U285" s="15" t="str">
        <f>IF(S285=1,IFERROR(INDEX(Settings!$B$12:$B$41,MATCH($B285,Settings!$A$12:$A$41,0)),"N"),"")</f>
        <v/>
      </c>
      <c r="V285" s="15" t="str">
        <f>IF(S285=1,IFERROR(INDEX(Settings!$C$12:$C$41,MATCH($B285,Settings!$A$12:$A$41,0)),""),"")</f>
        <v/>
      </c>
      <c r="W285" s="17">
        <f>IF(S285=1,IFERROR(INDEX(Settings!$D$12:$D$41,MATCH($B285,Settings!$A$12:$A$41,0)),0),0)</f>
        <v>0</v>
      </c>
      <c r="X285" s="18">
        <f t="shared" si="37"/>
        <v>0</v>
      </c>
      <c r="Y285" s="18" t="str">
        <f t="shared" si="38"/>
        <v/>
      </c>
      <c r="Z285" s="15" t="str">
        <f>IF(S285=1,IFERROR(INDEX(Settings!$E$12:$E$41,MATCH($B285,Settings!$A$12:$A$41,0)),"N"),"")</f>
        <v/>
      </c>
      <c r="AA285" s="17">
        <f>IF(S285=1,IFERROR(INDEX(Settings!$F$12:$F$41,MATCH($B285,Settings!$A$12:$A$41,0)),0),0)</f>
        <v>0</v>
      </c>
      <c r="AB285" s="15">
        <f>IF(S285=1,IFERROR(INDEX(Settings!$G$12:$G$41,MATCH($B285,Settings!$A$12:$A$41,0)),0),0)</f>
        <v>0</v>
      </c>
      <c r="AC285" s="18" t="str">
        <f t="shared" si="39"/>
        <v/>
      </c>
      <c r="AD285" s="15" t="str">
        <f t="shared" si="40"/>
        <v/>
      </c>
      <c r="AE285" s="15" t="str">
        <f t="shared" si="41"/>
        <v/>
      </c>
      <c r="AF285" s="15" t="str">
        <f t="shared" si="42"/>
        <v/>
      </c>
      <c r="AG285" s="18">
        <f>IF(AND(S285=1,Z285="Y"),IF(Settings!$B$6="Percentage",IF(AD285=0,0,AC285*AA285*(N285/AD285)),IF(Settings!$B$6="Points",IF(AF285=0,0,AC285*(N285*AB285)/AF285),IF(Settings!$B$6="Equally",IF(AE285=0,0,AC285*N285/AE285),0))),0)</f>
        <v>0</v>
      </c>
      <c r="AH285" s="18" t="str">
        <f t="shared" si="43"/>
        <v/>
      </c>
      <c r="AI285" s="15">
        <f>IF(S285=1,IF(COUNTIFS($R$2:R285,R285,$S$2:S285,1)=1,1,0),0)</f>
        <v>0</v>
      </c>
      <c r="AJ285" s="15">
        <f>SUM($AI$2:AI285)</f>
        <v>12</v>
      </c>
    </row>
    <row r="286" spans="18:36">
      <c r="R286" s="15" t="str">
        <f t="shared" si="44"/>
        <v/>
      </c>
      <c r="S286" s="15">
        <f t="shared" si="36"/>
        <v>0</v>
      </c>
      <c r="T286" s="16" t="str">
        <f>IF(S286=1, DATE(YEAR(Settings!$B$3), MONTH(D286), DAY(D286)), "")</f>
        <v/>
      </c>
      <c r="U286" s="15" t="str">
        <f>IF(S286=1,IFERROR(INDEX(Settings!$B$12:$B$41,MATCH($B286,Settings!$A$12:$A$41,0)),"N"),"")</f>
        <v/>
      </c>
      <c r="V286" s="15" t="str">
        <f>IF(S286=1,IFERROR(INDEX(Settings!$C$12:$C$41,MATCH($B286,Settings!$A$12:$A$41,0)),""),"")</f>
        <v/>
      </c>
      <c r="W286" s="17">
        <f>IF(S286=1,IFERROR(INDEX(Settings!$D$12:$D$41,MATCH($B286,Settings!$A$12:$A$41,0)),0),0)</f>
        <v>0</v>
      </c>
      <c r="X286" s="18">
        <f t="shared" si="37"/>
        <v>0</v>
      </c>
      <c r="Y286" s="18" t="str">
        <f t="shared" si="38"/>
        <v/>
      </c>
      <c r="Z286" s="15" t="str">
        <f>IF(S286=1,IFERROR(INDEX(Settings!$E$12:$E$41,MATCH($B286,Settings!$A$12:$A$41,0)),"N"),"")</f>
        <v/>
      </c>
      <c r="AA286" s="17">
        <f>IF(S286=1,IFERROR(INDEX(Settings!$F$12:$F$41,MATCH($B286,Settings!$A$12:$A$41,0)),0),0)</f>
        <v>0</v>
      </c>
      <c r="AB286" s="15">
        <f>IF(S286=1,IFERROR(INDEX(Settings!$G$12:$G$41,MATCH($B286,Settings!$A$12:$A$41,0)),0),0)</f>
        <v>0</v>
      </c>
      <c r="AC286" s="18" t="str">
        <f t="shared" si="39"/>
        <v/>
      </c>
      <c r="AD286" s="15" t="str">
        <f t="shared" si="40"/>
        <v/>
      </c>
      <c r="AE286" s="15" t="str">
        <f t="shared" si="41"/>
        <v/>
      </c>
      <c r="AF286" s="15" t="str">
        <f t="shared" si="42"/>
        <v/>
      </c>
      <c r="AG286" s="18">
        <f>IF(AND(S286=1,Z286="Y"),IF(Settings!$B$6="Percentage",IF(AD286=0,0,AC286*AA286*(N286/AD286)),IF(Settings!$B$6="Points",IF(AF286=0,0,AC286*(N286*AB286)/AF286),IF(Settings!$B$6="Equally",IF(AE286=0,0,AC286*N286/AE286),0))),0)</f>
        <v>0</v>
      </c>
      <c r="AH286" s="18" t="str">
        <f t="shared" si="43"/>
        <v/>
      </c>
      <c r="AI286" s="15">
        <f>IF(S286=1,IF(COUNTIFS($R$2:R286,R286,$S$2:S286,1)=1,1,0),0)</f>
        <v>0</v>
      </c>
      <c r="AJ286" s="15">
        <f>SUM($AI$2:AI286)</f>
        <v>12</v>
      </c>
    </row>
    <row r="287" spans="18:36">
      <c r="R287" s="15" t="str">
        <f t="shared" si="44"/>
        <v/>
      </c>
      <c r="S287" s="15">
        <f t="shared" si="36"/>
        <v>0</v>
      </c>
      <c r="T287" s="16" t="str">
        <f>IF(S287=1, DATE(YEAR(Settings!$B$3), MONTH(D287), DAY(D287)), "")</f>
        <v/>
      </c>
      <c r="U287" s="15" t="str">
        <f>IF(S287=1,IFERROR(INDEX(Settings!$B$12:$B$41,MATCH($B287,Settings!$A$12:$A$41,0)),"N"),"")</f>
        <v/>
      </c>
      <c r="V287" s="15" t="str">
        <f>IF(S287=1,IFERROR(INDEX(Settings!$C$12:$C$41,MATCH($B287,Settings!$A$12:$A$41,0)),""),"")</f>
        <v/>
      </c>
      <c r="W287" s="17">
        <f>IF(S287=1,IFERROR(INDEX(Settings!$D$12:$D$41,MATCH($B287,Settings!$A$12:$A$41,0)),0),0)</f>
        <v>0</v>
      </c>
      <c r="X287" s="18">
        <f t="shared" si="37"/>
        <v>0</v>
      </c>
      <c r="Y287" s="18" t="str">
        <f t="shared" si="38"/>
        <v/>
      </c>
      <c r="Z287" s="15" t="str">
        <f>IF(S287=1,IFERROR(INDEX(Settings!$E$12:$E$41,MATCH($B287,Settings!$A$12:$A$41,0)),"N"),"")</f>
        <v/>
      </c>
      <c r="AA287" s="17">
        <f>IF(S287=1,IFERROR(INDEX(Settings!$F$12:$F$41,MATCH($B287,Settings!$A$12:$A$41,0)),0),0)</f>
        <v>0</v>
      </c>
      <c r="AB287" s="15">
        <f>IF(S287=1,IFERROR(INDEX(Settings!$G$12:$G$41,MATCH($B287,Settings!$A$12:$A$41,0)),0),0)</f>
        <v>0</v>
      </c>
      <c r="AC287" s="18" t="str">
        <f t="shared" si="39"/>
        <v/>
      </c>
      <c r="AD287" s="15" t="str">
        <f t="shared" si="40"/>
        <v/>
      </c>
      <c r="AE287" s="15" t="str">
        <f t="shared" si="41"/>
        <v/>
      </c>
      <c r="AF287" s="15" t="str">
        <f t="shared" si="42"/>
        <v/>
      </c>
      <c r="AG287" s="18">
        <f>IF(AND(S287=1,Z287="Y"),IF(Settings!$B$6="Percentage",IF(AD287=0,0,AC287*AA287*(N287/AD287)),IF(Settings!$B$6="Points",IF(AF287=0,0,AC287*(N287*AB287)/AF287),IF(Settings!$B$6="Equally",IF(AE287=0,0,AC287*N287/AE287),0))),0)</f>
        <v>0</v>
      </c>
      <c r="AH287" s="18" t="str">
        <f t="shared" si="43"/>
        <v/>
      </c>
      <c r="AI287" s="15">
        <f>IF(S287=1,IF(COUNTIFS($R$2:R287,R287,$S$2:S287,1)=1,1,0),0)</f>
        <v>0</v>
      </c>
      <c r="AJ287" s="15">
        <f>SUM($AI$2:AI287)</f>
        <v>12</v>
      </c>
    </row>
    <row r="288" spans="18:36">
      <c r="R288" s="15" t="str">
        <f t="shared" si="44"/>
        <v/>
      </c>
      <c r="S288" s="15">
        <f t="shared" si="36"/>
        <v>0</v>
      </c>
      <c r="T288" s="16" t="str">
        <f>IF(S288=1, DATE(YEAR(Settings!$B$3), MONTH(D288), DAY(D288)), "")</f>
        <v/>
      </c>
      <c r="U288" s="15" t="str">
        <f>IF(S288=1,IFERROR(INDEX(Settings!$B$12:$B$41,MATCH($B288,Settings!$A$12:$A$41,0)),"N"),"")</f>
        <v/>
      </c>
      <c r="V288" s="15" t="str">
        <f>IF(S288=1,IFERROR(INDEX(Settings!$C$12:$C$41,MATCH($B288,Settings!$A$12:$A$41,0)),""),"")</f>
        <v/>
      </c>
      <c r="W288" s="17">
        <f>IF(S288=1,IFERROR(INDEX(Settings!$D$12:$D$41,MATCH($B288,Settings!$A$12:$A$41,0)),0),0)</f>
        <v>0</v>
      </c>
      <c r="X288" s="18">
        <f t="shared" si="37"/>
        <v>0</v>
      </c>
      <c r="Y288" s="18" t="str">
        <f t="shared" si="38"/>
        <v/>
      </c>
      <c r="Z288" s="15" t="str">
        <f>IF(S288=1,IFERROR(INDEX(Settings!$E$12:$E$41,MATCH($B288,Settings!$A$12:$A$41,0)),"N"),"")</f>
        <v/>
      </c>
      <c r="AA288" s="17">
        <f>IF(S288=1,IFERROR(INDEX(Settings!$F$12:$F$41,MATCH($B288,Settings!$A$12:$A$41,0)),0),0)</f>
        <v>0</v>
      </c>
      <c r="AB288" s="15">
        <f>IF(S288=1,IFERROR(INDEX(Settings!$G$12:$G$41,MATCH($B288,Settings!$A$12:$A$41,0)),0),0)</f>
        <v>0</v>
      </c>
      <c r="AC288" s="18" t="str">
        <f t="shared" si="39"/>
        <v/>
      </c>
      <c r="AD288" s="15" t="str">
        <f t="shared" si="40"/>
        <v/>
      </c>
      <c r="AE288" s="15" t="str">
        <f t="shared" si="41"/>
        <v/>
      </c>
      <c r="AF288" s="15" t="str">
        <f t="shared" si="42"/>
        <v/>
      </c>
      <c r="AG288" s="18">
        <f>IF(AND(S288=1,Z288="Y"),IF(Settings!$B$6="Percentage",IF(AD288=0,0,AC288*AA288*(N288/AD288)),IF(Settings!$B$6="Points",IF(AF288=0,0,AC288*(N288*AB288)/AF288),IF(Settings!$B$6="Equally",IF(AE288=0,0,AC288*N288/AE288),0))),0)</f>
        <v>0</v>
      </c>
      <c r="AH288" s="18" t="str">
        <f t="shared" si="43"/>
        <v/>
      </c>
      <c r="AI288" s="15">
        <f>IF(S288=1,IF(COUNTIFS($R$2:R288,R288,$S$2:S288,1)=1,1,0),0)</f>
        <v>0</v>
      </c>
      <c r="AJ288" s="15">
        <f>SUM($AI$2:AI288)</f>
        <v>12</v>
      </c>
    </row>
    <row r="289" spans="18:36">
      <c r="R289" s="15" t="str">
        <f t="shared" si="44"/>
        <v/>
      </c>
      <c r="S289" s="15">
        <f t="shared" si="36"/>
        <v>0</v>
      </c>
      <c r="T289" s="16" t="str">
        <f>IF(S289=1, DATE(YEAR(Settings!$B$3), MONTH(D289), DAY(D289)), "")</f>
        <v/>
      </c>
      <c r="U289" s="15" t="str">
        <f>IF(S289=1,IFERROR(INDEX(Settings!$B$12:$B$41,MATCH($B289,Settings!$A$12:$A$41,0)),"N"),"")</f>
        <v/>
      </c>
      <c r="V289" s="15" t="str">
        <f>IF(S289=1,IFERROR(INDEX(Settings!$C$12:$C$41,MATCH($B289,Settings!$A$12:$A$41,0)),""),"")</f>
        <v/>
      </c>
      <c r="W289" s="17">
        <f>IF(S289=1,IFERROR(INDEX(Settings!$D$12:$D$41,MATCH($B289,Settings!$A$12:$A$41,0)),0),0)</f>
        <v>0</v>
      </c>
      <c r="X289" s="18">
        <f t="shared" si="37"/>
        <v>0</v>
      </c>
      <c r="Y289" s="18" t="str">
        <f t="shared" si="38"/>
        <v/>
      </c>
      <c r="Z289" s="15" t="str">
        <f>IF(S289=1,IFERROR(INDEX(Settings!$E$12:$E$41,MATCH($B289,Settings!$A$12:$A$41,0)),"N"),"")</f>
        <v/>
      </c>
      <c r="AA289" s="17">
        <f>IF(S289=1,IFERROR(INDEX(Settings!$F$12:$F$41,MATCH($B289,Settings!$A$12:$A$41,0)),0),0)</f>
        <v>0</v>
      </c>
      <c r="AB289" s="15">
        <f>IF(S289=1,IFERROR(INDEX(Settings!$G$12:$G$41,MATCH($B289,Settings!$A$12:$A$41,0)),0),0)</f>
        <v>0</v>
      </c>
      <c r="AC289" s="18" t="str">
        <f t="shared" si="39"/>
        <v/>
      </c>
      <c r="AD289" s="15" t="str">
        <f t="shared" si="40"/>
        <v/>
      </c>
      <c r="AE289" s="15" t="str">
        <f t="shared" si="41"/>
        <v/>
      </c>
      <c r="AF289" s="15" t="str">
        <f t="shared" si="42"/>
        <v/>
      </c>
      <c r="AG289" s="18">
        <f>IF(AND(S289=1,Z289="Y"),IF(Settings!$B$6="Percentage",IF(AD289=0,0,AC289*AA289*(N289/AD289)),IF(Settings!$B$6="Points",IF(AF289=0,0,AC289*(N289*AB289)/AF289),IF(Settings!$B$6="Equally",IF(AE289=0,0,AC289*N289/AE289),0))),0)</f>
        <v>0</v>
      </c>
      <c r="AH289" s="18" t="str">
        <f t="shared" si="43"/>
        <v/>
      </c>
      <c r="AI289" s="15">
        <f>IF(S289=1,IF(COUNTIFS($R$2:R289,R289,$S$2:S289,1)=1,1,0),0)</f>
        <v>0</v>
      </c>
      <c r="AJ289" s="15">
        <f>SUM($AI$2:AI289)</f>
        <v>12</v>
      </c>
    </row>
    <row r="290" spans="18:36">
      <c r="R290" s="15" t="str">
        <f t="shared" si="44"/>
        <v/>
      </c>
      <c r="S290" s="15">
        <f t="shared" si="36"/>
        <v>0</v>
      </c>
      <c r="T290" s="16" t="str">
        <f>IF(S290=1, DATE(YEAR(Settings!$B$3), MONTH(D290), DAY(D290)), "")</f>
        <v/>
      </c>
      <c r="U290" s="15" t="str">
        <f>IF(S290=1,IFERROR(INDEX(Settings!$B$12:$B$41,MATCH($B290,Settings!$A$12:$A$41,0)),"N"),"")</f>
        <v/>
      </c>
      <c r="V290" s="15" t="str">
        <f>IF(S290=1,IFERROR(INDEX(Settings!$C$12:$C$41,MATCH($B290,Settings!$A$12:$A$41,0)),""),"")</f>
        <v/>
      </c>
      <c r="W290" s="17">
        <f>IF(S290=1,IFERROR(INDEX(Settings!$D$12:$D$41,MATCH($B290,Settings!$A$12:$A$41,0)),0),0)</f>
        <v>0</v>
      </c>
      <c r="X290" s="18">
        <f t="shared" si="37"/>
        <v>0</v>
      </c>
      <c r="Y290" s="18" t="str">
        <f t="shared" si="38"/>
        <v/>
      </c>
      <c r="Z290" s="15" t="str">
        <f>IF(S290=1,IFERROR(INDEX(Settings!$E$12:$E$41,MATCH($B290,Settings!$A$12:$A$41,0)),"N"),"")</f>
        <v/>
      </c>
      <c r="AA290" s="17">
        <f>IF(S290=1,IFERROR(INDEX(Settings!$F$12:$F$41,MATCH($B290,Settings!$A$12:$A$41,0)),0),0)</f>
        <v>0</v>
      </c>
      <c r="AB290" s="15">
        <f>IF(S290=1,IFERROR(INDEX(Settings!$G$12:$G$41,MATCH($B290,Settings!$A$12:$A$41,0)),0),0)</f>
        <v>0</v>
      </c>
      <c r="AC290" s="18" t="str">
        <f t="shared" si="39"/>
        <v/>
      </c>
      <c r="AD290" s="15" t="str">
        <f t="shared" si="40"/>
        <v/>
      </c>
      <c r="AE290" s="15" t="str">
        <f t="shared" si="41"/>
        <v/>
      </c>
      <c r="AF290" s="15" t="str">
        <f t="shared" si="42"/>
        <v/>
      </c>
      <c r="AG290" s="18">
        <f>IF(AND(S290=1,Z290="Y"),IF(Settings!$B$6="Percentage",IF(AD290=0,0,AC290*AA290*(N290/AD290)),IF(Settings!$B$6="Points",IF(AF290=0,0,AC290*(N290*AB290)/AF290),IF(Settings!$B$6="Equally",IF(AE290=0,0,AC290*N290/AE290),0))),0)</f>
        <v>0</v>
      </c>
      <c r="AH290" s="18" t="str">
        <f t="shared" si="43"/>
        <v/>
      </c>
      <c r="AI290" s="15">
        <f>IF(S290=1,IF(COUNTIFS($R$2:R290,R290,$S$2:S290,1)=1,1,0),0)</f>
        <v>0</v>
      </c>
      <c r="AJ290" s="15">
        <f>SUM($AI$2:AI290)</f>
        <v>12</v>
      </c>
    </row>
    <row r="291" spans="18:36">
      <c r="R291" s="15" t="str">
        <f t="shared" si="44"/>
        <v/>
      </c>
      <c r="S291" s="15">
        <f t="shared" si="36"/>
        <v>0</v>
      </c>
      <c r="T291" s="16" t="str">
        <f>IF(S291=1, DATE(YEAR(Settings!$B$3), MONTH(D291), DAY(D291)), "")</f>
        <v/>
      </c>
      <c r="U291" s="15" t="str">
        <f>IF(S291=1,IFERROR(INDEX(Settings!$B$12:$B$41,MATCH($B291,Settings!$A$12:$A$41,0)),"N"),"")</f>
        <v/>
      </c>
      <c r="V291" s="15" t="str">
        <f>IF(S291=1,IFERROR(INDEX(Settings!$C$12:$C$41,MATCH($B291,Settings!$A$12:$A$41,0)),""),"")</f>
        <v/>
      </c>
      <c r="W291" s="17">
        <f>IF(S291=1,IFERROR(INDEX(Settings!$D$12:$D$41,MATCH($B291,Settings!$A$12:$A$41,0)),0),0)</f>
        <v>0</v>
      </c>
      <c r="X291" s="18">
        <f t="shared" si="37"/>
        <v>0</v>
      </c>
      <c r="Y291" s="18" t="str">
        <f t="shared" si="38"/>
        <v/>
      </c>
      <c r="Z291" s="15" t="str">
        <f>IF(S291=1,IFERROR(INDEX(Settings!$E$12:$E$41,MATCH($B291,Settings!$A$12:$A$41,0)),"N"),"")</f>
        <v/>
      </c>
      <c r="AA291" s="17">
        <f>IF(S291=1,IFERROR(INDEX(Settings!$F$12:$F$41,MATCH($B291,Settings!$A$12:$A$41,0)),0),0)</f>
        <v>0</v>
      </c>
      <c r="AB291" s="15">
        <f>IF(S291=1,IFERROR(INDEX(Settings!$G$12:$G$41,MATCH($B291,Settings!$A$12:$A$41,0)),0),0)</f>
        <v>0</v>
      </c>
      <c r="AC291" s="18" t="str">
        <f t="shared" si="39"/>
        <v/>
      </c>
      <c r="AD291" s="15" t="str">
        <f t="shared" si="40"/>
        <v/>
      </c>
      <c r="AE291" s="15" t="str">
        <f t="shared" si="41"/>
        <v/>
      </c>
      <c r="AF291" s="15" t="str">
        <f t="shared" si="42"/>
        <v/>
      </c>
      <c r="AG291" s="18">
        <f>IF(AND(S291=1,Z291="Y"),IF(Settings!$B$6="Percentage",IF(AD291=0,0,AC291*AA291*(N291/AD291)),IF(Settings!$B$6="Points",IF(AF291=0,0,AC291*(N291*AB291)/AF291),IF(Settings!$B$6="Equally",IF(AE291=0,0,AC291*N291/AE291),0))),0)</f>
        <v>0</v>
      </c>
      <c r="AH291" s="18" t="str">
        <f t="shared" si="43"/>
        <v/>
      </c>
      <c r="AI291" s="15">
        <f>IF(S291=1,IF(COUNTIFS($R$2:R291,R291,$S$2:S291,1)=1,1,0),0)</f>
        <v>0</v>
      </c>
      <c r="AJ291" s="15">
        <f>SUM($AI$2:AI291)</f>
        <v>12</v>
      </c>
    </row>
    <row r="292" spans="18:36">
      <c r="R292" s="15" t="str">
        <f t="shared" si="44"/>
        <v/>
      </c>
      <c r="S292" s="15">
        <f t="shared" si="36"/>
        <v>0</v>
      </c>
      <c r="T292" s="16" t="str">
        <f>IF(S292=1, DATE(YEAR(Settings!$B$3), MONTH(D292), DAY(D292)), "")</f>
        <v/>
      </c>
      <c r="U292" s="15" t="str">
        <f>IF(S292=1,IFERROR(INDEX(Settings!$B$12:$B$41,MATCH($B292,Settings!$A$12:$A$41,0)),"N"),"")</f>
        <v/>
      </c>
      <c r="V292" s="15" t="str">
        <f>IF(S292=1,IFERROR(INDEX(Settings!$C$12:$C$41,MATCH($B292,Settings!$A$12:$A$41,0)),""),"")</f>
        <v/>
      </c>
      <c r="W292" s="17">
        <f>IF(S292=1,IFERROR(INDEX(Settings!$D$12:$D$41,MATCH($B292,Settings!$A$12:$A$41,0)),0),0)</f>
        <v>0</v>
      </c>
      <c r="X292" s="18">
        <f t="shared" si="37"/>
        <v>0</v>
      </c>
      <c r="Y292" s="18" t="str">
        <f t="shared" si="38"/>
        <v/>
      </c>
      <c r="Z292" s="15" t="str">
        <f>IF(S292=1,IFERROR(INDEX(Settings!$E$12:$E$41,MATCH($B292,Settings!$A$12:$A$41,0)),"N"),"")</f>
        <v/>
      </c>
      <c r="AA292" s="17">
        <f>IF(S292=1,IFERROR(INDEX(Settings!$F$12:$F$41,MATCH($B292,Settings!$A$12:$A$41,0)),0),0)</f>
        <v>0</v>
      </c>
      <c r="AB292" s="15">
        <f>IF(S292=1,IFERROR(INDEX(Settings!$G$12:$G$41,MATCH($B292,Settings!$A$12:$A$41,0)),0),0)</f>
        <v>0</v>
      </c>
      <c r="AC292" s="18" t="str">
        <f t="shared" si="39"/>
        <v/>
      </c>
      <c r="AD292" s="15" t="str">
        <f t="shared" si="40"/>
        <v/>
      </c>
      <c r="AE292" s="15" t="str">
        <f t="shared" si="41"/>
        <v/>
      </c>
      <c r="AF292" s="15" t="str">
        <f t="shared" si="42"/>
        <v/>
      </c>
      <c r="AG292" s="18">
        <f>IF(AND(S292=1,Z292="Y"),IF(Settings!$B$6="Percentage",IF(AD292=0,0,AC292*AA292*(N292/AD292)),IF(Settings!$B$6="Points",IF(AF292=0,0,AC292*(N292*AB292)/AF292),IF(Settings!$B$6="Equally",IF(AE292=0,0,AC292*N292/AE292),0))),0)</f>
        <v>0</v>
      </c>
      <c r="AH292" s="18" t="str">
        <f t="shared" si="43"/>
        <v/>
      </c>
      <c r="AI292" s="15">
        <f>IF(S292=1,IF(COUNTIFS($R$2:R292,R292,$S$2:S292,1)=1,1,0),0)</f>
        <v>0</v>
      </c>
      <c r="AJ292" s="15">
        <f>SUM($AI$2:AI292)</f>
        <v>12</v>
      </c>
    </row>
    <row r="293" spans="18:36">
      <c r="R293" s="15" t="str">
        <f t="shared" si="44"/>
        <v/>
      </c>
      <c r="S293" s="15">
        <f t="shared" si="36"/>
        <v>0</v>
      </c>
      <c r="T293" s="16" t="str">
        <f>IF(S293=1, DATE(YEAR(Settings!$B$3), MONTH(D293), DAY(D293)), "")</f>
        <v/>
      </c>
      <c r="U293" s="15" t="str">
        <f>IF(S293=1,IFERROR(INDEX(Settings!$B$12:$B$41,MATCH($B293,Settings!$A$12:$A$41,0)),"N"),"")</f>
        <v/>
      </c>
      <c r="V293" s="15" t="str">
        <f>IF(S293=1,IFERROR(INDEX(Settings!$C$12:$C$41,MATCH($B293,Settings!$A$12:$A$41,0)),""),"")</f>
        <v/>
      </c>
      <c r="W293" s="17">
        <f>IF(S293=1,IFERROR(INDEX(Settings!$D$12:$D$41,MATCH($B293,Settings!$A$12:$A$41,0)),0),0)</f>
        <v>0</v>
      </c>
      <c r="X293" s="18">
        <f t="shared" si="37"/>
        <v>0</v>
      </c>
      <c r="Y293" s="18" t="str">
        <f t="shared" si="38"/>
        <v/>
      </c>
      <c r="Z293" s="15" t="str">
        <f>IF(S293=1,IFERROR(INDEX(Settings!$E$12:$E$41,MATCH($B293,Settings!$A$12:$A$41,0)),"N"),"")</f>
        <v/>
      </c>
      <c r="AA293" s="17">
        <f>IF(S293=1,IFERROR(INDEX(Settings!$F$12:$F$41,MATCH($B293,Settings!$A$12:$A$41,0)),0),0)</f>
        <v>0</v>
      </c>
      <c r="AB293" s="15">
        <f>IF(S293=1,IFERROR(INDEX(Settings!$G$12:$G$41,MATCH($B293,Settings!$A$12:$A$41,0)),0),0)</f>
        <v>0</v>
      </c>
      <c r="AC293" s="18" t="str">
        <f t="shared" si="39"/>
        <v/>
      </c>
      <c r="AD293" s="15" t="str">
        <f t="shared" si="40"/>
        <v/>
      </c>
      <c r="AE293" s="15" t="str">
        <f t="shared" si="41"/>
        <v/>
      </c>
      <c r="AF293" s="15" t="str">
        <f t="shared" si="42"/>
        <v/>
      </c>
      <c r="AG293" s="18">
        <f>IF(AND(S293=1,Z293="Y"),IF(Settings!$B$6="Percentage",IF(AD293=0,0,AC293*AA293*(N293/AD293)),IF(Settings!$B$6="Points",IF(AF293=0,0,AC293*(N293*AB293)/AF293),IF(Settings!$B$6="Equally",IF(AE293=0,0,AC293*N293/AE293),0))),0)</f>
        <v>0</v>
      </c>
      <c r="AH293" s="18" t="str">
        <f t="shared" si="43"/>
        <v/>
      </c>
      <c r="AI293" s="15">
        <f>IF(S293=1,IF(COUNTIFS($R$2:R293,R293,$S$2:S293,1)=1,1,0),0)</f>
        <v>0</v>
      </c>
      <c r="AJ293" s="15">
        <f>SUM($AI$2:AI293)</f>
        <v>12</v>
      </c>
    </row>
    <row r="294" spans="18:36">
      <c r="R294" s="15" t="str">
        <f t="shared" si="44"/>
        <v/>
      </c>
      <c r="S294" s="15">
        <f t="shared" si="36"/>
        <v>0</v>
      </c>
      <c r="T294" s="16" t="str">
        <f>IF(S294=1, DATE(YEAR(Settings!$B$3), MONTH(D294), DAY(D294)), "")</f>
        <v/>
      </c>
      <c r="U294" s="15" t="str">
        <f>IF(S294=1,IFERROR(INDEX(Settings!$B$12:$B$41,MATCH($B294,Settings!$A$12:$A$41,0)),"N"),"")</f>
        <v/>
      </c>
      <c r="V294" s="15" t="str">
        <f>IF(S294=1,IFERROR(INDEX(Settings!$C$12:$C$41,MATCH($B294,Settings!$A$12:$A$41,0)),""),"")</f>
        <v/>
      </c>
      <c r="W294" s="17">
        <f>IF(S294=1,IFERROR(INDEX(Settings!$D$12:$D$41,MATCH($B294,Settings!$A$12:$A$41,0)),0),0)</f>
        <v>0</v>
      </c>
      <c r="X294" s="18">
        <f t="shared" si="37"/>
        <v>0</v>
      </c>
      <c r="Y294" s="18" t="str">
        <f t="shared" si="38"/>
        <v/>
      </c>
      <c r="Z294" s="15" t="str">
        <f>IF(S294=1,IFERROR(INDEX(Settings!$E$12:$E$41,MATCH($B294,Settings!$A$12:$A$41,0)),"N"),"")</f>
        <v/>
      </c>
      <c r="AA294" s="17">
        <f>IF(S294=1,IFERROR(INDEX(Settings!$F$12:$F$41,MATCH($B294,Settings!$A$12:$A$41,0)),0),0)</f>
        <v>0</v>
      </c>
      <c r="AB294" s="15">
        <f>IF(S294=1,IFERROR(INDEX(Settings!$G$12:$G$41,MATCH($B294,Settings!$A$12:$A$41,0)),0),0)</f>
        <v>0</v>
      </c>
      <c r="AC294" s="18" t="str">
        <f t="shared" si="39"/>
        <v/>
      </c>
      <c r="AD294" s="15" t="str">
        <f t="shared" si="40"/>
        <v/>
      </c>
      <c r="AE294" s="15" t="str">
        <f t="shared" si="41"/>
        <v/>
      </c>
      <c r="AF294" s="15" t="str">
        <f t="shared" si="42"/>
        <v/>
      </c>
      <c r="AG294" s="18">
        <f>IF(AND(S294=1,Z294="Y"),IF(Settings!$B$6="Percentage",IF(AD294=0,0,AC294*AA294*(N294/AD294)),IF(Settings!$B$6="Points",IF(AF294=0,0,AC294*(N294*AB294)/AF294),IF(Settings!$B$6="Equally",IF(AE294=0,0,AC294*N294/AE294),0))),0)</f>
        <v>0</v>
      </c>
      <c r="AH294" s="18" t="str">
        <f t="shared" si="43"/>
        <v/>
      </c>
      <c r="AI294" s="15">
        <f>IF(S294=1,IF(COUNTIFS($R$2:R294,R294,$S$2:S294,1)=1,1,0),0)</f>
        <v>0</v>
      </c>
      <c r="AJ294" s="15">
        <f>SUM($AI$2:AI294)</f>
        <v>12</v>
      </c>
    </row>
    <row r="295" spans="18:36">
      <c r="R295" s="15" t="str">
        <f t="shared" si="44"/>
        <v/>
      </c>
      <c r="S295" s="15">
        <f t="shared" si="36"/>
        <v>0</v>
      </c>
      <c r="T295" s="16" t="str">
        <f>IF(S295=1, DATE(YEAR(Settings!$B$3), MONTH(D295), DAY(D295)), "")</f>
        <v/>
      </c>
      <c r="U295" s="15" t="str">
        <f>IF(S295=1,IFERROR(INDEX(Settings!$B$12:$B$41,MATCH($B295,Settings!$A$12:$A$41,0)),"N"),"")</f>
        <v/>
      </c>
      <c r="V295" s="15" t="str">
        <f>IF(S295=1,IFERROR(INDEX(Settings!$C$12:$C$41,MATCH($B295,Settings!$A$12:$A$41,0)),""),"")</f>
        <v/>
      </c>
      <c r="W295" s="17">
        <f>IF(S295=1,IFERROR(INDEX(Settings!$D$12:$D$41,MATCH($B295,Settings!$A$12:$A$41,0)),0),0)</f>
        <v>0</v>
      </c>
      <c r="X295" s="18">
        <f t="shared" si="37"/>
        <v>0</v>
      </c>
      <c r="Y295" s="18" t="str">
        <f t="shared" si="38"/>
        <v/>
      </c>
      <c r="Z295" s="15" t="str">
        <f>IF(S295=1,IFERROR(INDEX(Settings!$E$12:$E$41,MATCH($B295,Settings!$A$12:$A$41,0)),"N"),"")</f>
        <v/>
      </c>
      <c r="AA295" s="17">
        <f>IF(S295=1,IFERROR(INDEX(Settings!$F$12:$F$41,MATCH($B295,Settings!$A$12:$A$41,0)),0),0)</f>
        <v>0</v>
      </c>
      <c r="AB295" s="15">
        <f>IF(S295=1,IFERROR(INDEX(Settings!$G$12:$G$41,MATCH($B295,Settings!$A$12:$A$41,0)),0),0)</f>
        <v>0</v>
      </c>
      <c r="AC295" s="18" t="str">
        <f t="shared" si="39"/>
        <v/>
      </c>
      <c r="AD295" s="15" t="str">
        <f t="shared" si="40"/>
        <v/>
      </c>
      <c r="AE295" s="15" t="str">
        <f t="shared" si="41"/>
        <v/>
      </c>
      <c r="AF295" s="15" t="str">
        <f t="shared" si="42"/>
        <v/>
      </c>
      <c r="AG295" s="18">
        <f>IF(AND(S295=1,Z295="Y"),IF(Settings!$B$6="Percentage",IF(AD295=0,0,AC295*AA295*(N295/AD295)),IF(Settings!$B$6="Points",IF(AF295=0,0,AC295*(N295*AB295)/AF295),IF(Settings!$B$6="Equally",IF(AE295=0,0,AC295*N295/AE295),0))),0)</f>
        <v>0</v>
      </c>
      <c r="AH295" s="18" t="str">
        <f t="shared" si="43"/>
        <v/>
      </c>
      <c r="AI295" s="15">
        <f>IF(S295=1,IF(COUNTIFS($R$2:R295,R295,$S$2:S295,1)=1,1,0),0)</f>
        <v>0</v>
      </c>
      <c r="AJ295" s="15">
        <f>SUM($AI$2:AI295)</f>
        <v>12</v>
      </c>
    </row>
    <row r="296" spans="18:36">
      <c r="R296" s="15" t="str">
        <f t="shared" si="44"/>
        <v/>
      </c>
      <c r="S296" s="15">
        <f t="shared" si="36"/>
        <v>0</v>
      </c>
      <c r="T296" s="16" t="str">
        <f>IF(S296=1, DATE(YEAR(Settings!$B$3), MONTH(D296), DAY(D296)), "")</f>
        <v/>
      </c>
      <c r="U296" s="15" t="str">
        <f>IF(S296=1,IFERROR(INDEX(Settings!$B$12:$B$41,MATCH($B296,Settings!$A$12:$A$41,0)),"N"),"")</f>
        <v/>
      </c>
      <c r="V296" s="15" t="str">
        <f>IF(S296=1,IFERROR(INDEX(Settings!$C$12:$C$41,MATCH($B296,Settings!$A$12:$A$41,0)),""),"")</f>
        <v/>
      </c>
      <c r="W296" s="17">
        <f>IF(S296=1,IFERROR(INDEX(Settings!$D$12:$D$41,MATCH($B296,Settings!$A$12:$A$41,0)),0),0)</f>
        <v>0</v>
      </c>
      <c r="X296" s="18">
        <f t="shared" si="37"/>
        <v>0</v>
      </c>
      <c r="Y296" s="18" t="str">
        <f t="shared" si="38"/>
        <v/>
      </c>
      <c r="Z296" s="15" t="str">
        <f>IF(S296=1,IFERROR(INDEX(Settings!$E$12:$E$41,MATCH($B296,Settings!$A$12:$A$41,0)),"N"),"")</f>
        <v/>
      </c>
      <c r="AA296" s="17">
        <f>IF(S296=1,IFERROR(INDEX(Settings!$F$12:$F$41,MATCH($B296,Settings!$A$12:$A$41,0)),0),0)</f>
        <v>0</v>
      </c>
      <c r="AB296" s="15">
        <f>IF(S296=1,IFERROR(INDEX(Settings!$G$12:$G$41,MATCH($B296,Settings!$A$12:$A$41,0)),0),0)</f>
        <v>0</v>
      </c>
      <c r="AC296" s="18" t="str">
        <f t="shared" si="39"/>
        <v/>
      </c>
      <c r="AD296" s="15" t="str">
        <f t="shared" si="40"/>
        <v/>
      </c>
      <c r="AE296" s="15" t="str">
        <f t="shared" si="41"/>
        <v/>
      </c>
      <c r="AF296" s="15" t="str">
        <f t="shared" si="42"/>
        <v/>
      </c>
      <c r="AG296" s="18">
        <f>IF(AND(S296=1,Z296="Y"),IF(Settings!$B$6="Percentage",IF(AD296=0,0,AC296*AA296*(N296/AD296)),IF(Settings!$B$6="Points",IF(AF296=0,0,AC296*(N296*AB296)/AF296),IF(Settings!$B$6="Equally",IF(AE296=0,0,AC296*N296/AE296),0))),0)</f>
        <v>0</v>
      </c>
      <c r="AH296" s="18" t="str">
        <f t="shared" si="43"/>
        <v/>
      </c>
      <c r="AI296" s="15">
        <f>IF(S296=1,IF(COUNTIFS($R$2:R296,R296,$S$2:S296,1)=1,1,0),0)</f>
        <v>0</v>
      </c>
      <c r="AJ296" s="15">
        <f>SUM($AI$2:AI296)</f>
        <v>12</v>
      </c>
    </row>
    <row r="297" spans="18:36">
      <c r="R297" s="15" t="str">
        <f t="shared" si="44"/>
        <v/>
      </c>
      <c r="S297" s="15">
        <f t="shared" si="36"/>
        <v>0</v>
      </c>
      <c r="T297" s="16" t="str">
        <f>IF(S297=1, DATE(YEAR(Settings!$B$3), MONTH(D297), DAY(D297)), "")</f>
        <v/>
      </c>
      <c r="U297" s="15" t="str">
        <f>IF(S297=1,IFERROR(INDEX(Settings!$B$12:$B$41,MATCH($B297,Settings!$A$12:$A$41,0)),"N"),"")</f>
        <v/>
      </c>
      <c r="V297" s="15" t="str">
        <f>IF(S297=1,IFERROR(INDEX(Settings!$C$12:$C$41,MATCH($B297,Settings!$A$12:$A$41,0)),""),"")</f>
        <v/>
      </c>
      <c r="W297" s="17">
        <f>IF(S297=1,IFERROR(INDEX(Settings!$D$12:$D$41,MATCH($B297,Settings!$A$12:$A$41,0)),0),0)</f>
        <v>0</v>
      </c>
      <c r="X297" s="18">
        <f t="shared" si="37"/>
        <v>0</v>
      </c>
      <c r="Y297" s="18" t="str">
        <f t="shared" si="38"/>
        <v/>
      </c>
      <c r="Z297" s="15" t="str">
        <f>IF(S297=1,IFERROR(INDEX(Settings!$E$12:$E$41,MATCH($B297,Settings!$A$12:$A$41,0)),"N"),"")</f>
        <v/>
      </c>
      <c r="AA297" s="17">
        <f>IF(S297=1,IFERROR(INDEX(Settings!$F$12:$F$41,MATCH($B297,Settings!$A$12:$A$41,0)),0),0)</f>
        <v>0</v>
      </c>
      <c r="AB297" s="15">
        <f>IF(S297=1,IFERROR(INDEX(Settings!$G$12:$G$41,MATCH($B297,Settings!$A$12:$A$41,0)),0),0)</f>
        <v>0</v>
      </c>
      <c r="AC297" s="18" t="str">
        <f t="shared" si="39"/>
        <v/>
      </c>
      <c r="AD297" s="15" t="str">
        <f t="shared" si="40"/>
        <v/>
      </c>
      <c r="AE297" s="15" t="str">
        <f t="shared" si="41"/>
        <v/>
      </c>
      <c r="AF297" s="15" t="str">
        <f t="shared" si="42"/>
        <v/>
      </c>
      <c r="AG297" s="18">
        <f>IF(AND(S297=1,Z297="Y"),IF(Settings!$B$6="Percentage",IF(AD297=0,0,AC297*AA297*(N297/AD297)),IF(Settings!$B$6="Points",IF(AF297=0,0,AC297*(N297*AB297)/AF297),IF(Settings!$B$6="Equally",IF(AE297=0,0,AC297*N297/AE297),0))),0)</f>
        <v>0</v>
      </c>
      <c r="AH297" s="18" t="str">
        <f t="shared" si="43"/>
        <v/>
      </c>
      <c r="AI297" s="15">
        <f>IF(S297=1,IF(COUNTIFS($R$2:R297,R297,$S$2:S297,1)=1,1,0),0)</f>
        <v>0</v>
      </c>
      <c r="AJ297" s="15">
        <f>SUM($AI$2:AI297)</f>
        <v>12</v>
      </c>
    </row>
    <row r="298" spans="18:36">
      <c r="R298" s="15" t="str">
        <f t="shared" si="44"/>
        <v/>
      </c>
      <c r="S298" s="15">
        <f t="shared" si="36"/>
        <v>0</v>
      </c>
      <c r="T298" s="16" t="str">
        <f>IF(S298=1, DATE(YEAR(Settings!$B$3), MONTH(D298), DAY(D298)), "")</f>
        <v/>
      </c>
      <c r="U298" s="15" t="str">
        <f>IF(S298=1,IFERROR(INDEX(Settings!$B$12:$B$41,MATCH($B298,Settings!$A$12:$A$41,0)),"N"),"")</f>
        <v/>
      </c>
      <c r="V298" s="15" t="str">
        <f>IF(S298=1,IFERROR(INDEX(Settings!$C$12:$C$41,MATCH($B298,Settings!$A$12:$A$41,0)),""),"")</f>
        <v/>
      </c>
      <c r="W298" s="17">
        <f>IF(S298=1,IFERROR(INDEX(Settings!$D$12:$D$41,MATCH($B298,Settings!$A$12:$A$41,0)),0),0)</f>
        <v>0</v>
      </c>
      <c r="X298" s="18">
        <f t="shared" si="37"/>
        <v>0</v>
      </c>
      <c r="Y298" s="18" t="str">
        <f t="shared" si="38"/>
        <v/>
      </c>
      <c r="Z298" s="15" t="str">
        <f>IF(S298=1,IFERROR(INDEX(Settings!$E$12:$E$41,MATCH($B298,Settings!$A$12:$A$41,0)),"N"),"")</f>
        <v/>
      </c>
      <c r="AA298" s="17">
        <f>IF(S298=1,IFERROR(INDEX(Settings!$F$12:$F$41,MATCH($B298,Settings!$A$12:$A$41,0)),0),0)</f>
        <v>0</v>
      </c>
      <c r="AB298" s="15">
        <f>IF(S298=1,IFERROR(INDEX(Settings!$G$12:$G$41,MATCH($B298,Settings!$A$12:$A$41,0)),0),0)</f>
        <v>0</v>
      </c>
      <c r="AC298" s="18" t="str">
        <f t="shared" si="39"/>
        <v/>
      </c>
      <c r="AD298" s="15" t="str">
        <f t="shared" si="40"/>
        <v/>
      </c>
      <c r="AE298" s="15" t="str">
        <f t="shared" si="41"/>
        <v/>
      </c>
      <c r="AF298" s="15" t="str">
        <f t="shared" si="42"/>
        <v/>
      </c>
      <c r="AG298" s="18">
        <f>IF(AND(S298=1,Z298="Y"),IF(Settings!$B$6="Percentage",IF(AD298=0,0,AC298*AA298*(N298/AD298)),IF(Settings!$B$6="Points",IF(AF298=0,0,AC298*(N298*AB298)/AF298),IF(Settings!$B$6="Equally",IF(AE298=0,0,AC298*N298/AE298),0))),0)</f>
        <v>0</v>
      </c>
      <c r="AH298" s="18" t="str">
        <f t="shared" si="43"/>
        <v/>
      </c>
      <c r="AI298" s="15">
        <f>IF(S298=1,IF(COUNTIFS($R$2:R298,R298,$S$2:S298,1)=1,1,0),0)</f>
        <v>0</v>
      </c>
      <c r="AJ298" s="15">
        <f>SUM($AI$2:AI298)</f>
        <v>12</v>
      </c>
    </row>
    <row r="299" spans="18:36">
      <c r="R299" s="15" t="str">
        <f t="shared" si="44"/>
        <v/>
      </c>
      <c r="S299" s="15">
        <f t="shared" si="36"/>
        <v>0</v>
      </c>
      <c r="T299" s="16" t="str">
        <f>IF(S299=1, DATE(YEAR(Settings!$B$3), MONTH(D299), DAY(D299)), "")</f>
        <v/>
      </c>
      <c r="U299" s="15" t="str">
        <f>IF(S299=1,IFERROR(INDEX(Settings!$B$12:$B$41,MATCH($B299,Settings!$A$12:$A$41,0)),"N"),"")</f>
        <v/>
      </c>
      <c r="V299" s="15" t="str">
        <f>IF(S299=1,IFERROR(INDEX(Settings!$C$12:$C$41,MATCH($B299,Settings!$A$12:$A$41,0)),""),"")</f>
        <v/>
      </c>
      <c r="W299" s="17">
        <f>IF(S299=1,IFERROR(INDEX(Settings!$D$12:$D$41,MATCH($B299,Settings!$A$12:$A$41,0)),0),0)</f>
        <v>0</v>
      </c>
      <c r="X299" s="18">
        <f t="shared" si="37"/>
        <v>0</v>
      </c>
      <c r="Y299" s="18" t="str">
        <f t="shared" si="38"/>
        <v/>
      </c>
      <c r="Z299" s="15" t="str">
        <f>IF(S299=1,IFERROR(INDEX(Settings!$E$12:$E$41,MATCH($B299,Settings!$A$12:$A$41,0)),"N"),"")</f>
        <v/>
      </c>
      <c r="AA299" s="17">
        <f>IF(S299=1,IFERROR(INDEX(Settings!$F$12:$F$41,MATCH($B299,Settings!$A$12:$A$41,0)),0),0)</f>
        <v>0</v>
      </c>
      <c r="AB299" s="15">
        <f>IF(S299=1,IFERROR(INDEX(Settings!$G$12:$G$41,MATCH($B299,Settings!$A$12:$A$41,0)),0),0)</f>
        <v>0</v>
      </c>
      <c r="AC299" s="18" t="str">
        <f t="shared" si="39"/>
        <v/>
      </c>
      <c r="AD299" s="15" t="str">
        <f t="shared" si="40"/>
        <v/>
      </c>
      <c r="AE299" s="15" t="str">
        <f t="shared" si="41"/>
        <v/>
      </c>
      <c r="AF299" s="15" t="str">
        <f t="shared" si="42"/>
        <v/>
      </c>
      <c r="AG299" s="18">
        <f>IF(AND(S299=1,Z299="Y"),IF(Settings!$B$6="Percentage",IF(AD299=0,0,AC299*AA299*(N299/AD299)),IF(Settings!$B$6="Points",IF(AF299=0,0,AC299*(N299*AB299)/AF299),IF(Settings!$B$6="Equally",IF(AE299=0,0,AC299*N299/AE299),0))),0)</f>
        <v>0</v>
      </c>
      <c r="AH299" s="18" t="str">
        <f t="shared" si="43"/>
        <v/>
      </c>
      <c r="AI299" s="15">
        <f>IF(S299=1,IF(COUNTIFS($R$2:R299,R299,$S$2:S299,1)=1,1,0),0)</f>
        <v>0</v>
      </c>
      <c r="AJ299" s="15">
        <f>SUM($AI$2:AI299)</f>
        <v>12</v>
      </c>
    </row>
    <row r="300" spans="18:36">
      <c r="R300" s="15" t="str">
        <f t="shared" si="44"/>
        <v/>
      </c>
      <c r="S300" s="15">
        <f t="shared" si="36"/>
        <v>0</v>
      </c>
      <c r="T300" s="16" t="str">
        <f>IF(S300=1, DATE(YEAR(Settings!$B$3), MONTH(D300), DAY(D300)), "")</f>
        <v/>
      </c>
      <c r="U300" s="15" t="str">
        <f>IF(S300=1,IFERROR(INDEX(Settings!$B$12:$B$41,MATCH($B300,Settings!$A$12:$A$41,0)),"N"),"")</f>
        <v/>
      </c>
      <c r="V300" s="15" t="str">
        <f>IF(S300=1,IFERROR(INDEX(Settings!$C$12:$C$41,MATCH($B300,Settings!$A$12:$A$41,0)),""),"")</f>
        <v/>
      </c>
      <c r="W300" s="17">
        <f>IF(S300=1,IFERROR(INDEX(Settings!$D$12:$D$41,MATCH($B300,Settings!$A$12:$A$41,0)),0),0)</f>
        <v>0</v>
      </c>
      <c r="X300" s="18">
        <f t="shared" si="37"/>
        <v>0</v>
      </c>
      <c r="Y300" s="18" t="str">
        <f t="shared" si="38"/>
        <v/>
      </c>
      <c r="Z300" s="15" t="str">
        <f>IF(S300=1,IFERROR(INDEX(Settings!$E$12:$E$41,MATCH($B300,Settings!$A$12:$A$41,0)),"N"),"")</f>
        <v/>
      </c>
      <c r="AA300" s="17">
        <f>IF(S300=1,IFERROR(INDEX(Settings!$F$12:$F$41,MATCH($B300,Settings!$A$12:$A$41,0)),0),0)</f>
        <v>0</v>
      </c>
      <c r="AB300" s="15">
        <f>IF(S300=1,IFERROR(INDEX(Settings!$G$12:$G$41,MATCH($B300,Settings!$A$12:$A$41,0)),0),0)</f>
        <v>0</v>
      </c>
      <c r="AC300" s="18" t="str">
        <f t="shared" si="39"/>
        <v/>
      </c>
      <c r="AD300" s="15" t="str">
        <f t="shared" si="40"/>
        <v/>
      </c>
      <c r="AE300" s="15" t="str">
        <f t="shared" si="41"/>
        <v/>
      </c>
      <c r="AF300" s="15" t="str">
        <f t="shared" si="42"/>
        <v/>
      </c>
      <c r="AG300" s="18">
        <f>IF(AND(S300=1,Z300="Y"),IF(Settings!$B$6="Percentage",IF(AD300=0,0,AC300*AA300*(N300/AD300)),IF(Settings!$B$6="Points",IF(AF300=0,0,AC300*(N300*AB300)/AF300),IF(Settings!$B$6="Equally",IF(AE300=0,0,AC300*N300/AE300),0))),0)</f>
        <v>0</v>
      </c>
      <c r="AH300" s="18" t="str">
        <f t="shared" si="43"/>
        <v/>
      </c>
      <c r="AI300" s="15">
        <f>IF(S300=1,IF(COUNTIFS($R$2:R300,R300,$S$2:S300,1)=1,1,0),0)</f>
        <v>0</v>
      </c>
      <c r="AJ300" s="15">
        <f>SUM($AI$2:AI300)</f>
        <v>12</v>
      </c>
    </row>
    <row r="301" spans="18:36">
      <c r="R301" s="15" t="str">
        <f t="shared" si="44"/>
        <v/>
      </c>
      <c r="S301" s="15">
        <f t="shared" si="36"/>
        <v>0</v>
      </c>
      <c r="T301" s="16" t="str">
        <f>IF(S301=1, DATE(YEAR(Settings!$B$3), MONTH(D301), DAY(D301)), "")</f>
        <v/>
      </c>
      <c r="U301" s="15" t="str">
        <f>IF(S301=1,IFERROR(INDEX(Settings!$B$12:$B$41,MATCH($B301,Settings!$A$12:$A$41,0)),"N"),"")</f>
        <v/>
      </c>
      <c r="V301" s="15" t="str">
        <f>IF(S301=1,IFERROR(INDEX(Settings!$C$12:$C$41,MATCH($B301,Settings!$A$12:$A$41,0)),""),"")</f>
        <v/>
      </c>
      <c r="W301" s="17">
        <f>IF(S301=1,IFERROR(INDEX(Settings!$D$12:$D$41,MATCH($B301,Settings!$A$12:$A$41,0)),0),0)</f>
        <v>0</v>
      </c>
      <c r="X301" s="18">
        <f t="shared" si="37"/>
        <v>0</v>
      </c>
      <c r="Y301" s="18" t="str">
        <f t="shared" si="38"/>
        <v/>
      </c>
      <c r="Z301" s="15" t="str">
        <f>IF(S301=1,IFERROR(INDEX(Settings!$E$12:$E$41,MATCH($B301,Settings!$A$12:$A$41,0)),"N"),"")</f>
        <v/>
      </c>
      <c r="AA301" s="17">
        <f>IF(S301=1,IFERROR(INDEX(Settings!$F$12:$F$41,MATCH($B301,Settings!$A$12:$A$41,0)),0),0)</f>
        <v>0</v>
      </c>
      <c r="AB301" s="15">
        <f>IF(S301=1,IFERROR(INDEX(Settings!$G$12:$G$41,MATCH($B301,Settings!$A$12:$A$41,0)),0),0)</f>
        <v>0</v>
      </c>
      <c r="AC301" s="18" t="str">
        <f t="shared" si="39"/>
        <v/>
      </c>
      <c r="AD301" s="15" t="str">
        <f t="shared" si="40"/>
        <v/>
      </c>
      <c r="AE301" s="15" t="str">
        <f t="shared" si="41"/>
        <v/>
      </c>
      <c r="AF301" s="15" t="str">
        <f t="shared" si="42"/>
        <v/>
      </c>
      <c r="AG301" s="18">
        <f>IF(AND(S301=1,Z301="Y"),IF(Settings!$B$6="Percentage",IF(AD301=0,0,AC301*AA301*(N301/AD301)),IF(Settings!$B$6="Points",IF(AF301=0,0,AC301*(N301*AB301)/AF301),IF(Settings!$B$6="Equally",IF(AE301=0,0,AC301*N301/AE301),0))),0)</f>
        <v>0</v>
      </c>
      <c r="AH301" s="18" t="str">
        <f t="shared" si="43"/>
        <v/>
      </c>
      <c r="AI301" s="15">
        <f>IF(S301=1,IF(COUNTIFS($R$2:R301,R301,$S$2:S301,1)=1,1,0),0)</f>
        <v>0</v>
      </c>
      <c r="AJ301" s="15">
        <f>SUM($AI$2:AI301)</f>
        <v>12</v>
      </c>
    </row>
    <row r="302" spans="18:36">
      <c r="R302" s="15" t="str">
        <f t="shared" si="44"/>
        <v/>
      </c>
      <c r="S302" s="15">
        <f t="shared" si="36"/>
        <v>0</v>
      </c>
      <c r="T302" s="16" t="str">
        <f>IF(S302=1, DATE(YEAR(Settings!$B$3), MONTH(D302), DAY(D302)), "")</f>
        <v/>
      </c>
      <c r="U302" s="15" t="str">
        <f>IF(S302=1,IFERROR(INDEX(Settings!$B$12:$B$41,MATCH($B302,Settings!$A$12:$A$41,0)),"N"),"")</f>
        <v/>
      </c>
      <c r="V302" s="15" t="str">
        <f>IF(S302=1,IFERROR(INDEX(Settings!$C$12:$C$41,MATCH($B302,Settings!$A$12:$A$41,0)),""),"")</f>
        <v/>
      </c>
      <c r="W302" s="17">
        <f>IF(S302=1,IFERROR(INDEX(Settings!$D$12:$D$41,MATCH($B302,Settings!$A$12:$A$41,0)),0),0)</f>
        <v>0</v>
      </c>
      <c r="X302" s="18">
        <f t="shared" si="37"/>
        <v>0</v>
      </c>
      <c r="Y302" s="18" t="str">
        <f t="shared" si="38"/>
        <v/>
      </c>
      <c r="Z302" s="15" t="str">
        <f>IF(S302=1,IFERROR(INDEX(Settings!$E$12:$E$41,MATCH($B302,Settings!$A$12:$A$41,0)),"N"),"")</f>
        <v/>
      </c>
      <c r="AA302" s="17">
        <f>IF(S302=1,IFERROR(INDEX(Settings!$F$12:$F$41,MATCH($B302,Settings!$A$12:$A$41,0)),0),0)</f>
        <v>0</v>
      </c>
      <c r="AB302" s="15">
        <f>IF(S302=1,IFERROR(INDEX(Settings!$G$12:$G$41,MATCH($B302,Settings!$A$12:$A$41,0)),0),0)</f>
        <v>0</v>
      </c>
      <c r="AC302" s="18" t="str">
        <f t="shared" si="39"/>
        <v/>
      </c>
      <c r="AD302" s="15" t="str">
        <f t="shared" si="40"/>
        <v/>
      </c>
      <c r="AE302" s="15" t="str">
        <f t="shared" si="41"/>
        <v/>
      </c>
      <c r="AF302" s="15" t="str">
        <f t="shared" si="42"/>
        <v/>
      </c>
      <c r="AG302" s="18">
        <f>IF(AND(S302=1,Z302="Y"),IF(Settings!$B$6="Percentage",IF(AD302=0,0,AC302*AA302*(N302/AD302)),IF(Settings!$B$6="Points",IF(AF302=0,0,AC302*(N302*AB302)/AF302),IF(Settings!$B$6="Equally",IF(AE302=0,0,AC302*N302/AE302),0))),0)</f>
        <v>0</v>
      </c>
      <c r="AH302" s="18" t="str">
        <f t="shared" si="43"/>
        <v/>
      </c>
      <c r="AI302" s="15">
        <f>IF(S302=1,IF(COUNTIFS($R$2:R302,R302,$S$2:S302,1)=1,1,0),0)</f>
        <v>0</v>
      </c>
      <c r="AJ302" s="15">
        <f>SUM($AI$2:AI302)</f>
        <v>12</v>
      </c>
    </row>
    <row r="303" spans="18:36">
      <c r="R303" s="15" t="str">
        <f t="shared" si="44"/>
        <v/>
      </c>
      <c r="S303" s="15">
        <f t="shared" si="36"/>
        <v>0</v>
      </c>
      <c r="T303" s="16" t="str">
        <f>IF(S303=1, DATE(YEAR(Settings!$B$3), MONTH(D303), DAY(D303)), "")</f>
        <v/>
      </c>
      <c r="U303" s="15" t="str">
        <f>IF(S303=1,IFERROR(INDEX(Settings!$B$12:$B$41,MATCH($B303,Settings!$A$12:$A$41,0)),"N"),"")</f>
        <v/>
      </c>
      <c r="V303" s="15" t="str">
        <f>IF(S303=1,IFERROR(INDEX(Settings!$C$12:$C$41,MATCH($B303,Settings!$A$12:$A$41,0)),""),"")</f>
        <v/>
      </c>
      <c r="W303" s="17">
        <f>IF(S303=1,IFERROR(INDEX(Settings!$D$12:$D$41,MATCH($B303,Settings!$A$12:$A$41,0)),0),0)</f>
        <v>0</v>
      </c>
      <c r="X303" s="18">
        <f t="shared" si="37"/>
        <v>0</v>
      </c>
      <c r="Y303" s="18" t="str">
        <f t="shared" si="38"/>
        <v/>
      </c>
      <c r="Z303" s="15" t="str">
        <f>IF(S303=1,IFERROR(INDEX(Settings!$E$12:$E$41,MATCH($B303,Settings!$A$12:$A$41,0)),"N"),"")</f>
        <v/>
      </c>
      <c r="AA303" s="17">
        <f>IF(S303=1,IFERROR(INDEX(Settings!$F$12:$F$41,MATCH($B303,Settings!$A$12:$A$41,0)),0),0)</f>
        <v>0</v>
      </c>
      <c r="AB303" s="15">
        <f>IF(S303=1,IFERROR(INDEX(Settings!$G$12:$G$41,MATCH($B303,Settings!$A$12:$A$41,0)),0),0)</f>
        <v>0</v>
      </c>
      <c r="AC303" s="18" t="str">
        <f t="shared" si="39"/>
        <v/>
      </c>
      <c r="AD303" s="15" t="str">
        <f t="shared" si="40"/>
        <v/>
      </c>
      <c r="AE303" s="15" t="str">
        <f t="shared" si="41"/>
        <v/>
      </c>
      <c r="AF303" s="15" t="str">
        <f t="shared" si="42"/>
        <v/>
      </c>
      <c r="AG303" s="18">
        <f>IF(AND(S303=1,Z303="Y"),IF(Settings!$B$6="Percentage",IF(AD303=0,0,AC303*AA303*(N303/AD303)),IF(Settings!$B$6="Points",IF(AF303=0,0,AC303*(N303*AB303)/AF303),IF(Settings!$B$6="Equally",IF(AE303=0,0,AC303*N303/AE303),0))),0)</f>
        <v>0</v>
      </c>
      <c r="AH303" s="18" t="str">
        <f t="shared" si="43"/>
        <v/>
      </c>
      <c r="AI303" s="15">
        <f>IF(S303=1,IF(COUNTIFS($R$2:R303,R303,$S$2:S303,1)=1,1,0),0)</f>
        <v>0</v>
      </c>
      <c r="AJ303" s="15">
        <f>SUM($AI$2:AI303)</f>
        <v>12</v>
      </c>
    </row>
    <row r="304" spans="18:36">
      <c r="R304" s="15" t="str">
        <f t="shared" si="44"/>
        <v/>
      </c>
      <c r="S304" s="15">
        <f t="shared" si="36"/>
        <v>0</v>
      </c>
      <c r="T304" s="16" t="str">
        <f>IF(S304=1, DATE(YEAR(Settings!$B$3), MONTH(D304), DAY(D304)), "")</f>
        <v/>
      </c>
      <c r="U304" s="15" t="str">
        <f>IF(S304=1,IFERROR(INDEX(Settings!$B$12:$B$41,MATCH($B304,Settings!$A$12:$A$41,0)),"N"),"")</f>
        <v/>
      </c>
      <c r="V304" s="15" t="str">
        <f>IF(S304=1,IFERROR(INDEX(Settings!$C$12:$C$41,MATCH($B304,Settings!$A$12:$A$41,0)),""),"")</f>
        <v/>
      </c>
      <c r="W304" s="17">
        <f>IF(S304=1,IFERROR(INDEX(Settings!$D$12:$D$41,MATCH($B304,Settings!$A$12:$A$41,0)),0),0)</f>
        <v>0</v>
      </c>
      <c r="X304" s="18">
        <f t="shared" si="37"/>
        <v>0</v>
      </c>
      <c r="Y304" s="18" t="str">
        <f t="shared" si="38"/>
        <v/>
      </c>
      <c r="Z304" s="15" t="str">
        <f>IF(S304=1,IFERROR(INDEX(Settings!$E$12:$E$41,MATCH($B304,Settings!$A$12:$A$41,0)),"N"),"")</f>
        <v/>
      </c>
      <c r="AA304" s="17">
        <f>IF(S304=1,IFERROR(INDEX(Settings!$F$12:$F$41,MATCH($B304,Settings!$A$12:$A$41,0)),0),0)</f>
        <v>0</v>
      </c>
      <c r="AB304" s="15">
        <f>IF(S304=1,IFERROR(INDEX(Settings!$G$12:$G$41,MATCH($B304,Settings!$A$12:$A$41,0)),0),0)</f>
        <v>0</v>
      </c>
      <c r="AC304" s="18" t="str">
        <f t="shared" si="39"/>
        <v/>
      </c>
      <c r="AD304" s="15" t="str">
        <f t="shared" si="40"/>
        <v/>
      </c>
      <c r="AE304" s="15" t="str">
        <f t="shared" si="41"/>
        <v/>
      </c>
      <c r="AF304" s="15" t="str">
        <f t="shared" si="42"/>
        <v/>
      </c>
      <c r="AG304" s="18">
        <f>IF(AND(S304=1,Z304="Y"),IF(Settings!$B$6="Percentage",IF(AD304=0,0,AC304*AA304*(N304/AD304)),IF(Settings!$B$6="Points",IF(AF304=0,0,AC304*(N304*AB304)/AF304),IF(Settings!$B$6="Equally",IF(AE304=0,0,AC304*N304/AE304),0))),0)</f>
        <v>0</v>
      </c>
      <c r="AH304" s="18" t="str">
        <f t="shared" si="43"/>
        <v/>
      </c>
      <c r="AI304" s="15">
        <f>IF(S304=1,IF(COUNTIFS($R$2:R304,R304,$S$2:S304,1)=1,1,0),0)</f>
        <v>0</v>
      </c>
      <c r="AJ304" s="15">
        <f>SUM($AI$2:AI304)</f>
        <v>12</v>
      </c>
    </row>
    <row r="305" spans="18:36">
      <c r="R305" s="15" t="str">
        <f t="shared" si="44"/>
        <v/>
      </c>
      <c r="S305" s="15">
        <f t="shared" si="36"/>
        <v>0</v>
      </c>
      <c r="T305" s="16" t="str">
        <f>IF(S305=1, DATE(YEAR(Settings!$B$3), MONTH(D305), DAY(D305)), "")</f>
        <v/>
      </c>
      <c r="U305" s="15" t="str">
        <f>IF(S305=1,IFERROR(INDEX(Settings!$B$12:$B$41,MATCH($B305,Settings!$A$12:$A$41,0)),"N"),"")</f>
        <v/>
      </c>
      <c r="V305" s="15" t="str">
        <f>IF(S305=1,IFERROR(INDEX(Settings!$C$12:$C$41,MATCH($B305,Settings!$A$12:$A$41,0)),""),"")</f>
        <v/>
      </c>
      <c r="W305" s="17">
        <f>IF(S305=1,IFERROR(INDEX(Settings!$D$12:$D$41,MATCH($B305,Settings!$A$12:$A$41,0)),0),0)</f>
        <v>0</v>
      </c>
      <c r="X305" s="18">
        <f t="shared" si="37"/>
        <v>0</v>
      </c>
      <c r="Y305" s="18" t="str">
        <f t="shared" si="38"/>
        <v/>
      </c>
      <c r="Z305" s="15" t="str">
        <f>IF(S305=1,IFERROR(INDEX(Settings!$E$12:$E$41,MATCH($B305,Settings!$A$12:$A$41,0)),"N"),"")</f>
        <v/>
      </c>
      <c r="AA305" s="17">
        <f>IF(S305=1,IFERROR(INDEX(Settings!$F$12:$F$41,MATCH($B305,Settings!$A$12:$A$41,0)),0),0)</f>
        <v>0</v>
      </c>
      <c r="AB305" s="15">
        <f>IF(S305=1,IFERROR(INDEX(Settings!$G$12:$G$41,MATCH($B305,Settings!$A$12:$A$41,0)),0),0)</f>
        <v>0</v>
      </c>
      <c r="AC305" s="18" t="str">
        <f t="shared" si="39"/>
        <v/>
      </c>
      <c r="AD305" s="15" t="str">
        <f t="shared" si="40"/>
        <v/>
      </c>
      <c r="AE305" s="15" t="str">
        <f t="shared" si="41"/>
        <v/>
      </c>
      <c r="AF305" s="15" t="str">
        <f t="shared" si="42"/>
        <v/>
      </c>
      <c r="AG305" s="18">
        <f>IF(AND(S305=1,Z305="Y"),IF(Settings!$B$6="Percentage",IF(AD305=0,0,AC305*AA305*(N305/AD305)),IF(Settings!$B$6="Points",IF(AF305=0,0,AC305*(N305*AB305)/AF305),IF(Settings!$B$6="Equally",IF(AE305=0,0,AC305*N305/AE305),0))),0)</f>
        <v>0</v>
      </c>
      <c r="AH305" s="18" t="str">
        <f t="shared" si="43"/>
        <v/>
      </c>
      <c r="AI305" s="15">
        <f>IF(S305=1,IF(COUNTIFS($R$2:R305,R305,$S$2:S305,1)=1,1,0),0)</f>
        <v>0</v>
      </c>
      <c r="AJ305" s="15">
        <f>SUM($AI$2:AI305)</f>
        <v>12</v>
      </c>
    </row>
    <row r="306" spans="18:36">
      <c r="R306" s="15" t="str">
        <f t="shared" si="44"/>
        <v/>
      </c>
      <c r="S306" s="15">
        <f t="shared" si="36"/>
        <v>0</v>
      </c>
      <c r="T306" s="16" t="str">
        <f>IF(S306=1, DATE(YEAR(Settings!$B$3), MONTH(D306), DAY(D306)), "")</f>
        <v/>
      </c>
      <c r="U306" s="15" t="str">
        <f>IF(S306=1,IFERROR(INDEX(Settings!$B$12:$B$41,MATCH($B306,Settings!$A$12:$A$41,0)),"N"),"")</f>
        <v/>
      </c>
      <c r="V306" s="15" t="str">
        <f>IF(S306=1,IFERROR(INDEX(Settings!$C$12:$C$41,MATCH($B306,Settings!$A$12:$A$41,0)),""),"")</f>
        <v/>
      </c>
      <c r="W306" s="17">
        <f>IF(S306=1,IFERROR(INDEX(Settings!$D$12:$D$41,MATCH($B306,Settings!$A$12:$A$41,0)),0),0)</f>
        <v>0</v>
      </c>
      <c r="X306" s="18">
        <f t="shared" si="37"/>
        <v>0</v>
      </c>
      <c r="Y306" s="18" t="str">
        <f t="shared" si="38"/>
        <v/>
      </c>
      <c r="Z306" s="15" t="str">
        <f>IF(S306=1,IFERROR(INDEX(Settings!$E$12:$E$41,MATCH($B306,Settings!$A$12:$A$41,0)),"N"),"")</f>
        <v/>
      </c>
      <c r="AA306" s="17">
        <f>IF(S306=1,IFERROR(INDEX(Settings!$F$12:$F$41,MATCH($B306,Settings!$A$12:$A$41,0)),0),0)</f>
        <v>0</v>
      </c>
      <c r="AB306" s="15">
        <f>IF(S306=1,IFERROR(INDEX(Settings!$G$12:$G$41,MATCH($B306,Settings!$A$12:$A$41,0)),0),0)</f>
        <v>0</v>
      </c>
      <c r="AC306" s="18" t="str">
        <f t="shared" si="39"/>
        <v/>
      </c>
      <c r="AD306" s="15" t="str">
        <f t="shared" si="40"/>
        <v/>
      </c>
      <c r="AE306" s="15" t="str">
        <f t="shared" si="41"/>
        <v/>
      </c>
      <c r="AF306" s="15" t="str">
        <f t="shared" si="42"/>
        <v/>
      </c>
      <c r="AG306" s="18">
        <f>IF(AND(S306=1,Z306="Y"),IF(Settings!$B$6="Percentage",IF(AD306=0,0,AC306*AA306*(N306/AD306)),IF(Settings!$B$6="Points",IF(AF306=0,0,AC306*(N306*AB306)/AF306),IF(Settings!$B$6="Equally",IF(AE306=0,0,AC306*N306/AE306),0))),0)</f>
        <v>0</v>
      </c>
      <c r="AH306" s="18" t="str">
        <f t="shared" si="43"/>
        <v/>
      </c>
      <c r="AI306" s="15">
        <f>IF(S306=1,IF(COUNTIFS($R$2:R306,R306,$S$2:S306,1)=1,1,0),0)</f>
        <v>0</v>
      </c>
      <c r="AJ306" s="15">
        <f>SUM($AI$2:AI306)</f>
        <v>12</v>
      </c>
    </row>
    <row r="307" spans="18:36">
      <c r="R307" s="15" t="str">
        <f t="shared" si="44"/>
        <v/>
      </c>
      <c r="S307" s="15">
        <f t="shared" si="36"/>
        <v>0</v>
      </c>
      <c r="T307" s="16" t="str">
        <f>IF(S307=1, DATE(YEAR(Settings!$B$3), MONTH(D307), DAY(D307)), "")</f>
        <v/>
      </c>
      <c r="U307" s="15" t="str">
        <f>IF(S307=1,IFERROR(INDEX(Settings!$B$12:$B$41,MATCH($B307,Settings!$A$12:$A$41,0)),"N"),"")</f>
        <v/>
      </c>
      <c r="V307" s="15" t="str">
        <f>IF(S307=1,IFERROR(INDEX(Settings!$C$12:$C$41,MATCH($B307,Settings!$A$12:$A$41,0)),""),"")</f>
        <v/>
      </c>
      <c r="W307" s="17">
        <f>IF(S307=1,IFERROR(INDEX(Settings!$D$12:$D$41,MATCH($B307,Settings!$A$12:$A$41,0)),0),0)</f>
        <v>0</v>
      </c>
      <c r="X307" s="18">
        <f t="shared" si="37"/>
        <v>0</v>
      </c>
      <c r="Y307" s="18" t="str">
        <f t="shared" si="38"/>
        <v/>
      </c>
      <c r="Z307" s="15" t="str">
        <f>IF(S307=1,IFERROR(INDEX(Settings!$E$12:$E$41,MATCH($B307,Settings!$A$12:$A$41,0)),"N"),"")</f>
        <v/>
      </c>
      <c r="AA307" s="17">
        <f>IF(S307=1,IFERROR(INDEX(Settings!$F$12:$F$41,MATCH($B307,Settings!$A$12:$A$41,0)),0),0)</f>
        <v>0</v>
      </c>
      <c r="AB307" s="15">
        <f>IF(S307=1,IFERROR(INDEX(Settings!$G$12:$G$41,MATCH($B307,Settings!$A$12:$A$41,0)),0),0)</f>
        <v>0</v>
      </c>
      <c r="AC307" s="18" t="str">
        <f t="shared" si="39"/>
        <v/>
      </c>
      <c r="AD307" s="15" t="str">
        <f t="shared" si="40"/>
        <v/>
      </c>
      <c r="AE307" s="15" t="str">
        <f t="shared" si="41"/>
        <v/>
      </c>
      <c r="AF307" s="15" t="str">
        <f t="shared" si="42"/>
        <v/>
      </c>
      <c r="AG307" s="18">
        <f>IF(AND(S307=1,Z307="Y"),IF(Settings!$B$6="Percentage",IF(AD307=0,0,AC307*AA307*(N307/AD307)),IF(Settings!$B$6="Points",IF(AF307=0,0,AC307*(N307*AB307)/AF307),IF(Settings!$B$6="Equally",IF(AE307=0,0,AC307*N307/AE307),0))),0)</f>
        <v>0</v>
      </c>
      <c r="AH307" s="18" t="str">
        <f t="shared" si="43"/>
        <v/>
      </c>
      <c r="AI307" s="15">
        <f>IF(S307=1,IF(COUNTIFS($R$2:R307,R307,$S$2:S307,1)=1,1,0),0)</f>
        <v>0</v>
      </c>
      <c r="AJ307" s="15">
        <f>SUM($AI$2:AI307)</f>
        <v>12</v>
      </c>
    </row>
    <row r="308" spans="18:36">
      <c r="R308" s="15" t="str">
        <f t="shared" si="44"/>
        <v/>
      </c>
      <c r="S308" s="15">
        <f t="shared" si="36"/>
        <v>0</v>
      </c>
      <c r="T308" s="16" t="str">
        <f>IF(S308=1, DATE(YEAR(Settings!$B$3), MONTH(D308), DAY(D308)), "")</f>
        <v/>
      </c>
      <c r="U308" s="15" t="str">
        <f>IF(S308=1,IFERROR(INDEX(Settings!$B$12:$B$41,MATCH($B308,Settings!$A$12:$A$41,0)),"N"),"")</f>
        <v/>
      </c>
      <c r="V308" s="15" t="str">
        <f>IF(S308=1,IFERROR(INDEX(Settings!$C$12:$C$41,MATCH($B308,Settings!$A$12:$A$41,0)),""),"")</f>
        <v/>
      </c>
      <c r="W308" s="17">
        <f>IF(S308=1,IFERROR(INDEX(Settings!$D$12:$D$41,MATCH($B308,Settings!$A$12:$A$41,0)),0),0)</f>
        <v>0</v>
      </c>
      <c r="X308" s="18">
        <f t="shared" si="37"/>
        <v>0</v>
      </c>
      <c r="Y308" s="18" t="str">
        <f t="shared" si="38"/>
        <v/>
      </c>
      <c r="Z308" s="15" t="str">
        <f>IF(S308=1,IFERROR(INDEX(Settings!$E$12:$E$41,MATCH($B308,Settings!$A$12:$A$41,0)),"N"),"")</f>
        <v/>
      </c>
      <c r="AA308" s="17">
        <f>IF(S308=1,IFERROR(INDEX(Settings!$F$12:$F$41,MATCH($B308,Settings!$A$12:$A$41,0)),0),0)</f>
        <v>0</v>
      </c>
      <c r="AB308" s="15">
        <f>IF(S308=1,IFERROR(INDEX(Settings!$G$12:$G$41,MATCH($B308,Settings!$A$12:$A$41,0)),0),0)</f>
        <v>0</v>
      </c>
      <c r="AC308" s="18" t="str">
        <f t="shared" si="39"/>
        <v/>
      </c>
      <c r="AD308" s="15" t="str">
        <f t="shared" si="40"/>
        <v/>
      </c>
      <c r="AE308" s="15" t="str">
        <f t="shared" si="41"/>
        <v/>
      </c>
      <c r="AF308" s="15" t="str">
        <f t="shared" si="42"/>
        <v/>
      </c>
      <c r="AG308" s="18">
        <f>IF(AND(S308=1,Z308="Y"),IF(Settings!$B$6="Percentage",IF(AD308=0,0,AC308*AA308*(N308/AD308)),IF(Settings!$B$6="Points",IF(AF308=0,0,AC308*(N308*AB308)/AF308),IF(Settings!$B$6="Equally",IF(AE308=0,0,AC308*N308/AE308),0))),0)</f>
        <v>0</v>
      </c>
      <c r="AH308" s="18" t="str">
        <f t="shared" si="43"/>
        <v/>
      </c>
      <c r="AI308" s="15">
        <f>IF(S308=1,IF(COUNTIFS($R$2:R308,R308,$S$2:S308,1)=1,1,0),0)</f>
        <v>0</v>
      </c>
      <c r="AJ308" s="15">
        <f>SUM($AI$2:AI308)</f>
        <v>12</v>
      </c>
    </row>
    <row r="309" spans="18:36">
      <c r="R309" s="15" t="str">
        <f t="shared" si="44"/>
        <v/>
      </c>
      <c r="S309" s="15">
        <f t="shared" si="36"/>
        <v>0</v>
      </c>
      <c r="T309" s="16" t="str">
        <f>IF(S309=1, DATE(YEAR(Settings!$B$3), MONTH(D309), DAY(D309)), "")</f>
        <v/>
      </c>
      <c r="U309" s="15" t="str">
        <f>IF(S309=1,IFERROR(INDEX(Settings!$B$12:$B$41,MATCH($B309,Settings!$A$12:$A$41,0)),"N"),"")</f>
        <v/>
      </c>
      <c r="V309" s="15" t="str">
        <f>IF(S309=1,IFERROR(INDEX(Settings!$C$12:$C$41,MATCH($B309,Settings!$A$12:$A$41,0)),""),"")</f>
        <v/>
      </c>
      <c r="W309" s="17">
        <f>IF(S309=1,IFERROR(INDEX(Settings!$D$12:$D$41,MATCH($B309,Settings!$A$12:$A$41,0)),0),0)</f>
        <v>0</v>
      </c>
      <c r="X309" s="18">
        <f t="shared" si="37"/>
        <v>0</v>
      </c>
      <c r="Y309" s="18" t="str">
        <f t="shared" si="38"/>
        <v/>
      </c>
      <c r="Z309" s="15" t="str">
        <f>IF(S309=1,IFERROR(INDEX(Settings!$E$12:$E$41,MATCH($B309,Settings!$A$12:$A$41,0)),"N"),"")</f>
        <v/>
      </c>
      <c r="AA309" s="17">
        <f>IF(S309=1,IFERROR(INDEX(Settings!$F$12:$F$41,MATCH($B309,Settings!$A$12:$A$41,0)),0),0)</f>
        <v>0</v>
      </c>
      <c r="AB309" s="15">
        <f>IF(S309=1,IFERROR(INDEX(Settings!$G$12:$G$41,MATCH($B309,Settings!$A$12:$A$41,0)),0),0)</f>
        <v>0</v>
      </c>
      <c r="AC309" s="18" t="str">
        <f t="shared" si="39"/>
        <v/>
      </c>
      <c r="AD309" s="15" t="str">
        <f t="shared" si="40"/>
        <v/>
      </c>
      <c r="AE309" s="15" t="str">
        <f t="shared" si="41"/>
        <v/>
      </c>
      <c r="AF309" s="15" t="str">
        <f t="shared" si="42"/>
        <v/>
      </c>
      <c r="AG309" s="18">
        <f>IF(AND(S309=1,Z309="Y"),IF(Settings!$B$6="Percentage",IF(AD309=0,0,AC309*AA309*(N309/AD309)),IF(Settings!$B$6="Points",IF(AF309=0,0,AC309*(N309*AB309)/AF309),IF(Settings!$B$6="Equally",IF(AE309=0,0,AC309*N309/AE309),0))),0)</f>
        <v>0</v>
      </c>
      <c r="AH309" s="18" t="str">
        <f t="shared" si="43"/>
        <v/>
      </c>
      <c r="AI309" s="15">
        <f>IF(S309=1,IF(COUNTIFS($R$2:R309,R309,$S$2:S309,1)=1,1,0),0)</f>
        <v>0</v>
      </c>
      <c r="AJ309" s="15">
        <f>SUM($AI$2:AI309)</f>
        <v>12</v>
      </c>
    </row>
    <row r="310" spans="18:36">
      <c r="R310" s="15" t="str">
        <f t="shared" si="44"/>
        <v/>
      </c>
      <c r="S310" s="15">
        <f t="shared" si="36"/>
        <v>0</v>
      </c>
      <c r="T310" s="16" t="str">
        <f>IF(S310=1, DATE(YEAR(Settings!$B$3), MONTH(D310), DAY(D310)), "")</f>
        <v/>
      </c>
      <c r="U310" s="15" t="str">
        <f>IF(S310=1,IFERROR(INDEX(Settings!$B$12:$B$41,MATCH($B310,Settings!$A$12:$A$41,0)),"N"),"")</f>
        <v/>
      </c>
      <c r="V310" s="15" t="str">
        <f>IF(S310=1,IFERROR(INDEX(Settings!$C$12:$C$41,MATCH($B310,Settings!$A$12:$A$41,0)),""),"")</f>
        <v/>
      </c>
      <c r="W310" s="17">
        <f>IF(S310=1,IFERROR(INDEX(Settings!$D$12:$D$41,MATCH($B310,Settings!$A$12:$A$41,0)),0),0)</f>
        <v>0</v>
      </c>
      <c r="X310" s="18">
        <f t="shared" si="37"/>
        <v>0</v>
      </c>
      <c r="Y310" s="18" t="str">
        <f t="shared" si="38"/>
        <v/>
      </c>
      <c r="Z310" s="15" t="str">
        <f>IF(S310=1,IFERROR(INDEX(Settings!$E$12:$E$41,MATCH($B310,Settings!$A$12:$A$41,0)),"N"),"")</f>
        <v/>
      </c>
      <c r="AA310" s="17">
        <f>IF(S310=1,IFERROR(INDEX(Settings!$F$12:$F$41,MATCH($B310,Settings!$A$12:$A$41,0)),0),0)</f>
        <v>0</v>
      </c>
      <c r="AB310" s="15">
        <f>IF(S310=1,IFERROR(INDEX(Settings!$G$12:$G$41,MATCH($B310,Settings!$A$12:$A$41,0)),0),0)</f>
        <v>0</v>
      </c>
      <c r="AC310" s="18" t="str">
        <f t="shared" si="39"/>
        <v/>
      </c>
      <c r="AD310" s="15" t="str">
        <f t="shared" si="40"/>
        <v/>
      </c>
      <c r="AE310" s="15" t="str">
        <f t="shared" si="41"/>
        <v/>
      </c>
      <c r="AF310" s="15" t="str">
        <f t="shared" si="42"/>
        <v/>
      </c>
      <c r="AG310" s="18">
        <f>IF(AND(S310=1,Z310="Y"),IF(Settings!$B$6="Percentage",IF(AD310=0,0,AC310*AA310*(N310/AD310)),IF(Settings!$B$6="Points",IF(AF310=0,0,AC310*(N310*AB310)/AF310),IF(Settings!$B$6="Equally",IF(AE310=0,0,AC310*N310/AE310),0))),0)</f>
        <v>0</v>
      </c>
      <c r="AH310" s="18" t="str">
        <f t="shared" si="43"/>
        <v/>
      </c>
      <c r="AI310" s="15">
        <f>IF(S310=1,IF(COUNTIFS($R$2:R310,R310,$S$2:S310,1)=1,1,0),0)</f>
        <v>0</v>
      </c>
      <c r="AJ310" s="15">
        <f>SUM($AI$2:AI310)</f>
        <v>12</v>
      </c>
    </row>
    <row r="311" spans="18:36">
      <c r="R311" s="15" t="str">
        <f t="shared" si="44"/>
        <v/>
      </c>
      <c r="S311" s="15">
        <f t="shared" si="36"/>
        <v>0</v>
      </c>
      <c r="T311" s="16" t="str">
        <f>IF(S311=1, DATE(YEAR(Settings!$B$3), MONTH(D311), DAY(D311)), "")</f>
        <v/>
      </c>
      <c r="U311" s="15" t="str">
        <f>IF(S311=1,IFERROR(INDEX(Settings!$B$12:$B$41,MATCH($B311,Settings!$A$12:$A$41,0)),"N"),"")</f>
        <v/>
      </c>
      <c r="V311" s="15" t="str">
        <f>IF(S311=1,IFERROR(INDEX(Settings!$C$12:$C$41,MATCH($B311,Settings!$A$12:$A$41,0)),""),"")</f>
        <v/>
      </c>
      <c r="W311" s="17">
        <f>IF(S311=1,IFERROR(INDEX(Settings!$D$12:$D$41,MATCH($B311,Settings!$A$12:$A$41,0)),0),0)</f>
        <v>0</v>
      </c>
      <c r="X311" s="18">
        <f t="shared" si="37"/>
        <v>0</v>
      </c>
      <c r="Y311" s="18" t="str">
        <f t="shared" si="38"/>
        <v/>
      </c>
      <c r="Z311" s="15" t="str">
        <f>IF(S311=1,IFERROR(INDEX(Settings!$E$12:$E$41,MATCH($B311,Settings!$A$12:$A$41,0)),"N"),"")</f>
        <v/>
      </c>
      <c r="AA311" s="17">
        <f>IF(S311=1,IFERROR(INDEX(Settings!$F$12:$F$41,MATCH($B311,Settings!$A$12:$A$41,0)),0),0)</f>
        <v>0</v>
      </c>
      <c r="AB311" s="15">
        <f>IF(S311=1,IFERROR(INDEX(Settings!$G$12:$G$41,MATCH($B311,Settings!$A$12:$A$41,0)),0),0)</f>
        <v>0</v>
      </c>
      <c r="AC311" s="18" t="str">
        <f t="shared" si="39"/>
        <v/>
      </c>
      <c r="AD311" s="15" t="str">
        <f t="shared" si="40"/>
        <v/>
      </c>
      <c r="AE311" s="15" t="str">
        <f t="shared" si="41"/>
        <v/>
      </c>
      <c r="AF311" s="15" t="str">
        <f t="shared" si="42"/>
        <v/>
      </c>
      <c r="AG311" s="18">
        <f>IF(AND(S311=1,Z311="Y"),IF(Settings!$B$6="Percentage",IF(AD311=0,0,AC311*AA311*(N311/AD311)),IF(Settings!$B$6="Points",IF(AF311=0,0,AC311*(N311*AB311)/AF311),IF(Settings!$B$6="Equally",IF(AE311=0,0,AC311*N311/AE311),0))),0)</f>
        <v>0</v>
      </c>
      <c r="AH311" s="18" t="str">
        <f t="shared" si="43"/>
        <v/>
      </c>
      <c r="AI311" s="15">
        <f>IF(S311=1,IF(COUNTIFS($R$2:R311,R311,$S$2:S311,1)=1,1,0),0)</f>
        <v>0</v>
      </c>
      <c r="AJ311" s="15">
        <f>SUM($AI$2:AI311)</f>
        <v>12</v>
      </c>
    </row>
    <row r="312" spans="18:36">
      <c r="R312" s="15" t="str">
        <f t="shared" si="44"/>
        <v/>
      </c>
      <c r="S312" s="15">
        <f t="shared" si="36"/>
        <v>0</v>
      </c>
      <c r="T312" s="16" t="str">
        <f>IF(S312=1, DATE(YEAR(Settings!$B$3), MONTH(D312), DAY(D312)), "")</f>
        <v/>
      </c>
      <c r="U312" s="15" t="str">
        <f>IF(S312=1,IFERROR(INDEX(Settings!$B$12:$B$41,MATCH($B312,Settings!$A$12:$A$41,0)),"N"),"")</f>
        <v/>
      </c>
      <c r="V312" s="15" t="str">
        <f>IF(S312=1,IFERROR(INDEX(Settings!$C$12:$C$41,MATCH($B312,Settings!$A$12:$A$41,0)),""),"")</f>
        <v/>
      </c>
      <c r="W312" s="17">
        <f>IF(S312=1,IFERROR(INDEX(Settings!$D$12:$D$41,MATCH($B312,Settings!$A$12:$A$41,0)),0),0)</f>
        <v>0</v>
      </c>
      <c r="X312" s="18">
        <f t="shared" si="37"/>
        <v>0</v>
      </c>
      <c r="Y312" s="18" t="str">
        <f t="shared" si="38"/>
        <v/>
      </c>
      <c r="Z312" s="15" t="str">
        <f>IF(S312=1,IFERROR(INDEX(Settings!$E$12:$E$41,MATCH($B312,Settings!$A$12:$A$41,0)),"N"),"")</f>
        <v/>
      </c>
      <c r="AA312" s="17">
        <f>IF(S312=1,IFERROR(INDEX(Settings!$F$12:$F$41,MATCH($B312,Settings!$A$12:$A$41,0)),0),0)</f>
        <v>0</v>
      </c>
      <c r="AB312" s="15">
        <f>IF(S312=1,IFERROR(INDEX(Settings!$G$12:$G$41,MATCH($B312,Settings!$A$12:$A$41,0)),0),0)</f>
        <v>0</v>
      </c>
      <c r="AC312" s="18" t="str">
        <f t="shared" si="39"/>
        <v/>
      </c>
      <c r="AD312" s="15" t="str">
        <f t="shared" si="40"/>
        <v/>
      </c>
      <c r="AE312" s="15" t="str">
        <f t="shared" si="41"/>
        <v/>
      </c>
      <c r="AF312" s="15" t="str">
        <f t="shared" si="42"/>
        <v/>
      </c>
      <c r="AG312" s="18">
        <f>IF(AND(S312=1,Z312="Y"),IF(Settings!$B$6="Percentage",IF(AD312=0,0,AC312*AA312*(N312/AD312)),IF(Settings!$B$6="Points",IF(AF312=0,0,AC312*(N312*AB312)/AF312),IF(Settings!$B$6="Equally",IF(AE312=0,0,AC312*N312/AE312),0))),0)</f>
        <v>0</v>
      </c>
      <c r="AH312" s="18" t="str">
        <f t="shared" si="43"/>
        <v/>
      </c>
      <c r="AI312" s="15">
        <f>IF(S312=1,IF(COUNTIFS($R$2:R312,R312,$S$2:S312,1)=1,1,0),0)</f>
        <v>0</v>
      </c>
      <c r="AJ312" s="15">
        <f>SUM($AI$2:AI312)</f>
        <v>12</v>
      </c>
    </row>
    <row r="313" spans="18:36">
      <c r="R313" s="15" t="str">
        <f t="shared" si="44"/>
        <v/>
      </c>
      <c r="S313" s="15">
        <f t="shared" si="36"/>
        <v>0</v>
      </c>
      <c r="T313" s="16" t="str">
        <f>IF(S313=1, DATE(YEAR(Settings!$B$3), MONTH(D313), DAY(D313)), "")</f>
        <v/>
      </c>
      <c r="U313" s="15" t="str">
        <f>IF(S313=1,IFERROR(INDEX(Settings!$B$12:$B$41,MATCH($B313,Settings!$A$12:$A$41,0)),"N"),"")</f>
        <v/>
      </c>
      <c r="V313" s="15" t="str">
        <f>IF(S313=1,IFERROR(INDEX(Settings!$C$12:$C$41,MATCH($B313,Settings!$A$12:$A$41,0)),""),"")</f>
        <v/>
      </c>
      <c r="W313" s="17">
        <f>IF(S313=1,IFERROR(INDEX(Settings!$D$12:$D$41,MATCH($B313,Settings!$A$12:$A$41,0)),0),0)</f>
        <v>0</v>
      </c>
      <c r="X313" s="18">
        <f t="shared" si="37"/>
        <v>0</v>
      </c>
      <c r="Y313" s="18" t="str">
        <f t="shared" si="38"/>
        <v/>
      </c>
      <c r="Z313" s="15" t="str">
        <f>IF(S313=1,IFERROR(INDEX(Settings!$E$12:$E$41,MATCH($B313,Settings!$A$12:$A$41,0)),"N"),"")</f>
        <v/>
      </c>
      <c r="AA313" s="17">
        <f>IF(S313=1,IFERROR(INDEX(Settings!$F$12:$F$41,MATCH($B313,Settings!$A$12:$A$41,0)),0),0)</f>
        <v>0</v>
      </c>
      <c r="AB313" s="15">
        <f>IF(S313=1,IFERROR(INDEX(Settings!$G$12:$G$41,MATCH($B313,Settings!$A$12:$A$41,0)),0),0)</f>
        <v>0</v>
      </c>
      <c r="AC313" s="18" t="str">
        <f t="shared" si="39"/>
        <v/>
      </c>
      <c r="AD313" s="15" t="str">
        <f t="shared" si="40"/>
        <v/>
      </c>
      <c r="AE313" s="15" t="str">
        <f t="shared" si="41"/>
        <v/>
      </c>
      <c r="AF313" s="15" t="str">
        <f t="shared" si="42"/>
        <v/>
      </c>
      <c r="AG313" s="18">
        <f>IF(AND(S313=1,Z313="Y"),IF(Settings!$B$6="Percentage",IF(AD313=0,0,AC313*AA313*(N313/AD313)),IF(Settings!$B$6="Points",IF(AF313=0,0,AC313*(N313*AB313)/AF313),IF(Settings!$B$6="Equally",IF(AE313=0,0,AC313*N313/AE313),0))),0)</f>
        <v>0</v>
      </c>
      <c r="AH313" s="18" t="str">
        <f t="shared" si="43"/>
        <v/>
      </c>
      <c r="AI313" s="15">
        <f>IF(S313=1,IF(COUNTIFS($R$2:R313,R313,$S$2:S313,1)=1,1,0),0)</f>
        <v>0</v>
      </c>
      <c r="AJ313" s="15">
        <f>SUM($AI$2:AI313)</f>
        <v>12</v>
      </c>
    </row>
    <row r="314" spans="18:36">
      <c r="R314" s="15" t="str">
        <f t="shared" si="44"/>
        <v/>
      </c>
      <c r="S314" s="15">
        <f t="shared" si="36"/>
        <v>0</v>
      </c>
      <c r="T314" s="16" t="str">
        <f>IF(S314=1, DATE(YEAR(Settings!$B$3), MONTH(D314), DAY(D314)), "")</f>
        <v/>
      </c>
      <c r="U314" s="15" t="str">
        <f>IF(S314=1,IFERROR(INDEX(Settings!$B$12:$B$41,MATCH($B314,Settings!$A$12:$A$41,0)),"N"),"")</f>
        <v/>
      </c>
      <c r="V314" s="15" t="str">
        <f>IF(S314=1,IFERROR(INDEX(Settings!$C$12:$C$41,MATCH($B314,Settings!$A$12:$A$41,0)),""),"")</f>
        <v/>
      </c>
      <c r="W314" s="17">
        <f>IF(S314=1,IFERROR(INDEX(Settings!$D$12:$D$41,MATCH($B314,Settings!$A$12:$A$41,0)),0),0)</f>
        <v>0</v>
      </c>
      <c r="X314" s="18">
        <f t="shared" si="37"/>
        <v>0</v>
      </c>
      <c r="Y314" s="18" t="str">
        <f t="shared" si="38"/>
        <v/>
      </c>
      <c r="Z314" s="15" t="str">
        <f>IF(S314=1,IFERROR(INDEX(Settings!$E$12:$E$41,MATCH($B314,Settings!$A$12:$A$41,0)),"N"),"")</f>
        <v/>
      </c>
      <c r="AA314" s="17">
        <f>IF(S314=1,IFERROR(INDEX(Settings!$F$12:$F$41,MATCH($B314,Settings!$A$12:$A$41,0)),0),0)</f>
        <v>0</v>
      </c>
      <c r="AB314" s="15">
        <f>IF(S314=1,IFERROR(INDEX(Settings!$G$12:$G$41,MATCH($B314,Settings!$A$12:$A$41,0)),0),0)</f>
        <v>0</v>
      </c>
      <c r="AC314" s="18" t="str">
        <f t="shared" si="39"/>
        <v/>
      </c>
      <c r="AD314" s="15" t="str">
        <f t="shared" si="40"/>
        <v/>
      </c>
      <c r="AE314" s="15" t="str">
        <f t="shared" si="41"/>
        <v/>
      </c>
      <c r="AF314" s="15" t="str">
        <f t="shared" si="42"/>
        <v/>
      </c>
      <c r="AG314" s="18">
        <f>IF(AND(S314=1,Z314="Y"),IF(Settings!$B$6="Percentage",IF(AD314=0,0,AC314*AA314*(N314/AD314)),IF(Settings!$B$6="Points",IF(AF314=0,0,AC314*(N314*AB314)/AF314),IF(Settings!$B$6="Equally",IF(AE314=0,0,AC314*N314/AE314),0))),0)</f>
        <v>0</v>
      </c>
      <c r="AH314" s="18" t="str">
        <f t="shared" si="43"/>
        <v/>
      </c>
      <c r="AI314" s="15">
        <f>IF(S314=1,IF(COUNTIFS($R$2:R314,R314,$S$2:S314,1)=1,1,0),0)</f>
        <v>0</v>
      </c>
      <c r="AJ314" s="15">
        <f>SUM($AI$2:AI314)</f>
        <v>12</v>
      </c>
    </row>
    <row r="315" spans="18:36">
      <c r="R315" s="15" t="str">
        <f t="shared" si="44"/>
        <v/>
      </c>
      <c r="S315" s="15">
        <f t="shared" si="36"/>
        <v>0</v>
      </c>
      <c r="T315" s="16" t="str">
        <f>IF(S315=1, DATE(YEAR(Settings!$B$3), MONTH(D315), DAY(D315)), "")</f>
        <v/>
      </c>
      <c r="U315" s="15" t="str">
        <f>IF(S315=1,IFERROR(INDEX(Settings!$B$12:$B$41,MATCH($B315,Settings!$A$12:$A$41,0)),"N"),"")</f>
        <v/>
      </c>
      <c r="V315" s="15" t="str">
        <f>IF(S315=1,IFERROR(INDEX(Settings!$C$12:$C$41,MATCH($B315,Settings!$A$12:$A$41,0)),""),"")</f>
        <v/>
      </c>
      <c r="W315" s="17">
        <f>IF(S315=1,IFERROR(INDEX(Settings!$D$12:$D$41,MATCH($B315,Settings!$A$12:$A$41,0)),0),0)</f>
        <v>0</v>
      </c>
      <c r="X315" s="18">
        <f t="shared" si="37"/>
        <v>0</v>
      </c>
      <c r="Y315" s="18" t="str">
        <f t="shared" si="38"/>
        <v/>
      </c>
      <c r="Z315" s="15" t="str">
        <f>IF(S315=1,IFERROR(INDEX(Settings!$E$12:$E$41,MATCH($B315,Settings!$A$12:$A$41,0)),"N"),"")</f>
        <v/>
      </c>
      <c r="AA315" s="17">
        <f>IF(S315=1,IFERROR(INDEX(Settings!$F$12:$F$41,MATCH($B315,Settings!$A$12:$A$41,0)),0),0)</f>
        <v>0</v>
      </c>
      <c r="AB315" s="15">
        <f>IF(S315=1,IFERROR(INDEX(Settings!$G$12:$G$41,MATCH($B315,Settings!$A$12:$A$41,0)),0),0)</f>
        <v>0</v>
      </c>
      <c r="AC315" s="18" t="str">
        <f t="shared" si="39"/>
        <v/>
      </c>
      <c r="AD315" s="15" t="str">
        <f t="shared" si="40"/>
        <v/>
      </c>
      <c r="AE315" s="15" t="str">
        <f t="shared" si="41"/>
        <v/>
      </c>
      <c r="AF315" s="15" t="str">
        <f t="shared" si="42"/>
        <v/>
      </c>
      <c r="AG315" s="18">
        <f>IF(AND(S315=1,Z315="Y"),IF(Settings!$B$6="Percentage",IF(AD315=0,0,AC315*AA315*(N315/AD315)),IF(Settings!$B$6="Points",IF(AF315=0,0,AC315*(N315*AB315)/AF315),IF(Settings!$B$6="Equally",IF(AE315=0,0,AC315*N315/AE315),0))),0)</f>
        <v>0</v>
      </c>
      <c r="AH315" s="18" t="str">
        <f t="shared" si="43"/>
        <v/>
      </c>
      <c r="AI315" s="15">
        <f>IF(S315=1,IF(COUNTIFS($R$2:R315,R315,$S$2:S315,1)=1,1,0),0)</f>
        <v>0</v>
      </c>
      <c r="AJ315" s="15">
        <f>SUM($AI$2:AI315)</f>
        <v>12</v>
      </c>
    </row>
    <row r="316" spans="18:36">
      <c r="R316" s="15" t="str">
        <f t="shared" si="44"/>
        <v/>
      </c>
      <c r="S316" s="15">
        <f t="shared" si="36"/>
        <v>0</v>
      </c>
      <c r="T316" s="16" t="str">
        <f>IF(S316=1, DATE(YEAR(Settings!$B$3), MONTH(D316), DAY(D316)), "")</f>
        <v/>
      </c>
      <c r="U316" s="15" t="str">
        <f>IF(S316=1,IFERROR(INDEX(Settings!$B$12:$B$41,MATCH($B316,Settings!$A$12:$A$41,0)),"N"),"")</f>
        <v/>
      </c>
      <c r="V316" s="15" t="str">
        <f>IF(S316=1,IFERROR(INDEX(Settings!$C$12:$C$41,MATCH($B316,Settings!$A$12:$A$41,0)),""),"")</f>
        <v/>
      </c>
      <c r="W316" s="17">
        <f>IF(S316=1,IFERROR(INDEX(Settings!$D$12:$D$41,MATCH($B316,Settings!$A$12:$A$41,0)),0),0)</f>
        <v>0</v>
      </c>
      <c r="X316" s="18">
        <f t="shared" si="37"/>
        <v>0</v>
      </c>
      <c r="Y316" s="18" t="str">
        <f t="shared" si="38"/>
        <v/>
      </c>
      <c r="Z316" s="15" t="str">
        <f>IF(S316=1,IFERROR(INDEX(Settings!$E$12:$E$41,MATCH($B316,Settings!$A$12:$A$41,0)),"N"),"")</f>
        <v/>
      </c>
      <c r="AA316" s="17">
        <f>IF(S316=1,IFERROR(INDEX(Settings!$F$12:$F$41,MATCH($B316,Settings!$A$12:$A$41,0)),0),0)</f>
        <v>0</v>
      </c>
      <c r="AB316" s="15">
        <f>IF(S316=1,IFERROR(INDEX(Settings!$G$12:$G$41,MATCH($B316,Settings!$A$12:$A$41,0)),0),0)</f>
        <v>0</v>
      </c>
      <c r="AC316" s="18" t="str">
        <f t="shared" si="39"/>
        <v/>
      </c>
      <c r="AD316" s="15" t="str">
        <f t="shared" si="40"/>
        <v/>
      </c>
      <c r="AE316" s="15" t="str">
        <f t="shared" si="41"/>
        <v/>
      </c>
      <c r="AF316" s="15" t="str">
        <f t="shared" si="42"/>
        <v/>
      </c>
      <c r="AG316" s="18">
        <f>IF(AND(S316=1,Z316="Y"),IF(Settings!$B$6="Percentage",IF(AD316=0,0,AC316*AA316*(N316/AD316)),IF(Settings!$B$6="Points",IF(AF316=0,0,AC316*(N316*AB316)/AF316),IF(Settings!$B$6="Equally",IF(AE316=0,0,AC316*N316/AE316),0))),0)</f>
        <v>0</v>
      </c>
      <c r="AH316" s="18" t="str">
        <f t="shared" si="43"/>
        <v/>
      </c>
      <c r="AI316" s="15">
        <f>IF(S316=1,IF(COUNTIFS($R$2:R316,R316,$S$2:S316,1)=1,1,0),0)</f>
        <v>0</v>
      </c>
      <c r="AJ316" s="15">
        <f>SUM($AI$2:AI316)</f>
        <v>12</v>
      </c>
    </row>
    <row r="317" spans="18:36">
      <c r="R317" s="15" t="str">
        <f t="shared" si="44"/>
        <v/>
      </c>
      <c r="S317" s="15">
        <f t="shared" si="36"/>
        <v>0</v>
      </c>
      <c r="T317" s="16" t="str">
        <f>IF(S317=1, DATE(YEAR(Settings!$B$3), MONTH(D317), DAY(D317)), "")</f>
        <v/>
      </c>
      <c r="U317" s="15" t="str">
        <f>IF(S317=1,IFERROR(INDEX(Settings!$B$12:$B$41,MATCH($B317,Settings!$A$12:$A$41,0)),"N"),"")</f>
        <v/>
      </c>
      <c r="V317" s="15" t="str">
        <f>IF(S317=1,IFERROR(INDEX(Settings!$C$12:$C$41,MATCH($B317,Settings!$A$12:$A$41,0)),""),"")</f>
        <v/>
      </c>
      <c r="W317" s="17">
        <f>IF(S317=1,IFERROR(INDEX(Settings!$D$12:$D$41,MATCH($B317,Settings!$A$12:$A$41,0)),0),0)</f>
        <v>0</v>
      </c>
      <c r="X317" s="18">
        <f t="shared" si="37"/>
        <v>0</v>
      </c>
      <c r="Y317" s="18" t="str">
        <f t="shared" si="38"/>
        <v/>
      </c>
      <c r="Z317" s="15" t="str">
        <f>IF(S317=1,IFERROR(INDEX(Settings!$E$12:$E$41,MATCH($B317,Settings!$A$12:$A$41,0)),"N"),"")</f>
        <v/>
      </c>
      <c r="AA317" s="17">
        <f>IF(S317=1,IFERROR(INDEX(Settings!$F$12:$F$41,MATCH($B317,Settings!$A$12:$A$41,0)),0),0)</f>
        <v>0</v>
      </c>
      <c r="AB317" s="15">
        <f>IF(S317=1,IFERROR(INDEX(Settings!$G$12:$G$41,MATCH($B317,Settings!$A$12:$A$41,0)),0),0)</f>
        <v>0</v>
      </c>
      <c r="AC317" s="18" t="str">
        <f t="shared" si="39"/>
        <v/>
      </c>
      <c r="AD317" s="15" t="str">
        <f t="shared" si="40"/>
        <v/>
      </c>
      <c r="AE317" s="15" t="str">
        <f t="shared" si="41"/>
        <v/>
      </c>
      <c r="AF317" s="15" t="str">
        <f t="shared" si="42"/>
        <v/>
      </c>
      <c r="AG317" s="18">
        <f>IF(AND(S317=1,Z317="Y"),IF(Settings!$B$6="Percentage",IF(AD317=0,0,AC317*AA317*(N317/AD317)),IF(Settings!$B$6="Points",IF(AF317=0,0,AC317*(N317*AB317)/AF317),IF(Settings!$B$6="Equally",IF(AE317=0,0,AC317*N317/AE317),0))),0)</f>
        <v>0</v>
      </c>
      <c r="AH317" s="18" t="str">
        <f t="shared" si="43"/>
        <v/>
      </c>
      <c r="AI317" s="15">
        <f>IF(S317=1,IF(COUNTIFS($R$2:R317,R317,$S$2:S317,1)=1,1,0),0)</f>
        <v>0</v>
      </c>
      <c r="AJ317" s="15">
        <f>SUM($AI$2:AI317)</f>
        <v>12</v>
      </c>
    </row>
    <row r="318" spans="18:36">
      <c r="R318" s="15" t="str">
        <f t="shared" si="44"/>
        <v/>
      </c>
      <c r="S318" s="15">
        <f t="shared" si="36"/>
        <v>0</v>
      </c>
      <c r="T318" s="16" t="str">
        <f>IF(S318=1, DATE(YEAR(Settings!$B$3), MONTH(D318), DAY(D318)), "")</f>
        <v/>
      </c>
      <c r="U318" s="15" t="str">
        <f>IF(S318=1,IFERROR(INDEX(Settings!$B$12:$B$41,MATCH($B318,Settings!$A$12:$A$41,0)),"N"),"")</f>
        <v/>
      </c>
      <c r="V318" s="15" t="str">
        <f>IF(S318=1,IFERROR(INDEX(Settings!$C$12:$C$41,MATCH($B318,Settings!$A$12:$A$41,0)),""),"")</f>
        <v/>
      </c>
      <c r="W318" s="17">
        <f>IF(S318=1,IFERROR(INDEX(Settings!$D$12:$D$41,MATCH($B318,Settings!$A$12:$A$41,0)),0),0)</f>
        <v>0</v>
      </c>
      <c r="X318" s="18">
        <f t="shared" si="37"/>
        <v>0</v>
      </c>
      <c r="Y318" s="18" t="str">
        <f t="shared" si="38"/>
        <v/>
      </c>
      <c r="Z318" s="15" t="str">
        <f>IF(S318=1,IFERROR(INDEX(Settings!$E$12:$E$41,MATCH($B318,Settings!$A$12:$A$41,0)),"N"),"")</f>
        <v/>
      </c>
      <c r="AA318" s="17">
        <f>IF(S318=1,IFERROR(INDEX(Settings!$F$12:$F$41,MATCH($B318,Settings!$A$12:$A$41,0)),0),0)</f>
        <v>0</v>
      </c>
      <c r="AB318" s="15">
        <f>IF(S318=1,IFERROR(INDEX(Settings!$G$12:$G$41,MATCH($B318,Settings!$A$12:$A$41,0)),0),0)</f>
        <v>0</v>
      </c>
      <c r="AC318" s="18" t="str">
        <f t="shared" si="39"/>
        <v/>
      </c>
      <c r="AD318" s="15" t="str">
        <f t="shared" si="40"/>
        <v/>
      </c>
      <c r="AE318" s="15" t="str">
        <f t="shared" si="41"/>
        <v/>
      </c>
      <c r="AF318" s="15" t="str">
        <f t="shared" si="42"/>
        <v/>
      </c>
      <c r="AG318" s="18">
        <f>IF(AND(S318=1,Z318="Y"),IF(Settings!$B$6="Percentage",IF(AD318=0,0,AC318*AA318*(N318/AD318)),IF(Settings!$B$6="Points",IF(AF318=0,0,AC318*(N318*AB318)/AF318),IF(Settings!$B$6="Equally",IF(AE318=0,0,AC318*N318/AE318),0))),0)</f>
        <v>0</v>
      </c>
      <c r="AH318" s="18" t="str">
        <f t="shared" si="43"/>
        <v/>
      </c>
      <c r="AI318" s="15">
        <f>IF(S318=1,IF(COUNTIFS($R$2:R318,R318,$S$2:S318,1)=1,1,0),0)</f>
        <v>0</v>
      </c>
      <c r="AJ318" s="15">
        <f>SUM($AI$2:AI318)</f>
        <v>12</v>
      </c>
    </row>
    <row r="319" spans="18:36">
      <c r="R319" s="15" t="str">
        <f t="shared" si="44"/>
        <v/>
      </c>
      <c r="S319" s="15">
        <f t="shared" si="36"/>
        <v>0</v>
      </c>
      <c r="T319" s="16" t="str">
        <f>IF(S319=1, DATE(YEAR(Settings!$B$3), MONTH(D319), DAY(D319)), "")</f>
        <v/>
      </c>
      <c r="U319" s="15" t="str">
        <f>IF(S319=1,IFERROR(INDEX(Settings!$B$12:$B$41,MATCH($B319,Settings!$A$12:$A$41,0)),"N"),"")</f>
        <v/>
      </c>
      <c r="V319" s="15" t="str">
        <f>IF(S319=1,IFERROR(INDEX(Settings!$C$12:$C$41,MATCH($B319,Settings!$A$12:$A$41,0)),""),"")</f>
        <v/>
      </c>
      <c r="W319" s="17">
        <f>IF(S319=1,IFERROR(INDEX(Settings!$D$12:$D$41,MATCH($B319,Settings!$A$12:$A$41,0)),0),0)</f>
        <v>0</v>
      </c>
      <c r="X319" s="18">
        <f t="shared" si="37"/>
        <v>0</v>
      </c>
      <c r="Y319" s="18" t="str">
        <f t="shared" si="38"/>
        <v/>
      </c>
      <c r="Z319" s="15" t="str">
        <f>IF(S319=1,IFERROR(INDEX(Settings!$E$12:$E$41,MATCH($B319,Settings!$A$12:$A$41,0)),"N"),"")</f>
        <v/>
      </c>
      <c r="AA319" s="17">
        <f>IF(S319=1,IFERROR(INDEX(Settings!$F$12:$F$41,MATCH($B319,Settings!$A$12:$A$41,0)),0),0)</f>
        <v>0</v>
      </c>
      <c r="AB319" s="15">
        <f>IF(S319=1,IFERROR(INDEX(Settings!$G$12:$G$41,MATCH($B319,Settings!$A$12:$A$41,0)),0),0)</f>
        <v>0</v>
      </c>
      <c r="AC319" s="18" t="str">
        <f t="shared" si="39"/>
        <v/>
      </c>
      <c r="AD319" s="15" t="str">
        <f t="shared" si="40"/>
        <v/>
      </c>
      <c r="AE319" s="15" t="str">
        <f t="shared" si="41"/>
        <v/>
      </c>
      <c r="AF319" s="15" t="str">
        <f t="shared" si="42"/>
        <v/>
      </c>
      <c r="AG319" s="18">
        <f>IF(AND(S319=1,Z319="Y"),IF(Settings!$B$6="Percentage",IF(AD319=0,0,AC319*AA319*(N319/AD319)),IF(Settings!$B$6="Points",IF(AF319=0,0,AC319*(N319*AB319)/AF319),IF(Settings!$B$6="Equally",IF(AE319=0,0,AC319*N319/AE319),0))),0)</f>
        <v>0</v>
      </c>
      <c r="AH319" s="18" t="str">
        <f t="shared" si="43"/>
        <v/>
      </c>
      <c r="AI319" s="15">
        <f>IF(S319=1,IF(COUNTIFS($R$2:R319,R319,$S$2:S319,1)=1,1,0),0)</f>
        <v>0</v>
      </c>
      <c r="AJ319" s="15">
        <f>SUM($AI$2:AI319)</f>
        <v>12</v>
      </c>
    </row>
    <row r="320" spans="18:36">
      <c r="R320" s="15" t="str">
        <f t="shared" si="44"/>
        <v/>
      </c>
      <c r="S320" s="15">
        <f t="shared" si="36"/>
        <v>0</v>
      </c>
      <c r="T320" s="16" t="str">
        <f>IF(S320=1, DATE(YEAR(Settings!$B$3), MONTH(D320), DAY(D320)), "")</f>
        <v/>
      </c>
      <c r="U320" s="15" t="str">
        <f>IF(S320=1,IFERROR(INDEX(Settings!$B$12:$B$41,MATCH($B320,Settings!$A$12:$A$41,0)),"N"),"")</f>
        <v/>
      </c>
      <c r="V320" s="15" t="str">
        <f>IF(S320=1,IFERROR(INDEX(Settings!$C$12:$C$41,MATCH($B320,Settings!$A$12:$A$41,0)),""),"")</f>
        <v/>
      </c>
      <c r="W320" s="17">
        <f>IF(S320=1,IFERROR(INDEX(Settings!$D$12:$D$41,MATCH($B320,Settings!$A$12:$A$41,0)),0),0)</f>
        <v>0</v>
      </c>
      <c r="X320" s="18">
        <f t="shared" si="37"/>
        <v>0</v>
      </c>
      <c r="Y320" s="18" t="str">
        <f t="shared" si="38"/>
        <v/>
      </c>
      <c r="Z320" s="15" t="str">
        <f>IF(S320=1,IFERROR(INDEX(Settings!$E$12:$E$41,MATCH($B320,Settings!$A$12:$A$41,0)),"N"),"")</f>
        <v/>
      </c>
      <c r="AA320" s="17">
        <f>IF(S320=1,IFERROR(INDEX(Settings!$F$12:$F$41,MATCH($B320,Settings!$A$12:$A$41,0)),0),0)</f>
        <v>0</v>
      </c>
      <c r="AB320" s="15">
        <f>IF(S320=1,IFERROR(INDEX(Settings!$G$12:$G$41,MATCH($B320,Settings!$A$12:$A$41,0)),0),0)</f>
        <v>0</v>
      </c>
      <c r="AC320" s="18" t="str">
        <f t="shared" si="39"/>
        <v/>
      </c>
      <c r="AD320" s="15" t="str">
        <f t="shared" si="40"/>
        <v/>
      </c>
      <c r="AE320" s="15" t="str">
        <f t="shared" si="41"/>
        <v/>
      </c>
      <c r="AF320" s="15" t="str">
        <f t="shared" si="42"/>
        <v/>
      </c>
      <c r="AG320" s="18">
        <f>IF(AND(S320=1,Z320="Y"),IF(Settings!$B$6="Percentage",IF(AD320=0,0,AC320*AA320*(N320/AD320)),IF(Settings!$B$6="Points",IF(AF320=0,0,AC320*(N320*AB320)/AF320),IF(Settings!$B$6="Equally",IF(AE320=0,0,AC320*N320/AE320),0))),0)</f>
        <v>0</v>
      </c>
      <c r="AH320" s="18" t="str">
        <f t="shared" si="43"/>
        <v/>
      </c>
      <c r="AI320" s="15">
        <f>IF(S320=1,IF(COUNTIFS($R$2:R320,R320,$S$2:S320,1)=1,1,0),0)</f>
        <v>0</v>
      </c>
      <c r="AJ320" s="15">
        <f>SUM($AI$2:AI320)</f>
        <v>12</v>
      </c>
    </row>
    <row r="321" spans="18:36">
      <c r="R321" s="15" t="str">
        <f t="shared" si="44"/>
        <v/>
      </c>
      <c r="S321" s="15">
        <f t="shared" si="36"/>
        <v>0</v>
      </c>
      <c r="T321" s="16" t="str">
        <f>IF(S321=1, DATE(YEAR(Settings!$B$3), MONTH(D321), DAY(D321)), "")</f>
        <v/>
      </c>
      <c r="U321" s="15" t="str">
        <f>IF(S321=1,IFERROR(INDEX(Settings!$B$12:$B$41,MATCH($B321,Settings!$A$12:$A$41,0)),"N"),"")</f>
        <v/>
      </c>
      <c r="V321" s="15" t="str">
        <f>IF(S321=1,IFERROR(INDEX(Settings!$C$12:$C$41,MATCH($B321,Settings!$A$12:$A$41,0)),""),"")</f>
        <v/>
      </c>
      <c r="W321" s="17">
        <f>IF(S321=1,IFERROR(INDEX(Settings!$D$12:$D$41,MATCH($B321,Settings!$A$12:$A$41,0)),0),0)</f>
        <v>0</v>
      </c>
      <c r="X321" s="18">
        <f t="shared" si="37"/>
        <v>0</v>
      </c>
      <c r="Y321" s="18" t="str">
        <f t="shared" si="38"/>
        <v/>
      </c>
      <c r="Z321" s="15" t="str">
        <f>IF(S321=1,IFERROR(INDEX(Settings!$E$12:$E$41,MATCH($B321,Settings!$A$12:$A$41,0)),"N"),"")</f>
        <v/>
      </c>
      <c r="AA321" s="17">
        <f>IF(S321=1,IFERROR(INDEX(Settings!$F$12:$F$41,MATCH($B321,Settings!$A$12:$A$41,0)),0),0)</f>
        <v>0</v>
      </c>
      <c r="AB321" s="15">
        <f>IF(S321=1,IFERROR(INDEX(Settings!$G$12:$G$41,MATCH($B321,Settings!$A$12:$A$41,0)),0),0)</f>
        <v>0</v>
      </c>
      <c r="AC321" s="18" t="str">
        <f t="shared" si="39"/>
        <v/>
      </c>
      <c r="AD321" s="15" t="str">
        <f t="shared" si="40"/>
        <v/>
      </c>
      <c r="AE321" s="15" t="str">
        <f t="shared" si="41"/>
        <v/>
      </c>
      <c r="AF321" s="15" t="str">
        <f t="shared" si="42"/>
        <v/>
      </c>
      <c r="AG321" s="18">
        <f>IF(AND(S321=1,Z321="Y"),IF(Settings!$B$6="Percentage",IF(AD321=0,0,AC321*AA321*(N321/AD321)),IF(Settings!$B$6="Points",IF(AF321=0,0,AC321*(N321*AB321)/AF321),IF(Settings!$B$6="Equally",IF(AE321=0,0,AC321*N321/AE321),0))),0)</f>
        <v>0</v>
      </c>
      <c r="AH321" s="18" t="str">
        <f t="shared" si="43"/>
        <v/>
      </c>
      <c r="AI321" s="15">
        <f>IF(S321=1,IF(COUNTIFS($R$2:R321,R321,$S$2:S321,1)=1,1,0),0)</f>
        <v>0</v>
      </c>
      <c r="AJ321" s="15">
        <f>SUM($AI$2:AI321)</f>
        <v>12</v>
      </c>
    </row>
    <row r="322" spans="18:36">
      <c r="R322" s="15" t="str">
        <f t="shared" si="44"/>
        <v/>
      </c>
      <c r="S322" s="15">
        <f t="shared" ref="S322:S385" si="45">IF(AND(D322&lt;&gt;"",A322&lt;&gt;"Total"),1,0)</f>
        <v>0</v>
      </c>
      <c r="T322" s="16" t="str">
        <f>IF(S322=1, DATE(YEAR(Settings!$B$3), MONTH(D322), DAY(D322)), "")</f>
        <v/>
      </c>
      <c r="U322" s="15" t="str">
        <f>IF(S322=1,IFERROR(INDEX(Settings!$B$12:$B$41,MATCH($B322,Settings!$A$12:$A$41,0)),"N"),"")</f>
        <v/>
      </c>
      <c r="V322" s="15" t="str">
        <f>IF(S322=1,IFERROR(INDEX(Settings!$C$12:$C$41,MATCH($B322,Settings!$A$12:$A$41,0)),""),"")</f>
        <v/>
      </c>
      <c r="W322" s="17">
        <f>IF(S322=1,IFERROR(INDEX(Settings!$D$12:$D$41,MATCH($B322,Settings!$A$12:$A$41,0)),0),0)</f>
        <v>0</v>
      </c>
      <c r="X322" s="18">
        <f t="shared" ref="X322:X385" si="46">IF(AND(S322=1,U322="Y"),IF(V322="% of Sales",O322*W322,IF(V322="% of Tips",P322*W322,0)),0)</f>
        <v>0</v>
      </c>
      <c r="Y322" s="18" t="str">
        <f t="shared" ref="Y322:Y385" si="47">IF(S322=1,P322-X322,"")</f>
        <v/>
      </c>
      <c r="Z322" s="15" t="str">
        <f>IF(S322=1,IFERROR(INDEX(Settings!$E$12:$E$41,MATCH($B322,Settings!$A$12:$A$41,0)),"N"),"")</f>
        <v/>
      </c>
      <c r="AA322" s="17">
        <f>IF(S322=1,IFERROR(INDEX(Settings!$F$12:$F$41,MATCH($B322,Settings!$A$12:$A$41,0)),0),0)</f>
        <v>0</v>
      </c>
      <c r="AB322" s="15">
        <f>IF(S322=1,IFERROR(INDEX(Settings!$G$12:$G$41,MATCH($B322,Settings!$A$12:$A$41,0)),0),0)</f>
        <v>0</v>
      </c>
      <c r="AC322" s="18" t="str">
        <f t="shared" ref="AC322:AC385" si="48">IF(S322=1,SUMIFS($X$2:$X$601,$S$2:$S$601,1,$T$2:$T$601,T322),"")</f>
        <v/>
      </c>
      <c r="AD322" s="15" t="str">
        <f t="shared" ref="AD322:AD385" si="49">IF(S322=1,SUMIFS($N$2:$N$601,$S$2:$S$601,1,$T$2:$T$601,T322,$B$2:$B$601,B322),"")</f>
        <v/>
      </c>
      <c r="AE322" s="15" t="str">
        <f t="shared" ref="AE322:AE385" si="50">IF(S322=1,SUMIFS($N$2:$N$601,$S$2:$S$601,1,$T$2:$T$601,T322,$Z$2:$Z$601,"Y"),"")</f>
        <v/>
      </c>
      <c r="AF322" s="15" t="str">
        <f t="shared" ref="AF322:AF385" si="51">IF(S322=1,SUMPRODUCT(($S$2:$S$601=1)*($T$2:$T$601=T322)*($Z$2:$Z$601="Y")*($N$2:$N$601)*($AB$2:$AB$601)),"")</f>
        <v/>
      </c>
      <c r="AG322" s="18">
        <f>IF(AND(S322=1,Z322="Y"),IF(Settings!$B$6="Percentage",IF(AD322=0,0,AC322*AA322*(N322/AD322)),IF(Settings!$B$6="Points",IF(AF322=0,0,AC322*(N322*AB322)/AF322),IF(Settings!$B$6="Equally",IF(AE322=0,0,AC322*N322/AE322),0))),0)</f>
        <v>0</v>
      </c>
      <c r="AH322" s="18" t="str">
        <f t="shared" ref="AH322:AH385" si="52">IF(S322=1,Y322+AG322,"")</f>
        <v/>
      </c>
      <c r="AI322" s="15">
        <f>IF(S322=1,IF(COUNTIFS($R$2:R322,R322,$S$2:S322,1)=1,1,0),0)</f>
        <v>0</v>
      </c>
      <c r="AJ322" s="15">
        <f>SUM($AI$2:AI322)</f>
        <v>12</v>
      </c>
    </row>
    <row r="323" spans="18:36">
      <c r="R323" s="15" t="str">
        <f t="shared" ref="R323:R386" si="53">IF(A323&lt;&gt;"",IF(A323="Total","",A323),IF(D323&lt;&gt;"",R322,""))</f>
        <v/>
      </c>
      <c r="S323" s="15">
        <f t="shared" si="45"/>
        <v>0</v>
      </c>
      <c r="T323" s="16" t="str">
        <f>IF(S323=1, DATE(YEAR(Settings!$B$3), MONTH(D323), DAY(D323)), "")</f>
        <v/>
      </c>
      <c r="U323" s="15" t="str">
        <f>IF(S323=1,IFERROR(INDEX(Settings!$B$12:$B$41,MATCH($B323,Settings!$A$12:$A$41,0)),"N"),"")</f>
        <v/>
      </c>
      <c r="V323" s="15" t="str">
        <f>IF(S323=1,IFERROR(INDEX(Settings!$C$12:$C$41,MATCH($B323,Settings!$A$12:$A$41,0)),""),"")</f>
        <v/>
      </c>
      <c r="W323" s="17">
        <f>IF(S323=1,IFERROR(INDEX(Settings!$D$12:$D$41,MATCH($B323,Settings!$A$12:$A$41,0)),0),0)</f>
        <v>0</v>
      </c>
      <c r="X323" s="18">
        <f t="shared" si="46"/>
        <v>0</v>
      </c>
      <c r="Y323" s="18" t="str">
        <f t="shared" si="47"/>
        <v/>
      </c>
      <c r="Z323" s="15" t="str">
        <f>IF(S323=1,IFERROR(INDEX(Settings!$E$12:$E$41,MATCH($B323,Settings!$A$12:$A$41,0)),"N"),"")</f>
        <v/>
      </c>
      <c r="AA323" s="17">
        <f>IF(S323=1,IFERROR(INDEX(Settings!$F$12:$F$41,MATCH($B323,Settings!$A$12:$A$41,0)),0),0)</f>
        <v>0</v>
      </c>
      <c r="AB323" s="15">
        <f>IF(S323=1,IFERROR(INDEX(Settings!$G$12:$G$41,MATCH($B323,Settings!$A$12:$A$41,0)),0),0)</f>
        <v>0</v>
      </c>
      <c r="AC323" s="18" t="str">
        <f t="shared" si="48"/>
        <v/>
      </c>
      <c r="AD323" s="15" t="str">
        <f t="shared" si="49"/>
        <v/>
      </c>
      <c r="AE323" s="15" t="str">
        <f t="shared" si="50"/>
        <v/>
      </c>
      <c r="AF323" s="15" t="str">
        <f t="shared" si="51"/>
        <v/>
      </c>
      <c r="AG323" s="18">
        <f>IF(AND(S323=1,Z323="Y"),IF(Settings!$B$6="Percentage",IF(AD323=0,0,AC323*AA323*(N323/AD323)),IF(Settings!$B$6="Points",IF(AF323=0,0,AC323*(N323*AB323)/AF323),IF(Settings!$B$6="Equally",IF(AE323=0,0,AC323*N323/AE323),0))),0)</f>
        <v>0</v>
      </c>
      <c r="AH323" s="18" t="str">
        <f t="shared" si="52"/>
        <v/>
      </c>
      <c r="AI323" s="15">
        <f>IF(S323=1,IF(COUNTIFS($R$2:R323,R323,$S$2:S323,1)=1,1,0),0)</f>
        <v>0</v>
      </c>
      <c r="AJ323" s="15">
        <f>SUM($AI$2:AI323)</f>
        <v>12</v>
      </c>
    </row>
    <row r="324" spans="18:36">
      <c r="R324" s="15" t="str">
        <f t="shared" si="53"/>
        <v/>
      </c>
      <c r="S324" s="15">
        <f t="shared" si="45"/>
        <v>0</v>
      </c>
      <c r="T324" s="16" t="str">
        <f>IF(S324=1, DATE(YEAR(Settings!$B$3), MONTH(D324), DAY(D324)), "")</f>
        <v/>
      </c>
      <c r="U324" s="15" t="str">
        <f>IF(S324=1,IFERROR(INDEX(Settings!$B$12:$B$41,MATCH($B324,Settings!$A$12:$A$41,0)),"N"),"")</f>
        <v/>
      </c>
      <c r="V324" s="15" t="str">
        <f>IF(S324=1,IFERROR(INDEX(Settings!$C$12:$C$41,MATCH($B324,Settings!$A$12:$A$41,0)),""),"")</f>
        <v/>
      </c>
      <c r="W324" s="17">
        <f>IF(S324=1,IFERROR(INDEX(Settings!$D$12:$D$41,MATCH($B324,Settings!$A$12:$A$41,0)),0),0)</f>
        <v>0</v>
      </c>
      <c r="X324" s="18">
        <f t="shared" si="46"/>
        <v>0</v>
      </c>
      <c r="Y324" s="18" t="str">
        <f t="shared" si="47"/>
        <v/>
      </c>
      <c r="Z324" s="15" t="str">
        <f>IF(S324=1,IFERROR(INDEX(Settings!$E$12:$E$41,MATCH($B324,Settings!$A$12:$A$41,0)),"N"),"")</f>
        <v/>
      </c>
      <c r="AA324" s="17">
        <f>IF(S324=1,IFERROR(INDEX(Settings!$F$12:$F$41,MATCH($B324,Settings!$A$12:$A$41,0)),0),0)</f>
        <v>0</v>
      </c>
      <c r="AB324" s="15">
        <f>IF(S324=1,IFERROR(INDEX(Settings!$G$12:$G$41,MATCH($B324,Settings!$A$12:$A$41,0)),0),0)</f>
        <v>0</v>
      </c>
      <c r="AC324" s="18" t="str">
        <f t="shared" si="48"/>
        <v/>
      </c>
      <c r="AD324" s="15" t="str">
        <f t="shared" si="49"/>
        <v/>
      </c>
      <c r="AE324" s="15" t="str">
        <f t="shared" si="50"/>
        <v/>
      </c>
      <c r="AF324" s="15" t="str">
        <f t="shared" si="51"/>
        <v/>
      </c>
      <c r="AG324" s="18">
        <f>IF(AND(S324=1,Z324="Y"),IF(Settings!$B$6="Percentage",IF(AD324=0,0,AC324*AA324*(N324/AD324)),IF(Settings!$B$6="Points",IF(AF324=0,0,AC324*(N324*AB324)/AF324),IF(Settings!$B$6="Equally",IF(AE324=0,0,AC324*N324/AE324),0))),0)</f>
        <v>0</v>
      </c>
      <c r="AH324" s="18" t="str">
        <f t="shared" si="52"/>
        <v/>
      </c>
      <c r="AI324" s="15">
        <f>IF(S324=1,IF(COUNTIFS($R$2:R324,R324,$S$2:S324,1)=1,1,0),0)</f>
        <v>0</v>
      </c>
      <c r="AJ324" s="15">
        <f>SUM($AI$2:AI324)</f>
        <v>12</v>
      </c>
    </row>
    <row r="325" spans="18:36">
      <c r="R325" s="15" t="str">
        <f t="shared" si="53"/>
        <v/>
      </c>
      <c r="S325" s="15">
        <f t="shared" si="45"/>
        <v>0</v>
      </c>
      <c r="T325" s="16" t="str">
        <f>IF(S325=1, DATE(YEAR(Settings!$B$3), MONTH(D325), DAY(D325)), "")</f>
        <v/>
      </c>
      <c r="U325" s="15" t="str">
        <f>IF(S325=1,IFERROR(INDEX(Settings!$B$12:$B$41,MATCH($B325,Settings!$A$12:$A$41,0)),"N"),"")</f>
        <v/>
      </c>
      <c r="V325" s="15" t="str">
        <f>IF(S325=1,IFERROR(INDEX(Settings!$C$12:$C$41,MATCH($B325,Settings!$A$12:$A$41,0)),""),"")</f>
        <v/>
      </c>
      <c r="W325" s="17">
        <f>IF(S325=1,IFERROR(INDEX(Settings!$D$12:$D$41,MATCH($B325,Settings!$A$12:$A$41,0)),0),0)</f>
        <v>0</v>
      </c>
      <c r="X325" s="18">
        <f t="shared" si="46"/>
        <v>0</v>
      </c>
      <c r="Y325" s="18" t="str">
        <f t="shared" si="47"/>
        <v/>
      </c>
      <c r="Z325" s="15" t="str">
        <f>IF(S325=1,IFERROR(INDEX(Settings!$E$12:$E$41,MATCH($B325,Settings!$A$12:$A$41,0)),"N"),"")</f>
        <v/>
      </c>
      <c r="AA325" s="17">
        <f>IF(S325=1,IFERROR(INDEX(Settings!$F$12:$F$41,MATCH($B325,Settings!$A$12:$A$41,0)),0),0)</f>
        <v>0</v>
      </c>
      <c r="AB325" s="15">
        <f>IF(S325=1,IFERROR(INDEX(Settings!$G$12:$G$41,MATCH($B325,Settings!$A$12:$A$41,0)),0),0)</f>
        <v>0</v>
      </c>
      <c r="AC325" s="18" t="str">
        <f t="shared" si="48"/>
        <v/>
      </c>
      <c r="AD325" s="15" t="str">
        <f t="shared" si="49"/>
        <v/>
      </c>
      <c r="AE325" s="15" t="str">
        <f t="shared" si="50"/>
        <v/>
      </c>
      <c r="AF325" s="15" t="str">
        <f t="shared" si="51"/>
        <v/>
      </c>
      <c r="AG325" s="18">
        <f>IF(AND(S325=1,Z325="Y"),IF(Settings!$B$6="Percentage",IF(AD325=0,0,AC325*AA325*(N325/AD325)),IF(Settings!$B$6="Points",IF(AF325=0,0,AC325*(N325*AB325)/AF325),IF(Settings!$B$6="Equally",IF(AE325=0,0,AC325*N325/AE325),0))),0)</f>
        <v>0</v>
      </c>
      <c r="AH325" s="18" t="str">
        <f t="shared" si="52"/>
        <v/>
      </c>
      <c r="AI325" s="15">
        <f>IF(S325=1,IF(COUNTIFS($R$2:R325,R325,$S$2:S325,1)=1,1,0),0)</f>
        <v>0</v>
      </c>
      <c r="AJ325" s="15">
        <f>SUM($AI$2:AI325)</f>
        <v>12</v>
      </c>
    </row>
    <row r="326" spans="18:36">
      <c r="R326" s="15" t="str">
        <f t="shared" si="53"/>
        <v/>
      </c>
      <c r="S326" s="15">
        <f t="shared" si="45"/>
        <v>0</v>
      </c>
      <c r="T326" s="16" t="str">
        <f>IF(S326=1, DATE(YEAR(Settings!$B$3), MONTH(D326), DAY(D326)), "")</f>
        <v/>
      </c>
      <c r="U326" s="15" t="str">
        <f>IF(S326=1,IFERROR(INDEX(Settings!$B$12:$B$41,MATCH($B326,Settings!$A$12:$A$41,0)),"N"),"")</f>
        <v/>
      </c>
      <c r="V326" s="15" t="str">
        <f>IF(S326=1,IFERROR(INDEX(Settings!$C$12:$C$41,MATCH($B326,Settings!$A$12:$A$41,0)),""),"")</f>
        <v/>
      </c>
      <c r="W326" s="17">
        <f>IF(S326=1,IFERROR(INDEX(Settings!$D$12:$D$41,MATCH($B326,Settings!$A$12:$A$41,0)),0),0)</f>
        <v>0</v>
      </c>
      <c r="X326" s="18">
        <f t="shared" si="46"/>
        <v>0</v>
      </c>
      <c r="Y326" s="18" t="str">
        <f t="shared" si="47"/>
        <v/>
      </c>
      <c r="Z326" s="15" t="str">
        <f>IF(S326=1,IFERROR(INDEX(Settings!$E$12:$E$41,MATCH($B326,Settings!$A$12:$A$41,0)),"N"),"")</f>
        <v/>
      </c>
      <c r="AA326" s="17">
        <f>IF(S326=1,IFERROR(INDEX(Settings!$F$12:$F$41,MATCH($B326,Settings!$A$12:$A$41,0)),0),0)</f>
        <v>0</v>
      </c>
      <c r="AB326" s="15">
        <f>IF(S326=1,IFERROR(INDEX(Settings!$G$12:$G$41,MATCH($B326,Settings!$A$12:$A$41,0)),0),0)</f>
        <v>0</v>
      </c>
      <c r="AC326" s="18" t="str">
        <f t="shared" si="48"/>
        <v/>
      </c>
      <c r="AD326" s="15" t="str">
        <f t="shared" si="49"/>
        <v/>
      </c>
      <c r="AE326" s="15" t="str">
        <f t="shared" si="50"/>
        <v/>
      </c>
      <c r="AF326" s="15" t="str">
        <f t="shared" si="51"/>
        <v/>
      </c>
      <c r="AG326" s="18">
        <f>IF(AND(S326=1,Z326="Y"),IF(Settings!$B$6="Percentage",IF(AD326=0,0,AC326*AA326*(N326/AD326)),IF(Settings!$B$6="Points",IF(AF326=0,0,AC326*(N326*AB326)/AF326),IF(Settings!$B$6="Equally",IF(AE326=0,0,AC326*N326/AE326),0))),0)</f>
        <v>0</v>
      </c>
      <c r="AH326" s="18" t="str">
        <f t="shared" si="52"/>
        <v/>
      </c>
      <c r="AI326" s="15">
        <f>IF(S326=1,IF(COUNTIFS($R$2:R326,R326,$S$2:S326,1)=1,1,0),0)</f>
        <v>0</v>
      </c>
      <c r="AJ326" s="15">
        <f>SUM($AI$2:AI326)</f>
        <v>12</v>
      </c>
    </row>
    <row r="327" spans="18:36">
      <c r="R327" s="15" t="str">
        <f t="shared" si="53"/>
        <v/>
      </c>
      <c r="S327" s="15">
        <f t="shared" si="45"/>
        <v>0</v>
      </c>
      <c r="T327" s="16" t="str">
        <f>IF(S327=1, DATE(YEAR(Settings!$B$3), MONTH(D327), DAY(D327)), "")</f>
        <v/>
      </c>
      <c r="U327" s="15" t="str">
        <f>IF(S327=1,IFERROR(INDEX(Settings!$B$12:$B$41,MATCH($B327,Settings!$A$12:$A$41,0)),"N"),"")</f>
        <v/>
      </c>
      <c r="V327" s="15" t="str">
        <f>IF(S327=1,IFERROR(INDEX(Settings!$C$12:$C$41,MATCH($B327,Settings!$A$12:$A$41,0)),""),"")</f>
        <v/>
      </c>
      <c r="W327" s="17">
        <f>IF(S327=1,IFERROR(INDEX(Settings!$D$12:$D$41,MATCH($B327,Settings!$A$12:$A$41,0)),0),0)</f>
        <v>0</v>
      </c>
      <c r="X327" s="18">
        <f t="shared" si="46"/>
        <v>0</v>
      </c>
      <c r="Y327" s="18" t="str">
        <f t="shared" si="47"/>
        <v/>
      </c>
      <c r="Z327" s="15" t="str">
        <f>IF(S327=1,IFERROR(INDEX(Settings!$E$12:$E$41,MATCH($B327,Settings!$A$12:$A$41,0)),"N"),"")</f>
        <v/>
      </c>
      <c r="AA327" s="17">
        <f>IF(S327=1,IFERROR(INDEX(Settings!$F$12:$F$41,MATCH($B327,Settings!$A$12:$A$41,0)),0),0)</f>
        <v>0</v>
      </c>
      <c r="AB327" s="15">
        <f>IF(S327=1,IFERROR(INDEX(Settings!$G$12:$G$41,MATCH($B327,Settings!$A$12:$A$41,0)),0),0)</f>
        <v>0</v>
      </c>
      <c r="AC327" s="18" t="str">
        <f t="shared" si="48"/>
        <v/>
      </c>
      <c r="AD327" s="15" t="str">
        <f t="shared" si="49"/>
        <v/>
      </c>
      <c r="AE327" s="15" t="str">
        <f t="shared" si="50"/>
        <v/>
      </c>
      <c r="AF327" s="15" t="str">
        <f t="shared" si="51"/>
        <v/>
      </c>
      <c r="AG327" s="18">
        <f>IF(AND(S327=1,Z327="Y"),IF(Settings!$B$6="Percentage",IF(AD327=0,0,AC327*AA327*(N327/AD327)),IF(Settings!$B$6="Points",IF(AF327=0,0,AC327*(N327*AB327)/AF327),IF(Settings!$B$6="Equally",IF(AE327=0,0,AC327*N327/AE327),0))),0)</f>
        <v>0</v>
      </c>
      <c r="AH327" s="18" t="str">
        <f t="shared" si="52"/>
        <v/>
      </c>
      <c r="AI327" s="15">
        <f>IF(S327=1,IF(COUNTIFS($R$2:R327,R327,$S$2:S327,1)=1,1,0),0)</f>
        <v>0</v>
      </c>
      <c r="AJ327" s="15">
        <f>SUM($AI$2:AI327)</f>
        <v>12</v>
      </c>
    </row>
    <row r="328" spans="18:36">
      <c r="R328" s="15" t="str">
        <f t="shared" si="53"/>
        <v/>
      </c>
      <c r="S328" s="15">
        <f t="shared" si="45"/>
        <v>0</v>
      </c>
      <c r="T328" s="16" t="str">
        <f>IF(S328=1, DATE(YEAR(Settings!$B$3), MONTH(D328), DAY(D328)), "")</f>
        <v/>
      </c>
      <c r="U328" s="15" t="str">
        <f>IF(S328=1,IFERROR(INDEX(Settings!$B$12:$B$41,MATCH($B328,Settings!$A$12:$A$41,0)),"N"),"")</f>
        <v/>
      </c>
      <c r="V328" s="15" t="str">
        <f>IF(S328=1,IFERROR(INDEX(Settings!$C$12:$C$41,MATCH($B328,Settings!$A$12:$A$41,0)),""),"")</f>
        <v/>
      </c>
      <c r="W328" s="17">
        <f>IF(S328=1,IFERROR(INDEX(Settings!$D$12:$D$41,MATCH($B328,Settings!$A$12:$A$41,0)),0),0)</f>
        <v>0</v>
      </c>
      <c r="X328" s="18">
        <f t="shared" si="46"/>
        <v>0</v>
      </c>
      <c r="Y328" s="18" t="str">
        <f t="shared" si="47"/>
        <v/>
      </c>
      <c r="Z328" s="15" t="str">
        <f>IF(S328=1,IFERROR(INDEX(Settings!$E$12:$E$41,MATCH($B328,Settings!$A$12:$A$41,0)),"N"),"")</f>
        <v/>
      </c>
      <c r="AA328" s="17">
        <f>IF(S328=1,IFERROR(INDEX(Settings!$F$12:$F$41,MATCH($B328,Settings!$A$12:$A$41,0)),0),0)</f>
        <v>0</v>
      </c>
      <c r="AB328" s="15">
        <f>IF(S328=1,IFERROR(INDEX(Settings!$G$12:$G$41,MATCH($B328,Settings!$A$12:$A$41,0)),0),0)</f>
        <v>0</v>
      </c>
      <c r="AC328" s="18" t="str">
        <f t="shared" si="48"/>
        <v/>
      </c>
      <c r="AD328" s="15" t="str">
        <f t="shared" si="49"/>
        <v/>
      </c>
      <c r="AE328" s="15" t="str">
        <f t="shared" si="50"/>
        <v/>
      </c>
      <c r="AF328" s="15" t="str">
        <f t="shared" si="51"/>
        <v/>
      </c>
      <c r="AG328" s="18">
        <f>IF(AND(S328=1,Z328="Y"),IF(Settings!$B$6="Percentage",IF(AD328=0,0,AC328*AA328*(N328/AD328)),IF(Settings!$B$6="Points",IF(AF328=0,0,AC328*(N328*AB328)/AF328),IF(Settings!$B$6="Equally",IF(AE328=0,0,AC328*N328/AE328),0))),0)</f>
        <v>0</v>
      </c>
      <c r="AH328" s="18" t="str">
        <f t="shared" si="52"/>
        <v/>
      </c>
      <c r="AI328" s="15">
        <f>IF(S328=1,IF(COUNTIFS($R$2:R328,R328,$S$2:S328,1)=1,1,0),0)</f>
        <v>0</v>
      </c>
      <c r="AJ328" s="15">
        <f>SUM($AI$2:AI328)</f>
        <v>12</v>
      </c>
    </row>
    <row r="329" spans="18:36">
      <c r="R329" s="15" t="str">
        <f t="shared" si="53"/>
        <v/>
      </c>
      <c r="S329" s="15">
        <f t="shared" si="45"/>
        <v>0</v>
      </c>
      <c r="T329" s="16" t="str">
        <f>IF(S329=1, DATE(YEAR(Settings!$B$3), MONTH(D329), DAY(D329)), "")</f>
        <v/>
      </c>
      <c r="U329" s="15" t="str">
        <f>IF(S329=1,IFERROR(INDEX(Settings!$B$12:$B$41,MATCH($B329,Settings!$A$12:$A$41,0)),"N"),"")</f>
        <v/>
      </c>
      <c r="V329" s="15" t="str">
        <f>IF(S329=1,IFERROR(INDEX(Settings!$C$12:$C$41,MATCH($B329,Settings!$A$12:$A$41,0)),""),"")</f>
        <v/>
      </c>
      <c r="W329" s="17">
        <f>IF(S329=1,IFERROR(INDEX(Settings!$D$12:$D$41,MATCH($B329,Settings!$A$12:$A$41,0)),0),0)</f>
        <v>0</v>
      </c>
      <c r="X329" s="18">
        <f t="shared" si="46"/>
        <v>0</v>
      </c>
      <c r="Y329" s="18" t="str">
        <f t="shared" si="47"/>
        <v/>
      </c>
      <c r="Z329" s="15" t="str">
        <f>IF(S329=1,IFERROR(INDEX(Settings!$E$12:$E$41,MATCH($B329,Settings!$A$12:$A$41,0)),"N"),"")</f>
        <v/>
      </c>
      <c r="AA329" s="17">
        <f>IF(S329=1,IFERROR(INDEX(Settings!$F$12:$F$41,MATCH($B329,Settings!$A$12:$A$41,0)),0),0)</f>
        <v>0</v>
      </c>
      <c r="AB329" s="15">
        <f>IF(S329=1,IFERROR(INDEX(Settings!$G$12:$G$41,MATCH($B329,Settings!$A$12:$A$41,0)),0),0)</f>
        <v>0</v>
      </c>
      <c r="AC329" s="18" t="str">
        <f t="shared" si="48"/>
        <v/>
      </c>
      <c r="AD329" s="15" t="str">
        <f t="shared" si="49"/>
        <v/>
      </c>
      <c r="AE329" s="15" t="str">
        <f t="shared" si="50"/>
        <v/>
      </c>
      <c r="AF329" s="15" t="str">
        <f t="shared" si="51"/>
        <v/>
      </c>
      <c r="AG329" s="18">
        <f>IF(AND(S329=1,Z329="Y"),IF(Settings!$B$6="Percentage",IF(AD329=0,0,AC329*AA329*(N329/AD329)),IF(Settings!$B$6="Points",IF(AF329=0,0,AC329*(N329*AB329)/AF329),IF(Settings!$B$6="Equally",IF(AE329=0,0,AC329*N329/AE329),0))),0)</f>
        <v>0</v>
      </c>
      <c r="AH329" s="18" t="str">
        <f t="shared" si="52"/>
        <v/>
      </c>
      <c r="AI329" s="15">
        <f>IF(S329=1,IF(COUNTIFS($R$2:R329,R329,$S$2:S329,1)=1,1,0),0)</f>
        <v>0</v>
      </c>
      <c r="AJ329" s="15">
        <f>SUM($AI$2:AI329)</f>
        <v>12</v>
      </c>
    </row>
    <row r="330" spans="18:36">
      <c r="R330" s="15" t="str">
        <f t="shared" si="53"/>
        <v/>
      </c>
      <c r="S330" s="15">
        <f t="shared" si="45"/>
        <v>0</v>
      </c>
      <c r="T330" s="16" t="str">
        <f>IF(S330=1, DATE(YEAR(Settings!$B$3), MONTH(D330), DAY(D330)), "")</f>
        <v/>
      </c>
      <c r="U330" s="15" t="str">
        <f>IF(S330=1,IFERROR(INDEX(Settings!$B$12:$B$41,MATCH($B330,Settings!$A$12:$A$41,0)),"N"),"")</f>
        <v/>
      </c>
      <c r="V330" s="15" t="str">
        <f>IF(S330=1,IFERROR(INDEX(Settings!$C$12:$C$41,MATCH($B330,Settings!$A$12:$A$41,0)),""),"")</f>
        <v/>
      </c>
      <c r="W330" s="17">
        <f>IF(S330=1,IFERROR(INDEX(Settings!$D$12:$D$41,MATCH($B330,Settings!$A$12:$A$41,0)),0),0)</f>
        <v>0</v>
      </c>
      <c r="X330" s="18">
        <f t="shared" si="46"/>
        <v>0</v>
      </c>
      <c r="Y330" s="18" t="str">
        <f t="shared" si="47"/>
        <v/>
      </c>
      <c r="Z330" s="15" t="str">
        <f>IF(S330=1,IFERROR(INDEX(Settings!$E$12:$E$41,MATCH($B330,Settings!$A$12:$A$41,0)),"N"),"")</f>
        <v/>
      </c>
      <c r="AA330" s="17">
        <f>IF(S330=1,IFERROR(INDEX(Settings!$F$12:$F$41,MATCH($B330,Settings!$A$12:$A$41,0)),0),0)</f>
        <v>0</v>
      </c>
      <c r="AB330" s="15">
        <f>IF(S330=1,IFERROR(INDEX(Settings!$G$12:$G$41,MATCH($B330,Settings!$A$12:$A$41,0)),0),0)</f>
        <v>0</v>
      </c>
      <c r="AC330" s="18" t="str">
        <f t="shared" si="48"/>
        <v/>
      </c>
      <c r="AD330" s="15" t="str">
        <f t="shared" si="49"/>
        <v/>
      </c>
      <c r="AE330" s="15" t="str">
        <f t="shared" si="50"/>
        <v/>
      </c>
      <c r="AF330" s="15" t="str">
        <f t="shared" si="51"/>
        <v/>
      </c>
      <c r="AG330" s="18">
        <f>IF(AND(S330=1,Z330="Y"),IF(Settings!$B$6="Percentage",IF(AD330=0,0,AC330*AA330*(N330/AD330)),IF(Settings!$B$6="Points",IF(AF330=0,0,AC330*(N330*AB330)/AF330),IF(Settings!$B$6="Equally",IF(AE330=0,0,AC330*N330/AE330),0))),0)</f>
        <v>0</v>
      </c>
      <c r="AH330" s="18" t="str">
        <f t="shared" si="52"/>
        <v/>
      </c>
      <c r="AI330" s="15">
        <f>IF(S330=1,IF(COUNTIFS($R$2:R330,R330,$S$2:S330,1)=1,1,0),0)</f>
        <v>0</v>
      </c>
      <c r="AJ330" s="15">
        <f>SUM($AI$2:AI330)</f>
        <v>12</v>
      </c>
    </row>
    <row r="331" spans="18:36">
      <c r="R331" s="15" t="str">
        <f t="shared" si="53"/>
        <v/>
      </c>
      <c r="S331" s="15">
        <f t="shared" si="45"/>
        <v>0</v>
      </c>
      <c r="T331" s="16" t="str">
        <f>IF(S331=1, DATE(YEAR(Settings!$B$3), MONTH(D331), DAY(D331)), "")</f>
        <v/>
      </c>
      <c r="U331" s="15" t="str">
        <f>IF(S331=1,IFERROR(INDEX(Settings!$B$12:$B$41,MATCH($B331,Settings!$A$12:$A$41,0)),"N"),"")</f>
        <v/>
      </c>
      <c r="V331" s="15" t="str">
        <f>IF(S331=1,IFERROR(INDEX(Settings!$C$12:$C$41,MATCH($B331,Settings!$A$12:$A$41,0)),""),"")</f>
        <v/>
      </c>
      <c r="W331" s="17">
        <f>IF(S331=1,IFERROR(INDEX(Settings!$D$12:$D$41,MATCH($B331,Settings!$A$12:$A$41,0)),0),0)</f>
        <v>0</v>
      </c>
      <c r="X331" s="18">
        <f t="shared" si="46"/>
        <v>0</v>
      </c>
      <c r="Y331" s="18" t="str">
        <f t="shared" si="47"/>
        <v/>
      </c>
      <c r="Z331" s="15" t="str">
        <f>IF(S331=1,IFERROR(INDEX(Settings!$E$12:$E$41,MATCH($B331,Settings!$A$12:$A$41,0)),"N"),"")</f>
        <v/>
      </c>
      <c r="AA331" s="17">
        <f>IF(S331=1,IFERROR(INDEX(Settings!$F$12:$F$41,MATCH($B331,Settings!$A$12:$A$41,0)),0),0)</f>
        <v>0</v>
      </c>
      <c r="AB331" s="15">
        <f>IF(S331=1,IFERROR(INDEX(Settings!$G$12:$G$41,MATCH($B331,Settings!$A$12:$A$41,0)),0),0)</f>
        <v>0</v>
      </c>
      <c r="AC331" s="18" t="str">
        <f t="shared" si="48"/>
        <v/>
      </c>
      <c r="AD331" s="15" t="str">
        <f t="shared" si="49"/>
        <v/>
      </c>
      <c r="AE331" s="15" t="str">
        <f t="shared" si="50"/>
        <v/>
      </c>
      <c r="AF331" s="15" t="str">
        <f t="shared" si="51"/>
        <v/>
      </c>
      <c r="AG331" s="18">
        <f>IF(AND(S331=1,Z331="Y"),IF(Settings!$B$6="Percentage",IF(AD331=0,0,AC331*AA331*(N331/AD331)),IF(Settings!$B$6="Points",IF(AF331=0,0,AC331*(N331*AB331)/AF331),IF(Settings!$B$6="Equally",IF(AE331=0,0,AC331*N331/AE331),0))),0)</f>
        <v>0</v>
      </c>
      <c r="AH331" s="18" t="str">
        <f t="shared" si="52"/>
        <v/>
      </c>
      <c r="AI331" s="15">
        <f>IF(S331=1,IF(COUNTIFS($R$2:R331,R331,$S$2:S331,1)=1,1,0),0)</f>
        <v>0</v>
      </c>
      <c r="AJ331" s="15">
        <f>SUM($AI$2:AI331)</f>
        <v>12</v>
      </c>
    </row>
    <row r="332" spans="18:36">
      <c r="R332" s="15" t="str">
        <f t="shared" si="53"/>
        <v/>
      </c>
      <c r="S332" s="15">
        <f t="shared" si="45"/>
        <v>0</v>
      </c>
      <c r="T332" s="16" t="str">
        <f>IF(S332=1, DATE(YEAR(Settings!$B$3), MONTH(D332), DAY(D332)), "")</f>
        <v/>
      </c>
      <c r="U332" s="15" t="str">
        <f>IF(S332=1,IFERROR(INDEX(Settings!$B$12:$B$41,MATCH($B332,Settings!$A$12:$A$41,0)),"N"),"")</f>
        <v/>
      </c>
      <c r="V332" s="15" t="str">
        <f>IF(S332=1,IFERROR(INDEX(Settings!$C$12:$C$41,MATCH($B332,Settings!$A$12:$A$41,0)),""),"")</f>
        <v/>
      </c>
      <c r="W332" s="17">
        <f>IF(S332=1,IFERROR(INDEX(Settings!$D$12:$D$41,MATCH($B332,Settings!$A$12:$A$41,0)),0),0)</f>
        <v>0</v>
      </c>
      <c r="X332" s="18">
        <f t="shared" si="46"/>
        <v>0</v>
      </c>
      <c r="Y332" s="18" t="str">
        <f t="shared" si="47"/>
        <v/>
      </c>
      <c r="Z332" s="15" t="str">
        <f>IF(S332=1,IFERROR(INDEX(Settings!$E$12:$E$41,MATCH($B332,Settings!$A$12:$A$41,0)),"N"),"")</f>
        <v/>
      </c>
      <c r="AA332" s="17">
        <f>IF(S332=1,IFERROR(INDEX(Settings!$F$12:$F$41,MATCH($B332,Settings!$A$12:$A$41,0)),0),0)</f>
        <v>0</v>
      </c>
      <c r="AB332" s="15">
        <f>IF(S332=1,IFERROR(INDEX(Settings!$G$12:$G$41,MATCH($B332,Settings!$A$12:$A$41,0)),0),0)</f>
        <v>0</v>
      </c>
      <c r="AC332" s="18" t="str">
        <f t="shared" si="48"/>
        <v/>
      </c>
      <c r="AD332" s="15" t="str">
        <f t="shared" si="49"/>
        <v/>
      </c>
      <c r="AE332" s="15" t="str">
        <f t="shared" si="50"/>
        <v/>
      </c>
      <c r="AF332" s="15" t="str">
        <f t="shared" si="51"/>
        <v/>
      </c>
      <c r="AG332" s="18">
        <f>IF(AND(S332=1,Z332="Y"),IF(Settings!$B$6="Percentage",IF(AD332=0,0,AC332*AA332*(N332/AD332)),IF(Settings!$B$6="Points",IF(AF332=0,0,AC332*(N332*AB332)/AF332),IF(Settings!$B$6="Equally",IF(AE332=0,0,AC332*N332/AE332),0))),0)</f>
        <v>0</v>
      </c>
      <c r="AH332" s="18" t="str">
        <f t="shared" si="52"/>
        <v/>
      </c>
      <c r="AI332" s="15">
        <f>IF(S332=1,IF(COUNTIFS($R$2:R332,R332,$S$2:S332,1)=1,1,0),0)</f>
        <v>0</v>
      </c>
      <c r="AJ332" s="15">
        <f>SUM($AI$2:AI332)</f>
        <v>12</v>
      </c>
    </row>
    <row r="333" spans="18:36">
      <c r="R333" s="15" t="str">
        <f t="shared" si="53"/>
        <v/>
      </c>
      <c r="S333" s="15">
        <f t="shared" si="45"/>
        <v>0</v>
      </c>
      <c r="T333" s="16" t="str">
        <f>IF(S333=1, DATE(YEAR(Settings!$B$3), MONTH(D333), DAY(D333)), "")</f>
        <v/>
      </c>
      <c r="U333" s="15" t="str">
        <f>IF(S333=1,IFERROR(INDEX(Settings!$B$12:$B$41,MATCH($B333,Settings!$A$12:$A$41,0)),"N"),"")</f>
        <v/>
      </c>
      <c r="V333" s="15" t="str">
        <f>IF(S333=1,IFERROR(INDEX(Settings!$C$12:$C$41,MATCH($B333,Settings!$A$12:$A$41,0)),""),"")</f>
        <v/>
      </c>
      <c r="W333" s="17">
        <f>IF(S333=1,IFERROR(INDEX(Settings!$D$12:$D$41,MATCH($B333,Settings!$A$12:$A$41,0)),0),0)</f>
        <v>0</v>
      </c>
      <c r="X333" s="18">
        <f t="shared" si="46"/>
        <v>0</v>
      </c>
      <c r="Y333" s="18" t="str">
        <f t="shared" si="47"/>
        <v/>
      </c>
      <c r="Z333" s="15" t="str">
        <f>IF(S333=1,IFERROR(INDEX(Settings!$E$12:$E$41,MATCH($B333,Settings!$A$12:$A$41,0)),"N"),"")</f>
        <v/>
      </c>
      <c r="AA333" s="17">
        <f>IF(S333=1,IFERROR(INDEX(Settings!$F$12:$F$41,MATCH($B333,Settings!$A$12:$A$41,0)),0),0)</f>
        <v>0</v>
      </c>
      <c r="AB333" s="15">
        <f>IF(S333=1,IFERROR(INDEX(Settings!$G$12:$G$41,MATCH($B333,Settings!$A$12:$A$41,0)),0),0)</f>
        <v>0</v>
      </c>
      <c r="AC333" s="18" t="str">
        <f t="shared" si="48"/>
        <v/>
      </c>
      <c r="AD333" s="15" t="str">
        <f t="shared" si="49"/>
        <v/>
      </c>
      <c r="AE333" s="15" t="str">
        <f t="shared" si="50"/>
        <v/>
      </c>
      <c r="AF333" s="15" t="str">
        <f t="shared" si="51"/>
        <v/>
      </c>
      <c r="AG333" s="18">
        <f>IF(AND(S333=1,Z333="Y"),IF(Settings!$B$6="Percentage",IF(AD333=0,0,AC333*AA333*(N333/AD333)),IF(Settings!$B$6="Points",IF(AF333=0,0,AC333*(N333*AB333)/AF333),IF(Settings!$B$6="Equally",IF(AE333=0,0,AC333*N333/AE333),0))),0)</f>
        <v>0</v>
      </c>
      <c r="AH333" s="18" t="str">
        <f t="shared" si="52"/>
        <v/>
      </c>
      <c r="AI333" s="15">
        <f>IF(S333=1,IF(COUNTIFS($R$2:R333,R333,$S$2:S333,1)=1,1,0),0)</f>
        <v>0</v>
      </c>
      <c r="AJ333" s="15">
        <f>SUM($AI$2:AI333)</f>
        <v>12</v>
      </c>
    </row>
    <row r="334" spans="18:36">
      <c r="R334" s="15" t="str">
        <f t="shared" si="53"/>
        <v/>
      </c>
      <c r="S334" s="15">
        <f t="shared" si="45"/>
        <v>0</v>
      </c>
      <c r="T334" s="16" t="str">
        <f>IF(S334=1, DATE(YEAR(Settings!$B$3), MONTH(D334), DAY(D334)), "")</f>
        <v/>
      </c>
      <c r="U334" s="15" t="str">
        <f>IF(S334=1,IFERROR(INDEX(Settings!$B$12:$B$41,MATCH($B334,Settings!$A$12:$A$41,0)),"N"),"")</f>
        <v/>
      </c>
      <c r="V334" s="15" t="str">
        <f>IF(S334=1,IFERROR(INDEX(Settings!$C$12:$C$41,MATCH($B334,Settings!$A$12:$A$41,0)),""),"")</f>
        <v/>
      </c>
      <c r="W334" s="17">
        <f>IF(S334=1,IFERROR(INDEX(Settings!$D$12:$D$41,MATCH($B334,Settings!$A$12:$A$41,0)),0),0)</f>
        <v>0</v>
      </c>
      <c r="X334" s="18">
        <f t="shared" si="46"/>
        <v>0</v>
      </c>
      <c r="Y334" s="18" t="str">
        <f t="shared" si="47"/>
        <v/>
      </c>
      <c r="Z334" s="15" t="str">
        <f>IF(S334=1,IFERROR(INDEX(Settings!$E$12:$E$41,MATCH($B334,Settings!$A$12:$A$41,0)),"N"),"")</f>
        <v/>
      </c>
      <c r="AA334" s="17">
        <f>IF(S334=1,IFERROR(INDEX(Settings!$F$12:$F$41,MATCH($B334,Settings!$A$12:$A$41,0)),0),0)</f>
        <v>0</v>
      </c>
      <c r="AB334" s="15">
        <f>IF(S334=1,IFERROR(INDEX(Settings!$G$12:$G$41,MATCH($B334,Settings!$A$12:$A$41,0)),0),0)</f>
        <v>0</v>
      </c>
      <c r="AC334" s="18" t="str">
        <f t="shared" si="48"/>
        <v/>
      </c>
      <c r="AD334" s="15" t="str">
        <f t="shared" si="49"/>
        <v/>
      </c>
      <c r="AE334" s="15" t="str">
        <f t="shared" si="50"/>
        <v/>
      </c>
      <c r="AF334" s="15" t="str">
        <f t="shared" si="51"/>
        <v/>
      </c>
      <c r="AG334" s="18">
        <f>IF(AND(S334=1,Z334="Y"),IF(Settings!$B$6="Percentage",IF(AD334=0,0,AC334*AA334*(N334/AD334)),IF(Settings!$B$6="Points",IF(AF334=0,0,AC334*(N334*AB334)/AF334),IF(Settings!$B$6="Equally",IF(AE334=0,0,AC334*N334/AE334),0))),0)</f>
        <v>0</v>
      </c>
      <c r="AH334" s="18" t="str">
        <f t="shared" si="52"/>
        <v/>
      </c>
      <c r="AI334" s="15">
        <f>IF(S334=1,IF(COUNTIFS($R$2:R334,R334,$S$2:S334,1)=1,1,0),0)</f>
        <v>0</v>
      </c>
      <c r="AJ334" s="15">
        <f>SUM($AI$2:AI334)</f>
        <v>12</v>
      </c>
    </row>
    <row r="335" spans="18:36">
      <c r="R335" s="15" t="str">
        <f t="shared" si="53"/>
        <v/>
      </c>
      <c r="S335" s="15">
        <f t="shared" si="45"/>
        <v>0</v>
      </c>
      <c r="T335" s="16" t="str">
        <f>IF(S335=1, DATE(YEAR(Settings!$B$3), MONTH(D335), DAY(D335)), "")</f>
        <v/>
      </c>
      <c r="U335" s="15" t="str">
        <f>IF(S335=1,IFERROR(INDEX(Settings!$B$12:$B$41,MATCH($B335,Settings!$A$12:$A$41,0)),"N"),"")</f>
        <v/>
      </c>
      <c r="V335" s="15" t="str">
        <f>IF(S335=1,IFERROR(INDEX(Settings!$C$12:$C$41,MATCH($B335,Settings!$A$12:$A$41,0)),""),"")</f>
        <v/>
      </c>
      <c r="W335" s="17">
        <f>IF(S335=1,IFERROR(INDEX(Settings!$D$12:$D$41,MATCH($B335,Settings!$A$12:$A$41,0)),0),0)</f>
        <v>0</v>
      </c>
      <c r="X335" s="18">
        <f t="shared" si="46"/>
        <v>0</v>
      </c>
      <c r="Y335" s="18" t="str">
        <f t="shared" si="47"/>
        <v/>
      </c>
      <c r="Z335" s="15" t="str">
        <f>IF(S335=1,IFERROR(INDEX(Settings!$E$12:$E$41,MATCH($B335,Settings!$A$12:$A$41,0)),"N"),"")</f>
        <v/>
      </c>
      <c r="AA335" s="17">
        <f>IF(S335=1,IFERROR(INDEX(Settings!$F$12:$F$41,MATCH($B335,Settings!$A$12:$A$41,0)),0),0)</f>
        <v>0</v>
      </c>
      <c r="AB335" s="15">
        <f>IF(S335=1,IFERROR(INDEX(Settings!$G$12:$G$41,MATCH($B335,Settings!$A$12:$A$41,0)),0),0)</f>
        <v>0</v>
      </c>
      <c r="AC335" s="18" t="str">
        <f t="shared" si="48"/>
        <v/>
      </c>
      <c r="AD335" s="15" t="str">
        <f t="shared" si="49"/>
        <v/>
      </c>
      <c r="AE335" s="15" t="str">
        <f t="shared" si="50"/>
        <v/>
      </c>
      <c r="AF335" s="15" t="str">
        <f t="shared" si="51"/>
        <v/>
      </c>
      <c r="AG335" s="18">
        <f>IF(AND(S335=1,Z335="Y"),IF(Settings!$B$6="Percentage",IF(AD335=0,0,AC335*AA335*(N335/AD335)),IF(Settings!$B$6="Points",IF(AF335=0,0,AC335*(N335*AB335)/AF335),IF(Settings!$B$6="Equally",IF(AE335=0,0,AC335*N335/AE335),0))),0)</f>
        <v>0</v>
      </c>
      <c r="AH335" s="18" t="str">
        <f t="shared" si="52"/>
        <v/>
      </c>
      <c r="AI335" s="15">
        <f>IF(S335=1,IF(COUNTIFS($R$2:R335,R335,$S$2:S335,1)=1,1,0),0)</f>
        <v>0</v>
      </c>
      <c r="AJ335" s="15">
        <f>SUM($AI$2:AI335)</f>
        <v>12</v>
      </c>
    </row>
    <row r="336" spans="18:36">
      <c r="R336" s="15" t="str">
        <f t="shared" si="53"/>
        <v/>
      </c>
      <c r="S336" s="15">
        <f t="shared" si="45"/>
        <v>0</v>
      </c>
      <c r="T336" s="16" t="str">
        <f>IF(S336=1, DATE(YEAR(Settings!$B$3), MONTH(D336), DAY(D336)), "")</f>
        <v/>
      </c>
      <c r="U336" s="15" t="str">
        <f>IF(S336=1,IFERROR(INDEX(Settings!$B$12:$B$41,MATCH($B336,Settings!$A$12:$A$41,0)),"N"),"")</f>
        <v/>
      </c>
      <c r="V336" s="15" t="str">
        <f>IF(S336=1,IFERROR(INDEX(Settings!$C$12:$C$41,MATCH($B336,Settings!$A$12:$A$41,0)),""),"")</f>
        <v/>
      </c>
      <c r="W336" s="17">
        <f>IF(S336=1,IFERROR(INDEX(Settings!$D$12:$D$41,MATCH($B336,Settings!$A$12:$A$41,0)),0),0)</f>
        <v>0</v>
      </c>
      <c r="X336" s="18">
        <f t="shared" si="46"/>
        <v>0</v>
      </c>
      <c r="Y336" s="18" t="str">
        <f t="shared" si="47"/>
        <v/>
      </c>
      <c r="Z336" s="15" t="str">
        <f>IF(S336=1,IFERROR(INDEX(Settings!$E$12:$E$41,MATCH($B336,Settings!$A$12:$A$41,0)),"N"),"")</f>
        <v/>
      </c>
      <c r="AA336" s="17">
        <f>IF(S336=1,IFERROR(INDEX(Settings!$F$12:$F$41,MATCH($B336,Settings!$A$12:$A$41,0)),0),0)</f>
        <v>0</v>
      </c>
      <c r="AB336" s="15">
        <f>IF(S336=1,IFERROR(INDEX(Settings!$G$12:$G$41,MATCH($B336,Settings!$A$12:$A$41,0)),0),0)</f>
        <v>0</v>
      </c>
      <c r="AC336" s="18" t="str">
        <f t="shared" si="48"/>
        <v/>
      </c>
      <c r="AD336" s="15" t="str">
        <f t="shared" si="49"/>
        <v/>
      </c>
      <c r="AE336" s="15" t="str">
        <f t="shared" si="50"/>
        <v/>
      </c>
      <c r="AF336" s="15" t="str">
        <f t="shared" si="51"/>
        <v/>
      </c>
      <c r="AG336" s="18">
        <f>IF(AND(S336=1,Z336="Y"),IF(Settings!$B$6="Percentage",IF(AD336=0,0,AC336*AA336*(N336/AD336)),IF(Settings!$B$6="Points",IF(AF336=0,0,AC336*(N336*AB336)/AF336),IF(Settings!$B$6="Equally",IF(AE336=0,0,AC336*N336/AE336),0))),0)</f>
        <v>0</v>
      </c>
      <c r="AH336" s="18" t="str">
        <f t="shared" si="52"/>
        <v/>
      </c>
      <c r="AI336" s="15">
        <f>IF(S336=1,IF(COUNTIFS($R$2:R336,R336,$S$2:S336,1)=1,1,0),0)</f>
        <v>0</v>
      </c>
      <c r="AJ336" s="15">
        <f>SUM($AI$2:AI336)</f>
        <v>12</v>
      </c>
    </row>
    <row r="337" spans="18:36">
      <c r="R337" s="15" t="str">
        <f t="shared" si="53"/>
        <v/>
      </c>
      <c r="S337" s="15">
        <f t="shared" si="45"/>
        <v>0</v>
      </c>
      <c r="T337" s="16" t="str">
        <f>IF(S337=1, DATE(YEAR(Settings!$B$3), MONTH(D337), DAY(D337)), "")</f>
        <v/>
      </c>
      <c r="U337" s="15" t="str">
        <f>IF(S337=1,IFERROR(INDEX(Settings!$B$12:$B$41,MATCH($B337,Settings!$A$12:$A$41,0)),"N"),"")</f>
        <v/>
      </c>
      <c r="V337" s="15" t="str">
        <f>IF(S337=1,IFERROR(INDEX(Settings!$C$12:$C$41,MATCH($B337,Settings!$A$12:$A$41,0)),""),"")</f>
        <v/>
      </c>
      <c r="W337" s="17">
        <f>IF(S337=1,IFERROR(INDEX(Settings!$D$12:$D$41,MATCH($B337,Settings!$A$12:$A$41,0)),0),0)</f>
        <v>0</v>
      </c>
      <c r="X337" s="18">
        <f t="shared" si="46"/>
        <v>0</v>
      </c>
      <c r="Y337" s="18" t="str">
        <f t="shared" si="47"/>
        <v/>
      </c>
      <c r="Z337" s="15" t="str">
        <f>IF(S337=1,IFERROR(INDEX(Settings!$E$12:$E$41,MATCH($B337,Settings!$A$12:$A$41,0)),"N"),"")</f>
        <v/>
      </c>
      <c r="AA337" s="17">
        <f>IF(S337=1,IFERROR(INDEX(Settings!$F$12:$F$41,MATCH($B337,Settings!$A$12:$A$41,0)),0),0)</f>
        <v>0</v>
      </c>
      <c r="AB337" s="15">
        <f>IF(S337=1,IFERROR(INDEX(Settings!$G$12:$G$41,MATCH($B337,Settings!$A$12:$A$41,0)),0),0)</f>
        <v>0</v>
      </c>
      <c r="AC337" s="18" t="str">
        <f t="shared" si="48"/>
        <v/>
      </c>
      <c r="AD337" s="15" t="str">
        <f t="shared" si="49"/>
        <v/>
      </c>
      <c r="AE337" s="15" t="str">
        <f t="shared" si="50"/>
        <v/>
      </c>
      <c r="AF337" s="15" t="str">
        <f t="shared" si="51"/>
        <v/>
      </c>
      <c r="AG337" s="18">
        <f>IF(AND(S337=1,Z337="Y"),IF(Settings!$B$6="Percentage",IF(AD337=0,0,AC337*AA337*(N337/AD337)),IF(Settings!$B$6="Points",IF(AF337=0,0,AC337*(N337*AB337)/AF337),IF(Settings!$B$6="Equally",IF(AE337=0,0,AC337*N337/AE337),0))),0)</f>
        <v>0</v>
      </c>
      <c r="AH337" s="18" t="str">
        <f t="shared" si="52"/>
        <v/>
      </c>
      <c r="AI337" s="15">
        <f>IF(S337=1,IF(COUNTIFS($R$2:R337,R337,$S$2:S337,1)=1,1,0),0)</f>
        <v>0</v>
      </c>
      <c r="AJ337" s="15">
        <f>SUM($AI$2:AI337)</f>
        <v>12</v>
      </c>
    </row>
    <row r="338" spans="18:36">
      <c r="R338" s="15" t="str">
        <f t="shared" si="53"/>
        <v/>
      </c>
      <c r="S338" s="15">
        <f t="shared" si="45"/>
        <v>0</v>
      </c>
      <c r="T338" s="16" t="str">
        <f>IF(S338=1, DATE(YEAR(Settings!$B$3), MONTH(D338), DAY(D338)), "")</f>
        <v/>
      </c>
      <c r="U338" s="15" t="str">
        <f>IF(S338=1,IFERROR(INDEX(Settings!$B$12:$B$41,MATCH($B338,Settings!$A$12:$A$41,0)),"N"),"")</f>
        <v/>
      </c>
      <c r="V338" s="15" t="str">
        <f>IF(S338=1,IFERROR(INDEX(Settings!$C$12:$C$41,MATCH($B338,Settings!$A$12:$A$41,0)),""),"")</f>
        <v/>
      </c>
      <c r="W338" s="17">
        <f>IF(S338=1,IFERROR(INDEX(Settings!$D$12:$D$41,MATCH($B338,Settings!$A$12:$A$41,0)),0),0)</f>
        <v>0</v>
      </c>
      <c r="X338" s="18">
        <f t="shared" si="46"/>
        <v>0</v>
      </c>
      <c r="Y338" s="18" t="str">
        <f t="shared" si="47"/>
        <v/>
      </c>
      <c r="Z338" s="15" t="str">
        <f>IF(S338=1,IFERROR(INDEX(Settings!$E$12:$E$41,MATCH($B338,Settings!$A$12:$A$41,0)),"N"),"")</f>
        <v/>
      </c>
      <c r="AA338" s="17">
        <f>IF(S338=1,IFERROR(INDEX(Settings!$F$12:$F$41,MATCH($B338,Settings!$A$12:$A$41,0)),0),0)</f>
        <v>0</v>
      </c>
      <c r="AB338" s="15">
        <f>IF(S338=1,IFERROR(INDEX(Settings!$G$12:$G$41,MATCH($B338,Settings!$A$12:$A$41,0)),0),0)</f>
        <v>0</v>
      </c>
      <c r="AC338" s="18" t="str">
        <f t="shared" si="48"/>
        <v/>
      </c>
      <c r="AD338" s="15" t="str">
        <f t="shared" si="49"/>
        <v/>
      </c>
      <c r="AE338" s="15" t="str">
        <f t="shared" si="50"/>
        <v/>
      </c>
      <c r="AF338" s="15" t="str">
        <f t="shared" si="51"/>
        <v/>
      </c>
      <c r="AG338" s="18">
        <f>IF(AND(S338=1,Z338="Y"),IF(Settings!$B$6="Percentage",IF(AD338=0,0,AC338*AA338*(N338/AD338)),IF(Settings!$B$6="Points",IF(AF338=0,0,AC338*(N338*AB338)/AF338),IF(Settings!$B$6="Equally",IF(AE338=0,0,AC338*N338/AE338),0))),0)</f>
        <v>0</v>
      </c>
      <c r="AH338" s="18" t="str">
        <f t="shared" si="52"/>
        <v/>
      </c>
      <c r="AI338" s="15">
        <f>IF(S338=1,IF(COUNTIFS($R$2:R338,R338,$S$2:S338,1)=1,1,0),0)</f>
        <v>0</v>
      </c>
      <c r="AJ338" s="15">
        <f>SUM($AI$2:AI338)</f>
        <v>12</v>
      </c>
    </row>
    <row r="339" spans="18:36">
      <c r="R339" s="15" t="str">
        <f t="shared" si="53"/>
        <v/>
      </c>
      <c r="S339" s="15">
        <f t="shared" si="45"/>
        <v>0</v>
      </c>
      <c r="T339" s="16" t="str">
        <f>IF(S339=1, DATE(YEAR(Settings!$B$3), MONTH(D339), DAY(D339)), "")</f>
        <v/>
      </c>
      <c r="U339" s="15" t="str">
        <f>IF(S339=1,IFERROR(INDEX(Settings!$B$12:$B$41,MATCH($B339,Settings!$A$12:$A$41,0)),"N"),"")</f>
        <v/>
      </c>
      <c r="V339" s="15" t="str">
        <f>IF(S339=1,IFERROR(INDEX(Settings!$C$12:$C$41,MATCH($B339,Settings!$A$12:$A$41,0)),""),"")</f>
        <v/>
      </c>
      <c r="W339" s="17">
        <f>IF(S339=1,IFERROR(INDEX(Settings!$D$12:$D$41,MATCH($B339,Settings!$A$12:$A$41,0)),0),0)</f>
        <v>0</v>
      </c>
      <c r="X339" s="18">
        <f t="shared" si="46"/>
        <v>0</v>
      </c>
      <c r="Y339" s="18" t="str">
        <f t="shared" si="47"/>
        <v/>
      </c>
      <c r="Z339" s="15" t="str">
        <f>IF(S339=1,IFERROR(INDEX(Settings!$E$12:$E$41,MATCH($B339,Settings!$A$12:$A$41,0)),"N"),"")</f>
        <v/>
      </c>
      <c r="AA339" s="17">
        <f>IF(S339=1,IFERROR(INDEX(Settings!$F$12:$F$41,MATCH($B339,Settings!$A$12:$A$41,0)),0),0)</f>
        <v>0</v>
      </c>
      <c r="AB339" s="15">
        <f>IF(S339=1,IFERROR(INDEX(Settings!$G$12:$G$41,MATCH($B339,Settings!$A$12:$A$41,0)),0),0)</f>
        <v>0</v>
      </c>
      <c r="AC339" s="18" t="str">
        <f t="shared" si="48"/>
        <v/>
      </c>
      <c r="AD339" s="15" t="str">
        <f t="shared" si="49"/>
        <v/>
      </c>
      <c r="AE339" s="15" t="str">
        <f t="shared" si="50"/>
        <v/>
      </c>
      <c r="AF339" s="15" t="str">
        <f t="shared" si="51"/>
        <v/>
      </c>
      <c r="AG339" s="18">
        <f>IF(AND(S339=1,Z339="Y"),IF(Settings!$B$6="Percentage",IF(AD339=0,0,AC339*AA339*(N339/AD339)),IF(Settings!$B$6="Points",IF(AF339=0,0,AC339*(N339*AB339)/AF339),IF(Settings!$B$6="Equally",IF(AE339=0,0,AC339*N339/AE339),0))),0)</f>
        <v>0</v>
      </c>
      <c r="AH339" s="18" t="str">
        <f t="shared" si="52"/>
        <v/>
      </c>
      <c r="AI339" s="15">
        <f>IF(S339=1,IF(COUNTIFS($R$2:R339,R339,$S$2:S339,1)=1,1,0),0)</f>
        <v>0</v>
      </c>
      <c r="AJ339" s="15">
        <f>SUM($AI$2:AI339)</f>
        <v>12</v>
      </c>
    </row>
    <row r="340" spans="18:36">
      <c r="R340" s="15" t="str">
        <f t="shared" si="53"/>
        <v/>
      </c>
      <c r="S340" s="15">
        <f t="shared" si="45"/>
        <v>0</v>
      </c>
      <c r="T340" s="16" t="str">
        <f>IF(S340=1, DATE(YEAR(Settings!$B$3), MONTH(D340), DAY(D340)), "")</f>
        <v/>
      </c>
      <c r="U340" s="15" t="str">
        <f>IF(S340=1,IFERROR(INDEX(Settings!$B$12:$B$41,MATCH($B340,Settings!$A$12:$A$41,0)),"N"),"")</f>
        <v/>
      </c>
      <c r="V340" s="15" t="str">
        <f>IF(S340=1,IFERROR(INDEX(Settings!$C$12:$C$41,MATCH($B340,Settings!$A$12:$A$41,0)),""),"")</f>
        <v/>
      </c>
      <c r="W340" s="17">
        <f>IF(S340=1,IFERROR(INDEX(Settings!$D$12:$D$41,MATCH($B340,Settings!$A$12:$A$41,0)),0),0)</f>
        <v>0</v>
      </c>
      <c r="X340" s="18">
        <f t="shared" si="46"/>
        <v>0</v>
      </c>
      <c r="Y340" s="18" t="str">
        <f t="shared" si="47"/>
        <v/>
      </c>
      <c r="Z340" s="15" t="str">
        <f>IF(S340=1,IFERROR(INDEX(Settings!$E$12:$E$41,MATCH($B340,Settings!$A$12:$A$41,0)),"N"),"")</f>
        <v/>
      </c>
      <c r="AA340" s="17">
        <f>IF(S340=1,IFERROR(INDEX(Settings!$F$12:$F$41,MATCH($B340,Settings!$A$12:$A$41,0)),0),0)</f>
        <v>0</v>
      </c>
      <c r="AB340" s="15">
        <f>IF(S340=1,IFERROR(INDEX(Settings!$G$12:$G$41,MATCH($B340,Settings!$A$12:$A$41,0)),0),0)</f>
        <v>0</v>
      </c>
      <c r="AC340" s="18" t="str">
        <f t="shared" si="48"/>
        <v/>
      </c>
      <c r="AD340" s="15" t="str">
        <f t="shared" si="49"/>
        <v/>
      </c>
      <c r="AE340" s="15" t="str">
        <f t="shared" si="50"/>
        <v/>
      </c>
      <c r="AF340" s="15" t="str">
        <f t="shared" si="51"/>
        <v/>
      </c>
      <c r="AG340" s="18">
        <f>IF(AND(S340=1,Z340="Y"),IF(Settings!$B$6="Percentage",IF(AD340=0,0,AC340*AA340*(N340/AD340)),IF(Settings!$B$6="Points",IF(AF340=0,0,AC340*(N340*AB340)/AF340),IF(Settings!$B$6="Equally",IF(AE340=0,0,AC340*N340/AE340),0))),0)</f>
        <v>0</v>
      </c>
      <c r="AH340" s="18" t="str">
        <f t="shared" si="52"/>
        <v/>
      </c>
      <c r="AI340" s="15">
        <f>IF(S340=1,IF(COUNTIFS($R$2:R340,R340,$S$2:S340,1)=1,1,0),0)</f>
        <v>0</v>
      </c>
      <c r="AJ340" s="15">
        <f>SUM($AI$2:AI340)</f>
        <v>12</v>
      </c>
    </row>
    <row r="341" spans="18:36">
      <c r="R341" s="15" t="str">
        <f t="shared" si="53"/>
        <v/>
      </c>
      <c r="S341" s="15">
        <f t="shared" si="45"/>
        <v>0</v>
      </c>
      <c r="T341" s="16" t="str">
        <f>IF(S341=1, DATE(YEAR(Settings!$B$3), MONTH(D341), DAY(D341)), "")</f>
        <v/>
      </c>
      <c r="U341" s="15" t="str">
        <f>IF(S341=1,IFERROR(INDEX(Settings!$B$12:$B$41,MATCH($B341,Settings!$A$12:$A$41,0)),"N"),"")</f>
        <v/>
      </c>
      <c r="V341" s="15" t="str">
        <f>IF(S341=1,IFERROR(INDEX(Settings!$C$12:$C$41,MATCH($B341,Settings!$A$12:$A$41,0)),""),"")</f>
        <v/>
      </c>
      <c r="W341" s="17">
        <f>IF(S341=1,IFERROR(INDEX(Settings!$D$12:$D$41,MATCH($B341,Settings!$A$12:$A$41,0)),0),0)</f>
        <v>0</v>
      </c>
      <c r="X341" s="18">
        <f t="shared" si="46"/>
        <v>0</v>
      </c>
      <c r="Y341" s="18" t="str">
        <f t="shared" si="47"/>
        <v/>
      </c>
      <c r="Z341" s="15" t="str">
        <f>IF(S341=1,IFERROR(INDEX(Settings!$E$12:$E$41,MATCH($B341,Settings!$A$12:$A$41,0)),"N"),"")</f>
        <v/>
      </c>
      <c r="AA341" s="17">
        <f>IF(S341=1,IFERROR(INDEX(Settings!$F$12:$F$41,MATCH($B341,Settings!$A$12:$A$41,0)),0),0)</f>
        <v>0</v>
      </c>
      <c r="AB341" s="15">
        <f>IF(S341=1,IFERROR(INDEX(Settings!$G$12:$G$41,MATCH($B341,Settings!$A$12:$A$41,0)),0),0)</f>
        <v>0</v>
      </c>
      <c r="AC341" s="18" t="str">
        <f t="shared" si="48"/>
        <v/>
      </c>
      <c r="AD341" s="15" t="str">
        <f t="shared" si="49"/>
        <v/>
      </c>
      <c r="AE341" s="15" t="str">
        <f t="shared" si="50"/>
        <v/>
      </c>
      <c r="AF341" s="15" t="str">
        <f t="shared" si="51"/>
        <v/>
      </c>
      <c r="AG341" s="18">
        <f>IF(AND(S341=1,Z341="Y"),IF(Settings!$B$6="Percentage",IF(AD341=0,0,AC341*AA341*(N341/AD341)),IF(Settings!$B$6="Points",IF(AF341=0,0,AC341*(N341*AB341)/AF341),IF(Settings!$B$6="Equally",IF(AE341=0,0,AC341*N341/AE341),0))),0)</f>
        <v>0</v>
      </c>
      <c r="AH341" s="18" t="str">
        <f t="shared" si="52"/>
        <v/>
      </c>
      <c r="AI341" s="15">
        <f>IF(S341=1,IF(COUNTIFS($R$2:R341,R341,$S$2:S341,1)=1,1,0),0)</f>
        <v>0</v>
      </c>
      <c r="AJ341" s="15">
        <f>SUM($AI$2:AI341)</f>
        <v>12</v>
      </c>
    </row>
    <row r="342" spans="18:36">
      <c r="R342" s="15" t="str">
        <f t="shared" si="53"/>
        <v/>
      </c>
      <c r="S342" s="15">
        <f t="shared" si="45"/>
        <v>0</v>
      </c>
      <c r="T342" s="16" t="str">
        <f>IF(S342=1, DATE(YEAR(Settings!$B$3), MONTH(D342), DAY(D342)), "")</f>
        <v/>
      </c>
      <c r="U342" s="15" t="str">
        <f>IF(S342=1,IFERROR(INDEX(Settings!$B$12:$B$41,MATCH($B342,Settings!$A$12:$A$41,0)),"N"),"")</f>
        <v/>
      </c>
      <c r="V342" s="15" t="str">
        <f>IF(S342=1,IFERROR(INDEX(Settings!$C$12:$C$41,MATCH($B342,Settings!$A$12:$A$41,0)),""),"")</f>
        <v/>
      </c>
      <c r="W342" s="17">
        <f>IF(S342=1,IFERROR(INDEX(Settings!$D$12:$D$41,MATCH($B342,Settings!$A$12:$A$41,0)),0),0)</f>
        <v>0</v>
      </c>
      <c r="X342" s="18">
        <f t="shared" si="46"/>
        <v>0</v>
      </c>
      <c r="Y342" s="18" t="str">
        <f t="shared" si="47"/>
        <v/>
      </c>
      <c r="Z342" s="15" t="str">
        <f>IF(S342=1,IFERROR(INDEX(Settings!$E$12:$E$41,MATCH($B342,Settings!$A$12:$A$41,0)),"N"),"")</f>
        <v/>
      </c>
      <c r="AA342" s="17">
        <f>IF(S342=1,IFERROR(INDEX(Settings!$F$12:$F$41,MATCH($B342,Settings!$A$12:$A$41,0)),0),0)</f>
        <v>0</v>
      </c>
      <c r="AB342" s="15">
        <f>IF(S342=1,IFERROR(INDEX(Settings!$G$12:$G$41,MATCH($B342,Settings!$A$12:$A$41,0)),0),0)</f>
        <v>0</v>
      </c>
      <c r="AC342" s="18" t="str">
        <f t="shared" si="48"/>
        <v/>
      </c>
      <c r="AD342" s="15" t="str">
        <f t="shared" si="49"/>
        <v/>
      </c>
      <c r="AE342" s="15" t="str">
        <f t="shared" si="50"/>
        <v/>
      </c>
      <c r="AF342" s="15" t="str">
        <f t="shared" si="51"/>
        <v/>
      </c>
      <c r="AG342" s="18">
        <f>IF(AND(S342=1,Z342="Y"),IF(Settings!$B$6="Percentage",IF(AD342=0,0,AC342*AA342*(N342/AD342)),IF(Settings!$B$6="Points",IF(AF342=0,0,AC342*(N342*AB342)/AF342),IF(Settings!$B$6="Equally",IF(AE342=0,0,AC342*N342/AE342),0))),0)</f>
        <v>0</v>
      </c>
      <c r="AH342" s="18" t="str">
        <f t="shared" si="52"/>
        <v/>
      </c>
      <c r="AI342" s="15">
        <f>IF(S342=1,IF(COUNTIFS($R$2:R342,R342,$S$2:S342,1)=1,1,0),0)</f>
        <v>0</v>
      </c>
      <c r="AJ342" s="15">
        <f>SUM($AI$2:AI342)</f>
        <v>12</v>
      </c>
    </row>
    <row r="343" spans="18:36">
      <c r="R343" s="15" t="str">
        <f t="shared" si="53"/>
        <v/>
      </c>
      <c r="S343" s="15">
        <f t="shared" si="45"/>
        <v>0</v>
      </c>
      <c r="T343" s="16" t="str">
        <f>IF(S343=1, DATE(YEAR(Settings!$B$3), MONTH(D343), DAY(D343)), "")</f>
        <v/>
      </c>
      <c r="U343" s="15" t="str">
        <f>IF(S343=1,IFERROR(INDEX(Settings!$B$12:$B$41,MATCH($B343,Settings!$A$12:$A$41,0)),"N"),"")</f>
        <v/>
      </c>
      <c r="V343" s="15" t="str">
        <f>IF(S343=1,IFERROR(INDEX(Settings!$C$12:$C$41,MATCH($B343,Settings!$A$12:$A$41,0)),""),"")</f>
        <v/>
      </c>
      <c r="W343" s="17">
        <f>IF(S343=1,IFERROR(INDEX(Settings!$D$12:$D$41,MATCH($B343,Settings!$A$12:$A$41,0)),0),0)</f>
        <v>0</v>
      </c>
      <c r="X343" s="18">
        <f t="shared" si="46"/>
        <v>0</v>
      </c>
      <c r="Y343" s="18" t="str">
        <f t="shared" si="47"/>
        <v/>
      </c>
      <c r="Z343" s="15" t="str">
        <f>IF(S343=1,IFERROR(INDEX(Settings!$E$12:$E$41,MATCH($B343,Settings!$A$12:$A$41,0)),"N"),"")</f>
        <v/>
      </c>
      <c r="AA343" s="17">
        <f>IF(S343=1,IFERROR(INDEX(Settings!$F$12:$F$41,MATCH($B343,Settings!$A$12:$A$41,0)),0),0)</f>
        <v>0</v>
      </c>
      <c r="AB343" s="15">
        <f>IF(S343=1,IFERROR(INDEX(Settings!$G$12:$G$41,MATCH($B343,Settings!$A$12:$A$41,0)),0),0)</f>
        <v>0</v>
      </c>
      <c r="AC343" s="18" t="str">
        <f t="shared" si="48"/>
        <v/>
      </c>
      <c r="AD343" s="15" t="str">
        <f t="shared" si="49"/>
        <v/>
      </c>
      <c r="AE343" s="15" t="str">
        <f t="shared" si="50"/>
        <v/>
      </c>
      <c r="AF343" s="15" t="str">
        <f t="shared" si="51"/>
        <v/>
      </c>
      <c r="AG343" s="18">
        <f>IF(AND(S343=1,Z343="Y"),IF(Settings!$B$6="Percentage",IF(AD343=0,0,AC343*AA343*(N343/AD343)),IF(Settings!$B$6="Points",IF(AF343=0,0,AC343*(N343*AB343)/AF343),IF(Settings!$B$6="Equally",IF(AE343=0,0,AC343*N343/AE343),0))),0)</f>
        <v>0</v>
      </c>
      <c r="AH343" s="18" t="str">
        <f t="shared" si="52"/>
        <v/>
      </c>
      <c r="AI343" s="15">
        <f>IF(S343=1,IF(COUNTIFS($R$2:R343,R343,$S$2:S343,1)=1,1,0),0)</f>
        <v>0</v>
      </c>
      <c r="AJ343" s="15">
        <f>SUM($AI$2:AI343)</f>
        <v>12</v>
      </c>
    </row>
    <row r="344" spans="18:36">
      <c r="R344" s="15" t="str">
        <f t="shared" si="53"/>
        <v/>
      </c>
      <c r="S344" s="15">
        <f t="shared" si="45"/>
        <v>0</v>
      </c>
      <c r="T344" s="16" t="str">
        <f>IF(S344=1, DATE(YEAR(Settings!$B$3), MONTH(D344), DAY(D344)), "")</f>
        <v/>
      </c>
      <c r="U344" s="15" t="str">
        <f>IF(S344=1,IFERROR(INDEX(Settings!$B$12:$B$41,MATCH($B344,Settings!$A$12:$A$41,0)),"N"),"")</f>
        <v/>
      </c>
      <c r="V344" s="15" t="str">
        <f>IF(S344=1,IFERROR(INDEX(Settings!$C$12:$C$41,MATCH($B344,Settings!$A$12:$A$41,0)),""),"")</f>
        <v/>
      </c>
      <c r="W344" s="17">
        <f>IF(S344=1,IFERROR(INDEX(Settings!$D$12:$D$41,MATCH($B344,Settings!$A$12:$A$41,0)),0),0)</f>
        <v>0</v>
      </c>
      <c r="X344" s="18">
        <f t="shared" si="46"/>
        <v>0</v>
      </c>
      <c r="Y344" s="18" t="str">
        <f t="shared" si="47"/>
        <v/>
      </c>
      <c r="Z344" s="15" t="str">
        <f>IF(S344=1,IFERROR(INDEX(Settings!$E$12:$E$41,MATCH($B344,Settings!$A$12:$A$41,0)),"N"),"")</f>
        <v/>
      </c>
      <c r="AA344" s="17">
        <f>IF(S344=1,IFERROR(INDEX(Settings!$F$12:$F$41,MATCH($B344,Settings!$A$12:$A$41,0)),0),0)</f>
        <v>0</v>
      </c>
      <c r="AB344" s="15">
        <f>IF(S344=1,IFERROR(INDEX(Settings!$G$12:$G$41,MATCH($B344,Settings!$A$12:$A$41,0)),0),0)</f>
        <v>0</v>
      </c>
      <c r="AC344" s="18" t="str">
        <f t="shared" si="48"/>
        <v/>
      </c>
      <c r="AD344" s="15" t="str">
        <f t="shared" si="49"/>
        <v/>
      </c>
      <c r="AE344" s="15" t="str">
        <f t="shared" si="50"/>
        <v/>
      </c>
      <c r="AF344" s="15" t="str">
        <f t="shared" si="51"/>
        <v/>
      </c>
      <c r="AG344" s="18">
        <f>IF(AND(S344=1,Z344="Y"),IF(Settings!$B$6="Percentage",IF(AD344=0,0,AC344*AA344*(N344/AD344)),IF(Settings!$B$6="Points",IF(AF344=0,0,AC344*(N344*AB344)/AF344),IF(Settings!$B$6="Equally",IF(AE344=0,0,AC344*N344/AE344),0))),0)</f>
        <v>0</v>
      </c>
      <c r="AH344" s="18" t="str">
        <f t="shared" si="52"/>
        <v/>
      </c>
      <c r="AI344" s="15">
        <f>IF(S344=1,IF(COUNTIFS($R$2:R344,R344,$S$2:S344,1)=1,1,0),0)</f>
        <v>0</v>
      </c>
      <c r="AJ344" s="15">
        <f>SUM($AI$2:AI344)</f>
        <v>12</v>
      </c>
    </row>
    <row r="345" spans="18:36">
      <c r="R345" s="15" t="str">
        <f t="shared" si="53"/>
        <v/>
      </c>
      <c r="S345" s="15">
        <f t="shared" si="45"/>
        <v>0</v>
      </c>
      <c r="T345" s="16" t="str">
        <f>IF(S345=1, DATE(YEAR(Settings!$B$3), MONTH(D345), DAY(D345)), "")</f>
        <v/>
      </c>
      <c r="U345" s="15" t="str">
        <f>IF(S345=1,IFERROR(INDEX(Settings!$B$12:$B$41,MATCH($B345,Settings!$A$12:$A$41,0)),"N"),"")</f>
        <v/>
      </c>
      <c r="V345" s="15" t="str">
        <f>IF(S345=1,IFERROR(INDEX(Settings!$C$12:$C$41,MATCH($B345,Settings!$A$12:$A$41,0)),""),"")</f>
        <v/>
      </c>
      <c r="W345" s="17">
        <f>IF(S345=1,IFERROR(INDEX(Settings!$D$12:$D$41,MATCH($B345,Settings!$A$12:$A$41,0)),0),0)</f>
        <v>0</v>
      </c>
      <c r="X345" s="18">
        <f t="shared" si="46"/>
        <v>0</v>
      </c>
      <c r="Y345" s="18" t="str">
        <f t="shared" si="47"/>
        <v/>
      </c>
      <c r="Z345" s="15" t="str">
        <f>IF(S345=1,IFERROR(INDEX(Settings!$E$12:$E$41,MATCH($B345,Settings!$A$12:$A$41,0)),"N"),"")</f>
        <v/>
      </c>
      <c r="AA345" s="17">
        <f>IF(S345=1,IFERROR(INDEX(Settings!$F$12:$F$41,MATCH($B345,Settings!$A$12:$A$41,0)),0),0)</f>
        <v>0</v>
      </c>
      <c r="AB345" s="15">
        <f>IF(S345=1,IFERROR(INDEX(Settings!$G$12:$G$41,MATCH($B345,Settings!$A$12:$A$41,0)),0),0)</f>
        <v>0</v>
      </c>
      <c r="AC345" s="18" t="str">
        <f t="shared" si="48"/>
        <v/>
      </c>
      <c r="AD345" s="15" t="str">
        <f t="shared" si="49"/>
        <v/>
      </c>
      <c r="AE345" s="15" t="str">
        <f t="shared" si="50"/>
        <v/>
      </c>
      <c r="AF345" s="15" t="str">
        <f t="shared" si="51"/>
        <v/>
      </c>
      <c r="AG345" s="18">
        <f>IF(AND(S345=1,Z345="Y"),IF(Settings!$B$6="Percentage",IF(AD345=0,0,AC345*AA345*(N345/AD345)),IF(Settings!$B$6="Points",IF(AF345=0,0,AC345*(N345*AB345)/AF345),IF(Settings!$B$6="Equally",IF(AE345=0,0,AC345*N345/AE345),0))),0)</f>
        <v>0</v>
      </c>
      <c r="AH345" s="18" t="str">
        <f t="shared" si="52"/>
        <v/>
      </c>
      <c r="AI345" s="15">
        <f>IF(S345=1,IF(COUNTIFS($R$2:R345,R345,$S$2:S345,1)=1,1,0),0)</f>
        <v>0</v>
      </c>
      <c r="AJ345" s="15">
        <f>SUM($AI$2:AI345)</f>
        <v>12</v>
      </c>
    </row>
    <row r="346" spans="18:36">
      <c r="R346" s="15" t="str">
        <f t="shared" si="53"/>
        <v/>
      </c>
      <c r="S346" s="15">
        <f t="shared" si="45"/>
        <v>0</v>
      </c>
      <c r="T346" s="16" t="str">
        <f>IF(S346=1, DATE(YEAR(Settings!$B$3), MONTH(D346), DAY(D346)), "")</f>
        <v/>
      </c>
      <c r="U346" s="15" t="str">
        <f>IF(S346=1,IFERROR(INDEX(Settings!$B$12:$B$41,MATCH($B346,Settings!$A$12:$A$41,0)),"N"),"")</f>
        <v/>
      </c>
      <c r="V346" s="15" t="str">
        <f>IF(S346=1,IFERROR(INDEX(Settings!$C$12:$C$41,MATCH($B346,Settings!$A$12:$A$41,0)),""),"")</f>
        <v/>
      </c>
      <c r="W346" s="17">
        <f>IF(S346=1,IFERROR(INDEX(Settings!$D$12:$D$41,MATCH($B346,Settings!$A$12:$A$41,0)),0),0)</f>
        <v>0</v>
      </c>
      <c r="X346" s="18">
        <f t="shared" si="46"/>
        <v>0</v>
      </c>
      <c r="Y346" s="18" t="str">
        <f t="shared" si="47"/>
        <v/>
      </c>
      <c r="Z346" s="15" t="str">
        <f>IF(S346=1,IFERROR(INDEX(Settings!$E$12:$E$41,MATCH($B346,Settings!$A$12:$A$41,0)),"N"),"")</f>
        <v/>
      </c>
      <c r="AA346" s="17">
        <f>IF(S346=1,IFERROR(INDEX(Settings!$F$12:$F$41,MATCH($B346,Settings!$A$12:$A$41,0)),0),0)</f>
        <v>0</v>
      </c>
      <c r="AB346" s="15">
        <f>IF(S346=1,IFERROR(INDEX(Settings!$G$12:$G$41,MATCH($B346,Settings!$A$12:$A$41,0)),0),0)</f>
        <v>0</v>
      </c>
      <c r="AC346" s="18" t="str">
        <f t="shared" si="48"/>
        <v/>
      </c>
      <c r="AD346" s="15" t="str">
        <f t="shared" si="49"/>
        <v/>
      </c>
      <c r="AE346" s="15" t="str">
        <f t="shared" si="50"/>
        <v/>
      </c>
      <c r="AF346" s="15" t="str">
        <f t="shared" si="51"/>
        <v/>
      </c>
      <c r="AG346" s="18">
        <f>IF(AND(S346=1,Z346="Y"),IF(Settings!$B$6="Percentage",IF(AD346=0,0,AC346*AA346*(N346/AD346)),IF(Settings!$B$6="Points",IF(AF346=0,0,AC346*(N346*AB346)/AF346),IF(Settings!$B$6="Equally",IF(AE346=0,0,AC346*N346/AE346),0))),0)</f>
        <v>0</v>
      </c>
      <c r="AH346" s="18" t="str">
        <f t="shared" si="52"/>
        <v/>
      </c>
      <c r="AI346" s="15">
        <f>IF(S346=1,IF(COUNTIFS($R$2:R346,R346,$S$2:S346,1)=1,1,0),0)</f>
        <v>0</v>
      </c>
      <c r="AJ346" s="15">
        <f>SUM($AI$2:AI346)</f>
        <v>12</v>
      </c>
    </row>
    <row r="347" spans="18:36">
      <c r="R347" s="15" t="str">
        <f t="shared" si="53"/>
        <v/>
      </c>
      <c r="S347" s="15">
        <f t="shared" si="45"/>
        <v>0</v>
      </c>
      <c r="T347" s="16" t="str">
        <f>IF(S347=1, DATE(YEAR(Settings!$B$3), MONTH(D347), DAY(D347)), "")</f>
        <v/>
      </c>
      <c r="U347" s="15" t="str">
        <f>IF(S347=1,IFERROR(INDEX(Settings!$B$12:$B$41,MATCH($B347,Settings!$A$12:$A$41,0)),"N"),"")</f>
        <v/>
      </c>
      <c r="V347" s="15" t="str">
        <f>IF(S347=1,IFERROR(INDEX(Settings!$C$12:$C$41,MATCH($B347,Settings!$A$12:$A$41,0)),""),"")</f>
        <v/>
      </c>
      <c r="W347" s="17">
        <f>IF(S347=1,IFERROR(INDEX(Settings!$D$12:$D$41,MATCH($B347,Settings!$A$12:$A$41,0)),0),0)</f>
        <v>0</v>
      </c>
      <c r="X347" s="18">
        <f t="shared" si="46"/>
        <v>0</v>
      </c>
      <c r="Y347" s="18" t="str">
        <f t="shared" si="47"/>
        <v/>
      </c>
      <c r="Z347" s="15" t="str">
        <f>IF(S347=1,IFERROR(INDEX(Settings!$E$12:$E$41,MATCH($B347,Settings!$A$12:$A$41,0)),"N"),"")</f>
        <v/>
      </c>
      <c r="AA347" s="17">
        <f>IF(S347=1,IFERROR(INDEX(Settings!$F$12:$F$41,MATCH($B347,Settings!$A$12:$A$41,0)),0),0)</f>
        <v>0</v>
      </c>
      <c r="AB347" s="15">
        <f>IF(S347=1,IFERROR(INDEX(Settings!$G$12:$G$41,MATCH($B347,Settings!$A$12:$A$41,0)),0),0)</f>
        <v>0</v>
      </c>
      <c r="AC347" s="18" t="str">
        <f t="shared" si="48"/>
        <v/>
      </c>
      <c r="AD347" s="15" t="str">
        <f t="shared" si="49"/>
        <v/>
      </c>
      <c r="AE347" s="15" t="str">
        <f t="shared" si="50"/>
        <v/>
      </c>
      <c r="AF347" s="15" t="str">
        <f t="shared" si="51"/>
        <v/>
      </c>
      <c r="AG347" s="18">
        <f>IF(AND(S347=1,Z347="Y"),IF(Settings!$B$6="Percentage",IF(AD347=0,0,AC347*AA347*(N347/AD347)),IF(Settings!$B$6="Points",IF(AF347=0,0,AC347*(N347*AB347)/AF347),IF(Settings!$B$6="Equally",IF(AE347=0,0,AC347*N347/AE347),0))),0)</f>
        <v>0</v>
      </c>
      <c r="AH347" s="18" t="str">
        <f t="shared" si="52"/>
        <v/>
      </c>
      <c r="AI347" s="15">
        <f>IF(S347=1,IF(COUNTIFS($R$2:R347,R347,$S$2:S347,1)=1,1,0),0)</f>
        <v>0</v>
      </c>
      <c r="AJ347" s="15">
        <f>SUM($AI$2:AI347)</f>
        <v>12</v>
      </c>
    </row>
    <row r="348" spans="18:36">
      <c r="R348" s="15" t="str">
        <f t="shared" si="53"/>
        <v/>
      </c>
      <c r="S348" s="15">
        <f t="shared" si="45"/>
        <v>0</v>
      </c>
      <c r="T348" s="16" t="str">
        <f>IF(S348=1, DATE(YEAR(Settings!$B$3), MONTH(D348), DAY(D348)), "")</f>
        <v/>
      </c>
      <c r="U348" s="15" t="str">
        <f>IF(S348=1,IFERROR(INDEX(Settings!$B$12:$B$41,MATCH($B348,Settings!$A$12:$A$41,0)),"N"),"")</f>
        <v/>
      </c>
      <c r="V348" s="15" t="str">
        <f>IF(S348=1,IFERROR(INDEX(Settings!$C$12:$C$41,MATCH($B348,Settings!$A$12:$A$41,0)),""),"")</f>
        <v/>
      </c>
      <c r="W348" s="17">
        <f>IF(S348=1,IFERROR(INDEX(Settings!$D$12:$D$41,MATCH($B348,Settings!$A$12:$A$41,0)),0),0)</f>
        <v>0</v>
      </c>
      <c r="X348" s="18">
        <f t="shared" si="46"/>
        <v>0</v>
      </c>
      <c r="Y348" s="18" t="str">
        <f t="shared" si="47"/>
        <v/>
      </c>
      <c r="Z348" s="15" t="str">
        <f>IF(S348=1,IFERROR(INDEX(Settings!$E$12:$E$41,MATCH($B348,Settings!$A$12:$A$41,0)),"N"),"")</f>
        <v/>
      </c>
      <c r="AA348" s="17">
        <f>IF(S348=1,IFERROR(INDEX(Settings!$F$12:$F$41,MATCH($B348,Settings!$A$12:$A$41,0)),0),0)</f>
        <v>0</v>
      </c>
      <c r="AB348" s="15">
        <f>IF(S348=1,IFERROR(INDEX(Settings!$G$12:$G$41,MATCH($B348,Settings!$A$12:$A$41,0)),0),0)</f>
        <v>0</v>
      </c>
      <c r="AC348" s="18" t="str">
        <f t="shared" si="48"/>
        <v/>
      </c>
      <c r="AD348" s="15" t="str">
        <f t="shared" si="49"/>
        <v/>
      </c>
      <c r="AE348" s="15" t="str">
        <f t="shared" si="50"/>
        <v/>
      </c>
      <c r="AF348" s="15" t="str">
        <f t="shared" si="51"/>
        <v/>
      </c>
      <c r="AG348" s="18">
        <f>IF(AND(S348=1,Z348="Y"),IF(Settings!$B$6="Percentage",IF(AD348=0,0,AC348*AA348*(N348/AD348)),IF(Settings!$B$6="Points",IF(AF348=0,0,AC348*(N348*AB348)/AF348),IF(Settings!$B$6="Equally",IF(AE348=0,0,AC348*N348/AE348),0))),0)</f>
        <v>0</v>
      </c>
      <c r="AH348" s="18" t="str">
        <f t="shared" si="52"/>
        <v/>
      </c>
      <c r="AI348" s="15">
        <f>IF(S348=1,IF(COUNTIFS($R$2:R348,R348,$S$2:S348,1)=1,1,0),0)</f>
        <v>0</v>
      </c>
      <c r="AJ348" s="15">
        <f>SUM($AI$2:AI348)</f>
        <v>12</v>
      </c>
    </row>
    <row r="349" spans="18:36">
      <c r="R349" s="15" t="str">
        <f t="shared" si="53"/>
        <v/>
      </c>
      <c r="S349" s="15">
        <f t="shared" si="45"/>
        <v>0</v>
      </c>
      <c r="T349" s="16" t="str">
        <f>IF(S349=1, DATE(YEAR(Settings!$B$3), MONTH(D349), DAY(D349)), "")</f>
        <v/>
      </c>
      <c r="U349" s="15" t="str">
        <f>IF(S349=1,IFERROR(INDEX(Settings!$B$12:$B$41,MATCH($B349,Settings!$A$12:$A$41,0)),"N"),"")</f>
        <v/>
      </c>
      <c r="V349" s="15" t="str">
        <f>IF(S349=1,IFERROR(INDEX(Settings!$C$12:$C$41,MATCH($B349,Settings!$A$12:$A$41,0)),""),"")</f>
        <v/>
      </c>
      <c r="W349" s="17">
        <f>IF(S349=1,IFERROR(INDEX(Settings!$D$12:$D$41,MATCH($B349,Settings!$A$12:$A$41,0)),0),0)</f>
        <v>0</v>
      </c>
      <c r="X349" s="18">
        <f t="shared" si="46"/>
        <v>0</v>
      </c>
      <c r="Y349" s="18" t="str">
        <f t="shared" si="47"/>
        <v/>
      </c>
      <c r="Z349" s="15" t="str">
        <f>IF(S349=1,IFERROR(INDEX(Settings!$E$12:$E$41,MATCH($B349,Settings!$A$12:$A$41,0)),"N"),"")</f>
        <v/>
      </c>
      <c r="AA349" s="17">
        <f>IF(S349=1,IFERROR(INDEX(Settings!$F$12:$F$41,MATCH($B349,Settings!$A$12:$A$41,0)),0),0)</f>
        <v>0</v>
      </c>
      <c r="AB349" s="15">
        <f>IF(S349=1,IFERROR(INDEX(Settings!$G$12:$G$41,MATCH($B349,Settings!$A$12:$A$41,0)),0),0)</f>
        <v>0</v>
      </c>
      <c r="AC349" s="18" t="str">
        <f t="shared" si="48"/>
        <v/>
      </c>
      <c r="AD349" s="15" t="str">
        <f t="shared" si="49"/>
        <v/>
      </c>
      <c r="AE349" s="15" t="str">
        <f t="shared" si="50"/>
        <v/>
      </c>
      <c r="AF349" s="15" t="str">
        <f t="shared" si="51"/>
        <v/>
      </c>
      <c r="AG349" s="18">
        <f>IF(AND(S349=1,Z349="Y"),IF(Settings!$B$6="Percentage",IF(AD349=0,0,AC349*AA349*(N349/AD349)),IF(Settings!$B$6="Points",IF(AF349=0,0,AC349*(N349*AB349)/AF349),IF(Settings!$B$6="Equally",IF(AE349=0,0,AC349*N349/AE349),0))),0)</f>
        <v>0</v>
      </c>
      <c r="AH349" s="18" t="str">
        <f t="shared" si="52"/>
        <v/>
      </c>
      <c r="AI349" s="15">
        <f>IF(S349=1,IF(COUNTIFS($R$2:R349,R349,$S$2:S349,1)=1,1,0),0)</f>
        <v>0</v>
      </c>
      <c r="AJ349" s="15">
        <f>SUM($AI$2:AI349)</f>
        <v>12</v>
      </c>
    </row>
    <row r="350" spans="18:36">
      <c r="R350" s="15" t="str">
        <f t="shared" si="53"/>
        <v/>
      </c>
      <c r="S350" s="15">
        <f t="shared" si="45"/>
        <v>0</v>
      </c>
      <c r="T350" s="16" t="str">
        <f>IF(S350=1, DATE(YEAR(Settings!$B$3), MONTH(D350), DAY(D350)), "")</f>
        <v/>
      </c>
      <c r="U350" s="15" t="str">
        <f>IF(S350=1,IFERROR(INDEX(Settings!$B$12:$B$41,MATCH($B350,Settings!$A$12:$A$41,0)),"N"),"")</f>
        <v/>
      </c>
      <c r="V350" s="15" t="str">
        <f>IF(S350=1,IFERROR(INDEX(Settings!$C$12:$C$41,MATCH($B350,Settings!$A$12:$A$41,0)),""),"")</f>
        <v/>
      </c>
      <c r="W350" s="17">
        <f>IF(S350=1,IFERROR(INDEX(Settings!$D$12:$D$41,MATCH($B350,Settings!$A$12:$A$41,0)),0),0)</f>
        <v>0</v>
      </c>
      <c r="X350" s="18">
        <f t="shared" si="46"/>
        <v>0</v>
      </c>
      <c r="Y350" s="18" t="str">
        <f t="shared" si="47"/>
        <v/>
      </c>
      <c r="Z350" s="15" t="str">
        <f>IF(S350=1,IFERROR(INDEX(Settings!$E$12:$E$41,MATCH($B350,Settings!$A$12:$A$41,0)),"N"),"")</f>
        <v/>
      </c>
      <c r="AA350" s="17">
        <f>IF(S350=1,IFERROR(INDEX(Settings!$F$12:$F$41,MATCH($B350,Settings!$A$12:$A$41,0)),0),0)</f>
        <v>0</v>
      </c>
      <c r="AB350" s="15">
        <f>IF(S350=1,IFERROR(INDEX(Settings!$G$12:$G$41,MATCH($B350,Settings!$A$12:$A$41,0)),0),0)</f>
        <v>0</v>
      </c>
      <c r="AC350" s="18" t="str">
        <f t="shared" si="48"/>
        <v/>
      </c>
      <c r="AD350" s="15" t="str">
        <f t="shared" si="49"/>
        <v/>
      </c>
      <c r="AE350" s="15" t="str">
        <f t="shared" si="50"/>
        <v/>
      </c>
      <c r="AF350" s="15" t="str">
        <f t="shared" si="51"/>
        <v/>
      </c>
      <c r="AG350" s="18">
        <f>IF(AND(S350=1,Z350="Y"),IF(Settings!$B$6="Percentage",IF(AD350=0,0,AC350*AA350*(N350/AD350)),IF(Settings!$B$6="Points",IF(AF350=0,0,AC350*(N350*AB350)/AF350),IF(Settings!$B$6="Equally",IF(AE350=0,0,AC350*N350/AE350),0))),0)</f>
        <v>0</v>
      </c>
      <c r="AH350" s="18" t="str">
        <f t="shared" si="52"/>
        <v/>
      </c>
      <c r="AI350" s="15">
        <f>IF(S350=1,IF(COUNTIFS($R$2:R350,R350,$S$2:S350,1)=1,1,0),0)</f>
        <v>0</v>
      </c>
      <c r="AJ350" s="15">
        <f>SUM($AI$2:AI350)</f>
        <v>12</v>
      </c>
    </row>
    <row r="351" spans="18:36">
      <c r="R351" s="15" t="str">
        <f t="shared" si="53"/>
        <v/>
      </c>
      <c r="S351" s="15">
        <f t="shared" si="45"/>
        <v>0</v>
      </c>
      <c r="T351" s="16" t="str">
        <f>IF(S351=1, DATE(YEAR(Settings!$B$3), MONTH(D351), DAY(D351)), "")</f>
        <v/>
      </c>
      <c r="U351" s="15" t="str">
        <f>IF(S351=1,IFERROR(INDEX(Settings!$B$12:$B$41,MATCH($B351,Settings!$A$12:$A$41,0)),"N"),"")</f>
        <v/>
      </c>
      <c r="V351" s="15" t="str">
        <f>IF(S351=1,IFERROR(INDEX(Settings!$C$12:$C$41,MATCH($B351,Settings!$A$12:$A$41,0)),""),"")</f>
        <v/>
      </c>
      <c r="W351" s="17">
        <f>IF(S351=1,IFERROR(INDEX(Settings!$D$12:$D$41,MATCH($B351,Settings!$A$12:$A$41,0)),0),0)</f>
        <v>0</v>
      </c>
      <c r="X351" s="18">
        <f t="shared" si="46"/>
        <v>0</v>
      </c>
      <c r="Y351" s="18" t="str">
        <f t="shared" si="47"/>
        <v/>
      </c>
      <c r="Z351" s="15" t="str">
        <f>IF(S351=1,IFERROR(INDEX(Settings!$E$12:$E$41,MATCH($B351,Settings!$A$12:$A$41,0)),"N"),"")</f>
        <v/>
      </c>
      <c r="AA351" s="17">
        <f>IF(S351=1,IFERROR(INDEX(Settings!$F$12:$F$41,MATCH($B351,Settings!$A$12:$A$41,0)),0),0)</f>
        <v>0</v>
      </c>
      <c r="AB351" s="15">
        <f>IF(S351=1,IFERROR(INDEX(Settings!$G$12:$G$41,MATCH($B351,Settings!$A$12:$A$41,0)),0),0)</f>
        <v>0</v>
      </c>
      <c r="AC351" s="18" t="str">
        <f t="shared" si="48"/>
        <v/>
      </c>
      <c r="AD351" s="15" t="str">
        <f t="shared" si="49"/>
        <v/>
      </c>
      <c r="AE351" s="15" t="str">
        <f t="shared" si="50"/>
        <v/>
      </c>
      <c r="AF351" s="15" t="str">
        <f t="shared" si="51"/>
        <v/>
      </c>
      <c r="AG351" s="18">
        <f>IF(AND(S351=1,Z351="Y"),IF(Settings!$B$6="Percentage",IF(AD351=0,0,AC351*AA351*(N351/AD351)),IF(Settings!$B$6="Points",IF(AF351=0,0,AC351*(N351*AB351)/AF351),IF(Settings!$B$6="Equally",IF(AE351=0,0,AC351*N351/AE351),0))),0)</f>
        <v>0</v>
      </c>
      <c r="AH351" s="18" t="str">
        <f t="shared" si="52"/>
        <v/>
      </c>
      <c r="AI351" s="15">
        <f>IF(S351=1,IF(COUNTIFS($R$2:R351,R351,$S$2:S351,1)=1,1,0),0)</f>
        <v>0</v>
      </c>
      <c r="AJ351" s="15">
        <f>SUM($AI$2:AI351)</f>
        <v>12</v>
      </c>
    </row>
    <row r="352" spans="18:36">
      <c r="R352" s="15" t="str">
        <f t="shared" si="53"/>
        <v/>
      </c>
      <c r="S352" s="15">
        <f t="shared" si="45"/>
        <v>0</v>
      </c>
      <c r="T352" s="16" t="str">
        <f>IF(S352=1, DATE(YEAR(Settings!$B$3), MONTH(D352), DAY(D352)), "")</f>
        <v/>
      </c>
      <c r="U352" s="15" t="str">
        <f>IF(S352=1,IFERROR(INDEX(Settings!$B$12:$B$41,MATCH($B352,Settings!$A$12:$A$41,0)),"N"),"")</f>
        <v/>
      </c>
      <c r="V352" s="15" t="str">
        <f>IF(S352=1,IFERROR(INDEX(Settings!$C$12:$C$41,MATCH($B352,Settings!$A$12:$A$41,0)),""),"")</f>
        <v/>
      </c>
      <c r="W352" s="17">
        <f>IF(S352=1,IFERROR(INDEX(Settings!$D$12:$D$41,MATCH($B352,Settings!$A$12:$A$41,0)),0),0)</f>
        <v>0</v>
      </c>
      <c r="X352" s="18">
        <f t="shared" si="46"/>
        <v>0</v>
      </c>
      <c r="Y352" s="18" t="str">
        <f t="shared" si="47"/>
        <v/>
      </c>
      <c r="Z352" s="15" t="str">
        <f>IF(S352=1,IFERROR(INDEX(Settings!$E$12:$E$41,MATCH($B352,Settings!$A$12:$A$41,0)),"N"),"")</f>
        <v/>
      </c>
      <c r="AA352" s="17">
        <f>IF(S352=1,IFERROR(INDEX(Settings!$F$12:$F$41,MATCH($B352,Settings!$A$12:$A$41,0)),0),0)</f>
        <v>0</v>
      </c>
      <c r="AB352" s="15">
        <f>IF(S352=1,IFERROR(INDEX(Settings!$G$12:$G$41,MATCH($B352,Settings!$A$12:$A$41,0)),0),0)</f>
        <v>0</v>
      </c>
      <c r="AC352" s="18" t="str">
        <f t="shared" si="48"/>
        <v/>
      </c>
      <c r="AD352" s="15" t="str">
        <f t="shared" si="49"/>
        <v/>
      </c>
      <c r="AE352" s="15" t="str">
        <f t="shared" si="50"/>
        <v/>
      </c>
      <c r="AF352" s="15" t="str">
        <f t="shared" si="51"/>
        <v/>
      </c>
      <c r="AG352" s="18">
        <f>IF(AND(S352=1,Z352="Y"),IF(Settings!$B$6="Percentage",IF(AD352=0,0,AC352*AA352*(N352/AD352)),IF(Settings!$B$6="Points",IF(AF352=0,0,AC352*(N352*AB352)/AF352),IF(Settings!$B$6="Equally",IF(AE352=0,0,AC352*N352/AE352),0))),0)</f>
        <v>0</v>
      </c>
      <c r="AH352" s="18" t="str">
        <f t="shared" si="52"/>
        <v/>
      </c>
      <c r="AI352" s="15">
        <f>IF(S352=1,IF(COUNTIFS($R$2:R352,R352,$S$2:S352,1)=1,1,0),0)</f>
        <v>0</v>
      </c>
      <c r="AJ352" s="15">
        <f>SUM($AI$2:AI352)</f>
        <v>12</v>
      </c>
    </row>
    <row r="353" spans="18:36">
      <c r="R353" s="15" t="str">
        <f t="shared" si="53"/>
        <v/>
      </c>
      <c r="S353" s="15">
        <f t="shared" si="45"/>
        <v>0</v>
      </c>
      <c r="T353" s="16" t="str">
        <f>IF(S353=1, DATE(YEAR(Settings!$B$3), MONTH(D353), DAY(D353)), "")</f>
        <v/>
      </c>
      <c r="U353" s="15" t="str">
        <f>IF(S353=1,IFERROR(INDEX(Settings!$B$12:$B$41,MATCH($B353,Settings!$A$12:$A$41,0)),"N"),"")</f>
        <v/>
      </c>
      <c r="V353" s="15" t="str">
        <f>IF(S353=1,IFERROR(INDEX(Settings!$C$12:$C$41,MATCH($B353,Settings!$A$12:$A$41,0)),""),"")</f>
        <v/>
      </c>
      <c r="W353" s="17">
        <f>IF(S353=1,IFERROR(INDEX(Settings!$D$12:$D$41,MATCH($B353,Settings!$A$12:$A$41,0)),0),0)</f>
        <v>0</v>
      </c>
      <c r="X353" s="18">
        <f t="shared" si="46"/>
        <v>0</v>
      </c>
      <c r="Y353" s="18" t="str">
        <f t="shared" si="47"/>
        <v/>
      </c>
      <c r="Z353" s="15" t="str">
        <f>IF(S353=1,IFERROR(INDEX(Settings!$E$12:$E$41,MATCH($B353,Settings!$A$12:$A$41,0)),"N"),"")</f>
        <v/>
      </c>
      <c r="AA353" s="17">
        <f>IF(S353=1,IFERROR(INDEX(Settings!$F$12:$F$41,MATCH($B353,Settings!$A$12:$A$41,0)),0),0)</f>
        <v>0</v>
      </c>
      <c r="AB353" s="15">
        <f>IF(S353=1,IFERROR(INDEX(Settings!$G$12:$G$41,MATCH($B353,Settings!$A$12:$A$41,0)),0),0)</f>
        <v>0</v>
      </c>
      <c r="AC353" s="18" t="str">
        <f t="shared" si="48"/>
        <v/>
      </c>
      <c r="AD353" s="15" t="str">
        <f t="shared" si="49"/>
        <v/>
      </c>
      <c r="AE353" s="15" t="str">
        <f t="shared" si="50"/>
        <v/>
      </c>
      <c r="AF353" s="15" t="str">
        <f t="shared" si="51"/>
        <v/>
      </c>
      <c r="AG353" s="18">
        <f>IF(AND(S353=1,Z353="Y"),IF(Settings!$B$6="Percentage",IF(AD353=0,0,AC353*AA353*(N353/AD353)),IF(Settings!$B$6="Points",IF(AF353=0,0,AC353*(N353*AB353)/AF353),IF(Settings!$B$6="Equally",IF(AE353=0,0,AC353*N353/AE353),0))),0)</f>
        <v>0</v>
      </c>
      <c r="AH353" s="18" t="str">
        <f t="shared" si="52"/>
        <v/>
      </c>
      <c r="AI353" s="15">
        <f>IF(S353=1,IF(COUNTIFS($R$2:R353,R353,$S$2:S353,1)=1,1,0),0)</f>
        <v>0</v>
      </c>
      <c r="AJ353" s="15">
        <f>SUM($AI$2:AI353)</f>
        <v>12</v>
      </c>
    </row>
    <row r="354" spans="18:36">
      <c r="R354" s="15" t="str">
        <f t="shared" si="53"/>
        <v/>
      </c>
      <c r="S354" s="15">
        <f t="shared" si="45"/>
        <v>0</v>
      </c>
      <c r="T354" s="16" t="str">
        <f>IF(S354=1, DATE(YEAR(Settings!$B$3), MONTH(D354), DAY(D354)), "")</f>
        <v/>
      </c>
      <c r="U354" s="15" t="str">
        <f>IF(S354=1,IFERROR(INDEX(Settings!$B$12:$B$41,MATCH($B354,Settings!$A$12:$A$41,0)),"N"),"")</f>
        <v/>
      </c>
      <c r="V354" s="15" t="str">
        <f>IF(S354=1,IFERROR(INDEX(Settings!$C$12:$C$41,MATCH($B354,Settings!$A$12:$A$41,0)),""),"")</f>
        <v/>
      </c>
      <c r="W354" s="17">
        <f>IF(S354=1,IFERROR(INDEX(Settings!$D$12:$D$41,MATCH($B354,Settings!$A$12:$A$41,0)),0),0)</f>
        <v>0</v>
      </c>
      <c r="X354" s="18">
        <f t="shared" si="46"/>
        <v>0</v>
      </c>
      <c r="Y354" s="18" t="str">
        <f t="shared" si="47"/>
        <v/>
      </c>
      <c r="Z354" s="15" t="str">
        <f>IF(S354=1,IFERROR(INDEX(Settings!$E$12:$E$41,MATCH($B354,Settings!$A$12:$A$41,0)),"N"),"")</f>
        <v/>
      </c>
      <c r="AA354" s="17">
        <f>IF(S354=1,IFERROR(INDEX(Settings!$F$12:$F$41,MATCH($B354,Settings!$A$12:$A$41,0)),0),0)</f>
        <v>0</v>
      </c>
      <c r="AB354" s="15">
        <f>IF(S354=1,IFERROR(INDEX(Settings!$G$12:$G$41,MATCH($B354,Settings!$A$12:$A$41,0)),0),0)</f>
        <v>0</v>
      </c>
      <c r="AC354" s="18" t="str">
        <f t="shared" si="48"/>
        <v/>
      </c>
      <c r="AD354" s="15" t="str">
        <f t="shared" si="49"/>
        <v/>
      </c>
      <c r="AE354" s="15" t="str">
        <f t="shared" si="50"/>
        <v/>
      </c>
      <c r="AF354" s="15" t="str">
        <f t="shared" si="51"/>
        <v/>
      </c>
      <c r="AG354" s="18">
        <f>IF(AND(S354=1,Z354="Y"),IF(Settings!$B$6="Percentage",IF(AD354=0,0,AC354*AA354*(N354/AD354)),IF(Settings!$B$6="Points",IF(AF354=0,0,AC354*(N354*AB354)/AF354),IF(Settings!$B$6="Equally",IF(AE354=0,0,AC354*N354/AE354),0))),0)</f>
        <v>0</v>
      </c>
      <c r="AH354" s="18" t="str">
        <f t="shared" si="52"/>
        <v/>
      </c>
      <c r="AI354" s="15">
        <f>IF(S354=1,IF(COUNTIFS($R$2:R354,R354,$S$2:S354,1)=1,1,0),0)</f>
        <v>0</v>
      </c>
      <c r="AJ354" s="15">
        <f>SUM($AI$2:AI354)</f>
        <v>12</v>
      </c>
    </row>
    <row r="355" spans="18:36">
      <c r="R355" s="15" t="str">
        <f t="shared" si="53"/>
        <v/>
      </c>
      <c r="S355" s="15">
        <f t="shared" si="45"/>
        <v>0</v>
      </c>
      <c r="T355" s="16" t="str">
        <f>IF(S355=1, DATE(YEAR(Settings!$B$3), MONTH(D355), DAY(D355)), "")</f>
        <v/>
      </c>
      <c r="U355" s="15" t="str">
        <f>IF(S355=1,IFERROR(INDEX(Settings!$B$12:$B$41,MATCH($B355,Settings!$A$12:$A$41,0)),"N"),"")</f>
        <v/>
      </c>
      <c r="V355" s="15" t="str">
        <f>IF(S355=1,IFERROR(INDEX(Settings!$C$12:$C$41,MATCH($B355,Settings!$A$12:$A$41,0)),""),"")</f>
        <v/>
      </c>
      <c r="W355" s="17">
        <f>IF(S355=1,IFERROR(INDEX(Settings!$D$12:$D$41,MATCH($B355,Settings!$A$12:$A$41,0)),0),0)</f>
        <v>0</v>
      </c>
      <c r="X355" s="18">
        <f t="shared" si="46"/>
        <v>0</v>
      </c>
      <c r="Y355" s="18" t="str">
        <f t="shared" si="47"/>
        <v/>
      </c>
      <c r="Z355" s="15" t="str">
        <f>IF(S355=1,IFERROR(INDEX(Settings!$E$12:$E$41,MATCH($B355,Settings!$A$12:$A$41,0)),"N"),"")</f>
        <v/>
      </c>
      <c r="AA355" s="17">
        <f>IF(S355=1,IFERROR(INDEX(Settings!$F$12:$F$41,MATCH($B355,Settings!$A$12:$A$41,0)),0),0)</f>
        <v>0</v>
      </c>
      <c r="AB355" s="15">
        <f>IF(S355=1,IFERROR(INDEX(Settings!$G$12:$G$41,MATCH($B355,Settings!$A$12:$A$41,0)),0),0)</f>
        <v>0</v>
      </c>
      <c r="AC355" s="18" t="str">
        <f t="shared" si="48"/>
        <v/>
      </c>
      <c r="AD355" s="15" t="str">
        <f t="shared" si="49"/>
        <v/>
      </c>
      <c r="AE355" s="15" t="str">
        <f t="shared" si="50"/>
        <v/>
      </c>
      <c r="AF355" s="15" t="str">
        <f t="shared" si="51"/>
        <v/>
      </c>
      <c r="AG355" s="18">
        <f>IF(AND(S355=1,Z355="Y"),IF(Settings!$B$6="Percentage",IF(AD355=0,0,AC355*AA355*(N355/AD355)),IF(Settings!$B$6="Points",IF(AF355=0,0,AC355*(N355*AB355)/AF355),IF(Settings!$B$6="Equally",IF(AE355=0,0,AC355*N355/AE355),0))),0)</f>
        <v>0</v>
      </c>
      <c r="AH355" s="18" t="str">
        <f t="shared" si="52"/>
        <v/>
      </c>
      <c r="AI355" s="15">
        <f>IF(S355=1,IF(COUNTIFS($R$2:R355,R355,$S$2:S355,1)=1,1,0),0)</f>
        <v>0</v>
      </c>
      <c r="AJ355" s="15">
        <f>SUM($AI$2:AI355)</f>
        <v>12</v>
      </c>
    </row>
    <row r="356" spans="18:36">
      <c r="R356" s="15" t="str">
        <f t="shared" si="53"/>
        <v/>
      </c>
      <c r="S356" s="15">
        <f t="shared" si="45"/>
        <v>0</v>
      </c>
      <c r="T356" s="16" t="str">
        <f>IF(S356=1, DATE(YEAR(Settings!$B$3), MONTH(D356), DAY(D356)), "")</f>
        <v/>
      </c>
      <c r="U356" s="15" t="str">
        <f>IF(S356=1,IFERROR(INDEX(Settings!$B$12:$B$41,MATCH($B356,Settings!$A$12:$A$41,0)),"N"),"")</f>
        <v/>
      </c>
      <c r="V356" s="15" t="str">
        <f>IF(S356=1,IFERROR(INDEX(Settings!$C$12:$C$41,MATCH($B356,Settings!$A$12:$A$41,0)),""),"")</f>
        <v/>
      </c>
      <c r="W356" s="17">
        <f>IF(S356=1,IFERROR(INDEX(Settings!$D$12:$D$41,MATCH($B356,Settings!$A$12:$A$41,0)),0),0)</f>
        <v>0</v>
      </c>
      <c r="X356" s="18">
        <f t="shared" si="46"/>
        <v>0</v>
      </c>
      <c r="Y356" s="18" t="str">
        <f t="shared" si="47"/>
        <v/>
      </c>
      <c r="Z356" s="15" t="str">
        <f>IF(S356=1,IFERROR(INDEX(Settings!$E$12:$E$41,MATCH($B356,Settings!$A$12:$A$41,0)),"N"),"")</f>
        <v/>
      </c>
      <c r="AA356" s="17">
        <f>IF(S356=1,IFERROR(INDEX(Settings!$F$12:$F$41,MATCH($B356,Settings!$A$12:$A$41,0)),0),0)</f>
        <v>0</v>
      </c>
      <c r="AB356" s="15">
        <f>IF(S356=1,IFERROR(INDEX(Settings!$G$12:$G$41,MATCH($B356,Settings!$A$12:$A$41,0)),0),0)</f>
        <v>0</v>
      </c>
      <c r="AC356" s="18" t="str">
        <f t="shared" si="48"/>
        <v/>
      </c>
      <c r="AD356" s="15" t="str">
        <f t="shared" si="49"/>
        <v/>
      </c>
      <c r="AE356" s="15" t="str">
        <f t="shared" si="50"/>
        <v/>
      </c>
      <c r="AF356" s="15" t="str">
        <f t="shared" si="51"/>
        <v/>
      </c>
      <c r="AG356" s="18">
        <f>IF(AND(S356=1,Z356="Y"),IF(Settings!$B$6="Percentage",IF(AD356=0,0,AC356*AA356*(N356/AD356)),IF(Settings!$B$6="Points",IF(AF356=0,0,AC356*(N356*AB356)/AF356),IF(Settings!$B$6="Equally",IF(AE356=0,0,AC356*N356/AE356),0))),0)</f>
        <v>0</v>
      </c>
      <c r="AH356" s="18" t="str">
        <f t="shared" si="52"/>
        <v/>
      </c>
      <c r="AI356" s="15">
        <f>IF(S356=1,IF(COUNTIFS($R$2:R356,R356,$S$2:S356,1)=1,1,0),0)</f>
        <v>0</v>
      </c>
      <c r="AJ356" s="15">
        <f>SUM($AI$2:AI356)</f>
        <v>12</v>
      </c>
    </row>
    <row r="357" spans="18:36">
      <c r="R357" s="15" t="str">
        <f t="shared" si="53"/>
        <v/>
      </c>
      <c r="S357" s="15">
        <f t="shared" si="45"/>
        <v>0</v>
      </c>
      <c r="T357" s="16" t="str">
        <f>IF(S357=1, DATE(YEAR(Settings!$B$3), MONTH(D357), DAY(D357)), "")</f>
        <v/>
      </c>
      <c r="U357" s="15" t="str">
        <f>IF(S357=1,IFERROR(INDEX(Settings!$B$12:$B$41,MATCH($B357,Settings!$A$12:$A$41,0)),"N"),"")</f>
        <v/>
      </c>
      <c r="V357" s="15" t="str">
        <f>IF(S357=1,IFERROR(INDEX(Settings!$C$12:$C$41,MATCH($B357,Settings!$A$12:$A$41,0)),""),"")</f>
        <v/>
      </c>
      <c r="W357" s="17">
        <f>IF(S357=1,IFERROR(INDEX(Settings!$D$12:$D$41,MATCH($B357,Settings!$A$12:$A$41,0)),0),0)</f>
        <v>0</v>
      </c>
      <c r="X357" s="18">
        <f t="shared" si="46"/>
        <v>0</v>
      </c>
      <c r="Y357" s="18" t="str">
        <f t="shared" si="47"/>
        <v/>
      </c>
      <c r="Z357" s="15" t="str">
        <f>IF(S357=1,IFERROR(INDEX(Settings!$E$12:$E$41,MATCH($B357,Settings!$A$12:$A$41,0)),"N"),"")</f>
        <v/>
      </c>
      <c r="AA357" s="17">
        <f>IF(S357=1,IFERROR(INDEX(Settings!$F$12:$F$41,MATCH($B357,Settings!$A$12:$A$41,0)),0),0)</f>
        <v>0</v>
      </c>
      <c r="AB357" s="15">
        <f>IF(S357=1,IFERROR(INDEX(Settings!$G$12:$G$41,MATCH($B357,Settings!$A$12:$A$41,0)),0),0)</f>
        <v>0</v>
      </c>
      <c r="AC357" s="18" t="str">
        <f t="shared" si="48"/>
        <v/>
      </c>
      <c r="AD357" s="15" t="str">
        <f t="shared" si="49"/>
        <v/>
      </c>
      <c r="AE357" s="15" t="str">
        <f t="shared" si="50"/>
        <v/>
      </c>
      <c r="AF357" s="15" t="str">
        <f t="shared" si="51"/>
        <v/>
      </c>
      <c r="AG357" s="18">
        <f>IF(AND(S357=1,Z357="Y"),IF(Settings!$B$6="Percentage",IF(AD357=0,0,AC357*AA357*(N357/AD357)),IF(Settings!$B$6="Points",IF(AF357=0,0,AC357*(N357*AB357)/AF357),IF(Settings!$B$6="Equally",IF(AE357=0,0,AC357*N357/AE357),0))),0)</f>
        <v>0</v>
      </c>
      <c r="AH357" s="18" t="str">
        <f t="shared" si="52"/>
        <v/>
      </c>
      <c r="AI357" s="15">
        <f>IF(S357=1,IF(COUNTIFS($R$2:R357,R357,$S$2:S357,1)=1,1,0),0)</f>
        <v>0</v>
      </c>
      <c r="AJ357" s="15">
        <f>SUM($AI$2:AI357)</f>
        <v>12</v>
      </c>
    </row>
    <row r="358" spans="18:36">
      <c r="R358" s="15" t="str">
        <f t="shared" si="53"/>
        <v/>
      </c>
      <c r="S358" s="15">
        <f t="shared" si="45"/>
        <v>0</v>
      </c>
      <c r="T358" s="16" t="str">
        <f>IF(S358=1, DATE(YEAR(Settings!$B$3), MONTH(D358), DAY(D358)), "")</f>
        <v/>
      </c>
      <c r="U358" s="15" t="str">
        <f>IF(S358=1,IFERROR(INDEX(Settings!$B$12:$B$41,MATCH($B358,Settings!$A$12:$A$41,0)),"N"),"")</f>
        <v/>
      </c>
      <c r="V358" s="15" t="str">
        <f>IF(S358=1,IFERROR(INDEX(Settings!$C$12:$C$41,MATCH($B358,Settings!$A$12:$A$41,0)),""),"")</f>
        <v/>
      </c>
      <c r="W358" s="17">
        <f>IF(S358=1,IFERROR(INDEX(Settings!$D$12:$D$41,MATCH($B358,Settings!$A$12:$A$41,0)),0),0)</f>
        <v>0</v>
      </c>
      <c r="X358" s="18">
        <f t="shared" si="46"/>
        <v>0</v>
      </c>
      <c r="Y358" s="18" t="str">
        <f t="shared" si="47"/>
        <v/>
      </c>
      <c r="Z358" s="15" t="str">
        <f>IF(S358=1,IFERROR(INDEX(Settings!$E$12:$E$41,MATCH($B358,Settings!$A$12:$A$41,0)),"N"),"")</f>
        <v/>
      </c>
      <c r="AA358" s="17">
        <f>IF(S358=1,IFERROR(INDEX(Settings!$F$12:$F$41,MATCH($B358,Settings!$A$12:$A$41,0)),0),0)</f>
        <v>0</v>
      </c>
      <c r="AB358" s="15">
        <f>IF(S358=1,IFERROR(INDEX(Settings!$G$12:$G$41,MATCH($B358,Settings!$A$12:$A$41,0)),0),0)</f>
        <v>0</v>
      </c>
      <c r="AC358" s="18" t="str">
        <f t="shared" si="48"/>
        <v/>
      </c>
      <c r="AD358" s="15" t="str">
        <f t="shared" si="49"/>
        <v/>
      </c>
      <c r="AE358" s="15" t="str">
        <f t="shared" si="50"/>
        <v/>
      </c>
      <c r="AF358" s="15" t="str">
        <f t="shared" si="51"/>
        <v/>
      </c>
      <c r="AG358" s="18">
        <f>IF(AND(S358=1,Z358="Y"),IF(Settings!$B$6="Percentage",IF(AD358=0,0,AC358*AA358*(N358/AD358)),IF(Settings!$B$6="Points",IF(AF358=0,0,AC358*(N358*AB358)/AF358),IF(Settings!$B$6="Equally",IF(AE358=0,0,AC358*N358/AE358),0))),0)</f>
        <v>0</v>
      </c>
      <c r="AH358" s="18" t="str">
        <f t="shared" si="52"/>
        <v/>
      </c>
      <c r="AI358" s="15">
        <f>IF(S358=1,IF(COUNTIFS($R$2:R358,R358,$S$2:S358,1)=1,1,0),0)</f>
        <v>0</v>
      </c>
      <c r="AJ358" s="15">
        <f>SUM($AI$2:AI358)</f>
        <v>12</v>
      </c>
    </row>
    <row r="359" spans="18:36">
      <c r="R359" s="15" t="str">
        <f t="shared" si="53"/>
        <v/>
      </c>
      <c r="S359" s="15">
        <f t="shared" si="45"/>
        <v>0</v>
      </c>
      <c r="T359" s="16" t="str">
        <f>IF(S359=1, DATE(YEAR(Settings!$B$3), MONTH(D359), DAY(D359)), "")</f>
        <v/>
      </c>
      <c r="U359" s="15" t="str">
        <f>IF(S359=1,IFERROR(INDEX(Settings!$B$12:$B$41,MATCH($B359,Settings!$A$12:$A$41,0)),"N"),"")</f>
        <v/>
      </c>
      <c r="V359" s="15" t="str">
        <f>IF(S359=1,IFERROR(INDEX(Settings!$C$12:$C$41,MATCH($B359,Settings!$A$12:$A$41,0)),""),"")</f>
        <v/>
      </c>
      <c r="W359" s="17">
        <f>IF(S359=1,IFERROR(INDEX(Settings!$D$12:$D$41,MATCH($B359,Settings!$A$12:$A$41,0)),0),0)</f>
        <v>0</v>
      </c>
      <c r="X359" s="18">
        <f t="shared" si="46"/>
        <v>0</v>
      </c>
      <c r="Y359" s="18" t="str">
        <f t="shared" si="47"/>
        <v/>
      </c>
      <c r="Z359" s="15" t="str">
        <f>IF(S359=1,IFERROR(INDEX(Settings!$E$12:$E$41,MATCH($B359,Settings!$A$12:$A$41,0)),"N"),"")</f>
        <v/>
      </c>
      <c r="AA359" s="17">
        <f>IF(S359=1,IFERROR(INDEX(Settings!$F$12:$F$41,MATCH($B359,Settings!$A$12:$A$41,0)),0),0)</f>
        <v>0</v>
      </c>
      <c r="AB359" s="15">
        <f>IF(S359=1,IFERROR(INDEX(Settings!$G$12:$G$41,MATCH($B359,Settings!$A$12:$A$41,0)),0),0)</f>
        <v>0</v>
      </c>
      <c r="AC359" s="18" t="str">
        <f t="shared" si="48"/>
        <v/>
      </c>
      <c r="AD359" s="15" t="str">
        <f t="shared" si="49"/>
        <v/>
      </c>
      <c r="AE359" s="15" t="str">
        <f t="shared" si="50"/>
        <v/>
      </c>
      <c r="AF359" s="15" t="str">
        <f t="shared" si="51"/>
        <v/>
      </c>
      <c r="AG359" s="18">
        <f>IF(AND(S359=1,Z359="Y"),IF(Settings!$B$6="Percentage",IF(AD359=0,0,AC359*AA359*(N359/AD359)),IF(Settings!$B$6="Points",IF(AF359=0,0,AC359*(N359*AB359)/AF359),IF(Settings!$B$6="Equally",IF(AE359=0,0,AC359*N359/AE359),0))),0)</f>
        <v>0</v>
      </c>
      <c r="AH359" s="18" t="str">
        <f t="shared" si="52"/>
        <v/>
      </c>
      <c r="AI359" s="15">
        <f>IF(S359=1,IF(COUNTIFS($R$2:R359,R359,$S$2:S359,1)=1,1,0),0)</f>
        <v>0</v>
      </c>
      <c r="AJ359" s="15">
        <f>SUM($AI$2:AI359)</f>
        <v>12</v>
      </c>
    </row>
    <row r="360" spans="18:36">
      <c r="R360" s="15" t="str">
        <f t="shared" si="53"/>
        <v/>
      </c>
      <c r="S360" s="15">
        <f t="shared" si="45"/>
        <v>0</v>
      </c>
      <c r="T360" s="16" t="str">
        <f>IF(S360=1, DATE(YEAR(Settings!$B$3), MONTH(D360), DAY(D360)), "")</f>
        <v/>
      </c>
      <c r="U360" s="15" t="str">
        <f>IF(S360=1,IFERROR(INDEX(Settings!$B$12:$B$41,MATCH($B360,Settings!$A$12:$A$41,0)),"N"),"")</f>
        <v/>
      </c>
      <c r="V360" s="15" t="str">
        <f>IF(S360=1,IFERROR(INDEX(Settings!$C$12:$C$41,MATCH($B360,Settings!$A$12:$A$41,0)),""),"")</f>
        <v/>
      </c>
      <c r="W360" s="17">
        <f>IF(S360=1,IFERROR(INDEX(Settings!$D$12:$D$41,MATCH($B360,Settings!$A$12:$A$41,0)),0),0)</f>
        <v>0</v>
      </c>
      <c r="X360" s="18">
        <f t="shared" si="46"/>
        <v>0</v>
      </c>
      <c r="Y360" s="18" t="str">
        <f t="shared" si="47"/>
        <v/>
      </c>
      <c r="Z360" s="15" t="str">
        <f>IF(S360=1,IFERROR(INDEX(Settings!$E$12:$E$41,MATCH($B360,Settings!$A$12:$A$41,0)),"N"),"")</f>
        <v/>
      </c>
      <c r="AA360" s="17">
        <f>IF(S360=1,IFERROR(INDEX(Settings!$F$12:$F$41,MATCH($B360,Settings!$A$12:$A$41,0)),0),0)</f>
        <v>0</v>
      </c>
      <c r="AB360" s="15">
        <f>IF(S360=1,IFERROR(INDEX(Settings!$G$12:$G$41,MATCH($B360,Settings!$A$12:$A$41,0)),0),0)</f>
        <v>0</v>
      </c>
      <c r="AC360" s="18" t="str">
        <f t="shared" si="48"/>
        <v/>
      </c>
      <c r="AD360" s="15" t="str">
        <f t="shared" si="49"/>
        <v/>
      </c>
      <c r="AE360" s="15" t="str">
        <f t="shared" si="50"/>
        <v/>
      </c>
      <c r="AF360" s="15" t="str">
        <f t="shared" si="51"/>
        <v/>
      </c>
      <c r="AG360" s="18">
        <f>IF(AND(S360=1,Z360="Y"),IF(Settings!$B$6="Percentage",IF(AD360=0,0,AC360*AA360*(N360/AD360)),IF(Settings!$B$6="Points",IF(AF360=0,0,AC360*(N360*AB360)/AF360),IF(Settings!$B$6="Equally",IF(AE360=0,0,AC360*N360/AE360),0))),0)</f>
        <v>0</v>
      </c>
      <c r="AH360" s="18" t="str">
        <f t="shared" si="52"/>
        <v/>
      </c>
      <c r="AI360" s="15">
        <f>IF(S360=1,IF(COUNTIFS($R$2:R360,R360,$S$2:S360,1)=1,1,0),0)</f>
        <v>0</v>
      </c>
      <c r="AJ360" s="15">
        <f>SUM($AI$2:AI360)</f>
        <v>12</v>
      </c>
    </row>
    <row r="361" spans="18:36">
      <c r="R361" s="15" t="str">
        <f t="shared" si="53"/>
        <v/>
      </c>
      <c r="S361" s="15">
        <f t="shared" si="45"/>
        <v>0</v>
      </c>
      <c r="T361" s="16" t="str">
        <f>IF(S361=1, DATE(YEAR(Settings!$B$3), MONTH(D361), DAY(D361)), "")</f>
        <v/>
      </c>
      <c r="U361" s="15" t="str">
        <f>IF(S361=1,IFERROR(INDEX(Settings!$B$12:$B$41,MATCH($B361,Settings!$A$12:$A$41,0)),"N"),"")</f>
        <v/>
      </c>
      <c r="V361" s="15" t="str">
        <f>IF(S361=1,IFERROR(INDEX(Settings!$C$12:$C$41,MATCH($B361,Settings!$A$12:$A$41,0)),""),"")</f>
        <v/>
      </c>
      <c r="W361" s="17">
        <f>IF(S361=1,IFERROR(INDEX(Settings!$D$12:$D$41,MATCH($B361,Settings!$A$12:$A$41,0)),0),0)</f>
        <v>0</v>
      </c>
      <c r="X361" s="18">
        <f t="shared" si="46"/>
        <v>0</v>
      </c>
      <c r="Y361" s="18" t="str">
        <f t="shared" si="47"/>
        <v/>
      </c>
      <c r="Z361" s="15" t="str">
        <f>IF(S361=1,IFERROR(INDEX(Settings!$E$12:$E$41,MATCH($B361,Settings!$A$12:$A$41,0)),"N"),"")</f>
        <v/>
      </c>
      <c r="AA361" s="17">
        <f>IF(S361=1,IFERROR(INDEX(Settings!$F$12:$F$41,MATCH($B361,Settings!$A$12:$A$41,0)),0),0)</f>
        <v>0</v>
      </c>
      <c r="AB361" s="15">
        <f>IF(S361=1,IFERROR(INDEX(Settings!$G$12:$G$41,MATCH($B361,Settings!$A$12:$A$41,0)),0),0)</f>
        <v>0</v>
      </c>
      <c r="AC361" s="18" t="str">
        <f t="shared" si="48"/>
        <v/>
      </c>
      <c r="AD361" s="15" t="str">
        <f t="shared" si="49"/>
        <v/>
      </c>
      <c r="AE361" s="15" t="str">
        <f t="shared" si="50"/>
        <v/>
      </c>
      <c r="AF361" s="15" t="str">
        <f t="shared" si="51"/>
        <v/>
      </c>
      <c r="AG361" s="18">
        <f>IF(AND(S361=1,Z361="Y"),IF(Settings!$B$6="Percentage",IF(AD361=0,0,AC361*AA361*(N361/AD361)),IF(Settings!$B$6="Points",IF(AF361=0,0,AC361*(N361*AB361)/AF361),IF(Settings!$B$6="Equally",IF(AE361=0,0,AC361*N361/AE361),0))),0)</f>
        <v>0</v>
      </c>
      <c r="AH361" s="18" t="str">
        <f t="shared" si="52"/>
        <v/>
      </c>
      <c r="AI361" s="15">
        <f>IF(S361=1,IF(COUNTIFS($R$2:R361,R361,$S$2:S361,1)=1,1,0),0)</f>
        <v>0</v>
      </c>
      <c r="AJ361" s="15">
        <f>SUM($AI$2:AI361)</f>
        <v>12</v>
      </c>
    </row>
    <row r="362" spans="18:36">
      <c r="R362" s="15" t="str">
        <f t="shared" si="53"/>
        <v/>
      </c>
      <c r="S362" s="15">
        <f t="shared" si="45"/>
        <v>0</v>
      </c>
      <c r="T362" s="16" t="str">
        <f>IF(S362=1, DATE(YEAR(Settings!$B$3), MONTH(D362), DAY(D362)), "")</f>
        <v/>
      </c>
      <c r="U362" s="15" t="str">
        <f>IF(S362=1,IFERROR(INDEX(Settings!$B$12:$B$41,MATCH($B362,Settings!$A$12:$A$41,0)),"N"),"")</f>
        <v/>
      </c>
      <c r="V362" s="15" t="str">
        <f>IF(S362=1,IFERROR(INDEX(Settings!$C$12:$C$41,MATCH($B362,Settings!$A$12:$A$41,0)),""),"")</f>
        <v/>
      </c>
      <c r="W362" s="17">
        <f>IF(S362=1,IFERROR(INDEX(Settings!$D$12:$D$41,MATCH($B362,Settings!$A$12:$A$41,0)),0),0)</f>
        <v>0</v>
      </c>
      <c r="X362" s="18">
        <f t="shared" si="46"/>
        <v>0</v>
      </c>
      <c r="Y362" s="18" t="str">
        <f t="shared" si="47"/>
        <v/>
      </c>
      <c r="Z362" s="15" t="str">
        <f>IF(S362=1,IFERROR(INDEX(Settings!$E$12:$E$41,MATCH($B362,Settings!$A$12:$A$41,0)),"N"),"")</f>
        <v/>
      </c>
      <c r="AA362" s="17">
        <f>IF(S362=1,IFERROR(INDEX(Settings!$F$12:$F$41,MATCH($B362,Settings!$A$12:$A$41,0)),0),0)</f>
        <v>0</v>
      </c>
      <c r="AB362" s="15">
        <f>IF(S362=1,IFERROR(INDEX(Settings!$G$12:$G$41,MATCH($B362,Settings!$A$12:$A$41,0)),0),0)</f>
        <v>0</v>
      </c>
      <c r="AC362" s="18" t="str">
        <f t="shared" si="48"/>
        <v/>
      </c>
      <c r="AD362" s="15" t="str">
        <f t="shared" si="49"/>
        <v/>
      </c>
      <c r="AE362" s="15" t="str">
        <f t="shared" si="50"/>
        <v/>
      </c>
      <c r="AF362" s="15" t="str">
        <f t="shared" si="51"/>
        <v/>
      </c>
      <c r="AG362" s="18">
        <f>IF(AND(S362=1,Z362="Y"),IF(Settings!$B$6="Percentage",IF(AD362=0,0,AC362*AA362*(N362/AD362)),IF(Settings!$B$6="Points",IF(AF362=0,0,AC362*(N362*AB362)/AF362),IF(Settings!$B$6="Equally",IF(AE362=0,0,AC362*N362/AE362),0))),0)</f>
        <v>0</v>
      </c>
      <c r="AH362" s="18" t="str">
        <f t="shared" si="52"/>
        <v/>
      </c>
      <c r="AI362" s="15">
        <f>IF(S362=1,IF(COUNTIFS($R$2:R362,R362,$S$2:S362,1)=1,1,0),0)</f>
        <v>0</v>
      </c>
      <c r="AJ362" s="15">
        <f>SUM($AI$2:AI362)</f>
        <v>12</v>
      </c>
    </row>
    <row r="363" spans="18:36">
      <c r="R363" s="15" t="str">
        <f t="shared" si="53"/>
        <v/>
      </c>
      <c r="S363" s="15">
        <f t="shared" si="45"/>
        <v>0</v>
      </c>
      <c r="T363" s="16" t="str">
        <f>IF(S363=1, DATE(YEAR(Settings!$B$3), MONTH(D363), DAY(D363)), "")</f>
        <v/>
      </c>
      <c r="U363" s="15" t="str">
        <f>IF(S363=1,IFERROR(INDEX(Settings!$B$12:$B$41,MATCH($B363,Settings!$A$12:$A$41,0)),"N"),"")</f>
        <v/>
      </c>
      <c r="V363" s="15" t="str">
        <f>IF(S363=1,IFERROR(INDEX(Settings!$C$12:$C$41,MATCH($B363,Settings!$A$12:$A$41,0)),""),"")</f>
        <v/>
      </c>
      <c r="W363" s="17">
        <f>IF(S363=1,IFERROR(INDEX(Settings!$D$12:$D$41,MATCH($B363,Settings!$A$12:$A$41,0)),0),0)</f>
        <v>0</v>
      </c>
      <c r="X363" s="18">
        <f t="shared" si="46"/>
        <v>0</v>
      </c>
      <c r="Y363" s="18" t="str">
        <f t="shared" si="47"/>
        <v/>
      </c>
      <c r="Z363" s="15" t="str">
        <f>IF(S363=1,IFERROR(INDEX(Settings!$E$12:$E$41,MATCH($B363,Settings!$A$12:$A$41,0)),"N"),"")</f>
        <v/>
      </c>
      <c r="AA363" s="17">
        <f>IF(S363=1,IFERROR(INDEX(Settings!$F$12:$F$41,MATCH($B363,Settings!$A$12:$A$41,0)),0),0)</f>
        <v>0</v>
      </c>
      <c r="AB363" s="15">
        <f>IF(S363=1,IFERROR(INDEX(Settings!$G$12:$G$41,MATCH($B363,Settings!$A$12:$A$41,0)),0),0)</f>
        <v>0</v>
      </c>
      <c r="AC363" s="18" t="str">
        <f t="shared" si="48"/>
        <v/>
      </c>
      <c r="AD363" s="15" t="str">
        <f t="shared" si="49"/>
        <v/>
      </c>
      <c r="AE363" s="15" t="str">
        <f t="shared" si="50"/>
        <v/>
      </c>
      <c r="AF363" s="15" t="str">
        <f t="shared" si="51"/>
        <v/>
      </c>
      <c r="AG363" s="18">
        <f>IF(AND(S363=1,Z363="Y"),IF(Settings!$B$6="Percentage",IF(AD363=0,0,AC363*AA363*(N363/AD363)),IF(Settings!$B$6="Points",IF(AF363=0,0,AC363*(N363*AB363)/AF363),IF(Settings!$B$6="Equally",IF(AE363=0,0,AC363*N363/AE363),0))),0)</f>
        <v>0</v>
      </c>
      <c r="AH363" s="18" t="str">
        <f t="shared" si="52"/>
        <v/>
      </c>
      <c r="AI363" s="15">
        <f>IF(S363=1,IF(COUNTIFS($R$2:R363,R363,$S$2:S363,1)=1,1,0),0)</f>
        <v>0</v>
      </c>
      <c r="AJ363" s="15">
        <f>SUM($AI$2:AI363)</f>
        <v>12</v>
      </c>
    </row>
    <row r="364" spans="18:36">
      <c r="R364" s="15" t="str">
        <f t="shared" si="53"/>
        <v/>
      </c>
      <c r="S364" s="15">
        <f t="shared" si="45"/>
        <v>0</v>
      </c>
      <c r="T364" s="16" t="str">
        <f>IF(S364=1, DATE(YEAR(Settings!$B$3), MONTH(D364), DAY(D364)), "")</f>
        <v/>
      </c>
      <c r="U364" s="15" t="str">
        <f>IF(S364=1,IFERROR(INDEX(Settings!$B$12:$B$41,MATCH($B364,Settings!$A$12:$A$41,0)),"N"),"")</f>
        <v/>
      </c>
      <c r="V364" s="15" t="str">
        <f>IF(S364=1,IFERROR(INDEX(Settings!$C$12:$C$41,MATCH($B364,Settings!$A$12:$A$41,0)),""),"")</f>
        <v/>
      </c>
      <c r="W364" s="17">
        <f>IF(S364=1,IFERROR(INDEX(Settings!$D$12:$D$41,MATCH($B364,Settings!$A$12:$A$41,0)),0),0)</f>
        <v>0</v>
      </c>
      <c r="X364" s="18">
        <f t="shared" si="46"/>
        <v>0</v>
      </c>
      <c r="Y364" s="18" t="str">
        <f t="shared" si="47"/>
        <v/>
      </c>
      <c r="Z364" s="15" t="str">
        <f>IF(S364=1,IFERROR(INDEX(Settings!$E$12:$E$41,MATCH($B364,Settings!$A$12:$A$41,0)),"N"),"")</f>
        <v/>
      </c>
      <c r="AA364" s="17">
        <f>IF(S364=1,IFERROR(INDEX(Settings!$F$12:$F$41,MATCH($B364,Settings!$A$12:$A$41,0)),0),0)</f>
        <v>0</v>
      </c>
      <c r="AB364" s="15">
        <f>IF(S364=1,IFERROR(INDEX(Settings!$G$12:$G$41,MATCH($B364,Settings!$A$12:$A$41,0)),0),0)</f>
        <v>0</v>
      </c>
      <c r="AC364" s="18" t="str">
        <f t="shared" si="48"/>
        <v/>
      </c>
      <c r="AD364" s="15" t="str">
        <f t="shared" si="49"/>
        <v/>
      </c>
      <c r="AE364" s="15" t="str">
        <f t="shared" si="50"/>
        <v/>
      </c>
      <c r="AF364" s="15" t="str">
        <f t="shared" si="51"/>
        <v/>
      </c>
      <c r="AG364" s="18">
        <f>IF(AND(S364=1,Z364="Y"),IF(Settings!$B$6="Percentage",IF(AD364=0,0,AC364*AA364*(N364/AD364)),IF(Settings!$B$6="Points",IF(AF364=0,0,AC364*(N364*AB364)/AF364),IF(Settings!$B$6="Equally",IF(AE364=0,0,AC364*N364/AE364),0))),0)</f>
        <v>0</v>
      </c>
      <c r="AH364" s="18" t="str">
        <f t="shared" si="52"/>
        <v/>
      </c>
      <c r="AI364" s="15">
        <f>IF(S364=1,IF(COUNTIFS($R$2:R364,R364,$S$2:S364,1)=1,1,0),0)</f>
        <v>0</v>
      </c>
      <c r="AJ364" s="15">
        <f>SUM($AI$2:AI364)</f>
        <v>12</v>
      </c>
    </row>
    <row r="365" spans="18:36">
      <c r="R365" s="15" t="str">
        <f t="shared" si="53"/>
        <v/>
      </c>
      <c r="S365" s="15">
        <f t="shared" si="45"/>
        <v>0</v>
      </c>
      <c r="T365" s="16" t="str">
        <f>IF(S365=1, DATE(YEAR(Settings!$B$3), MONTH(D365), DAY(D365)), "")</f>
        <v/>
      </c>
      <c r="U365" s="15" t="str">
        <f>IF(S365=1,IFERROR(INDEX(Settings!$B$12:$B$41,MATCH($B365,Settings!$A$12:$A$41,0)),"N"),"")</f>
        <v/>
      </c>
      <c r="V365" s="15" t="str">
        <f>IF(S365=1,IFERROR(INDEX(Settings!$C$12:$C$41,MATCH($B365,Settings!$A$12:$A$41,0)),""),"")</f>
        <v/>
      </c>
      <c r="W365" s="17">
        <f>IF(S365=1,IFERROR(INDEX(Settings!$D$12:$D$41,MATCH($B365,Settings!$A$12:$A$41,0)),0),0)</f>
        <v>0</v>
      </c>
      <c r="X365" s="18">
        <f t="shared" si="46"/>
        <v>0</v>
      </c>
      <c r="Y365" s="18" t="str">
        <f t="shared" si="47"/>
        <v/>
      </c>
      <c r="Z365" s="15" t="str">
        <f>IF(S365=1,IFERROR(INDEX(Settings!$E$12:$E$41,MATCH($B365,Settings!$A$12:$A$41,0)),"N"),"")</f>
        <v/>
      </c>
      <c r="AA365" s="17">
        <f>IF(S365=1,IFERROR(INDEX(Settings!$F$12:$F$41,MATCH($B365,Settings!$A$12:$A$41,0)),0),0)</f>
        <v>0</v>
      </c>
      <c r="AB365" s="15">
        <f>IF(S365=1,IFERROR(INDEX(Settings!$G$12:$G$41,MATCH($B365,Settings!$A$12:$A$41,0)),0),0)</f>
        <v>0</v>
      </c>
      <c r="AC365" s="18" t="str">
        <f t="shared" si="48"/>
        <v/>
      </c>
      <c r="AD365" s="15" t="str">
        <f t="shared" si="49"/>
        <v/>
      </c>
      <c r="AE365" s="15" t="str">
        <f t="shared" si="50"/>
        <v/>
      </c>
      <c r="AF365" s="15" t="str">
        <f t="shared" si="51"/>
        <v/>
      </c>
      <c r="AG365" s="18">
        <f>IF(AND(S365=1,Z365="Y"),IF(Settings!$B$6="Percentage",IF(AD365=0,0,AC365*AA365*(N365/AD365)),IF(Settings!$B$6="Points",IF(AF365=0,0,AC365*(N365*AB365)/AF365),IF(Settings!$B$6="Equally",IF(AE365=0,0,AC365*N365/AE365),0))),0)</f>
        <v>0</v>
      </c>
      <c r="AH365" s="18" t="str">
        <f t="shared" si="52"/>
        <v/>
      </c>
      <c r="AI365" s="15">
        <f>IF(S365=1,IF(COUNTIFS($R$2:R365,R365,$S$2:S365,1)=1,1,0),0)</f>
        <v>0</v>
      </c>
      <c r="AJ365" s="15">
        <f>SUM($AI$2:AI365)</f>
        <v>12</v>
      </c>
    </row>
    <row r="366" spans="18:36">
      <c r="R366" s="15" t="str">
        <f t="shared" si="53"/>
        <v/>
      </c>
      <c r="S366" s="15">
        <f t="shared" si="45"/>
        <v>0</v>
      </c>
      <c r="T366" s="16" t="str">
        <f>IF(S366=1, DATE(YEAR(Settings!$B$3), MONTH(D366), DAY(D366)), "")</f>
        <v/>
      </c>
      <c r="U366" s="15" t="str">
        <f>IF(S366=1,IFERROR(INDEX(Settings!$B$12:$B$41,MATCH($B366,Settings!$A$12:$A$41,0)),"N"),"")</f>
        <v/>
      </c>
      <c r="V366" s="15" t="str">
        <f>IF(S366=1,IFERROR(INDEX(Settings!$C$12:$C$41,MATCH($B366,Settings!$A$12:$A$41,0)),""),"")</f>
        <v/>
      </c>
      <c r="W366" s="17">
        <f>IF(S366=1,IFERROR(INDEX(Settings!$D$12:$D$41,MATCH($B366,Settings!$A$12:$A$41,0)),0),0)</f>
        <v>0</v>
      </c>
      <c r="X366" s="18">
        <f t="shared" si="46"/>
        <v>0</v>
      </c>
      <c r="Y366" s="18" t="str">
        <f t="shared" si="47"/>
        <v/>
      </c>
      <c r="Z366" s="15" t="str">
        <f>IF(S366=1,IFERROR(INDEX(Settings!$E$12:$E$41,MATCH($B366,Settings!$A$12:$A$41,0)),"N"),"")</f>
        <v/>
      </c>
      <c r="AA366" s="17">
        <f>IF(S366=1,IFERROR(INDEX(Settings!$F$12:$F$41,MATCH($B366,Settings!$A$12:$A$41,0)),0),0)</f>
        <v>0</v>
      </c>
      <c r="AB366" s="15">
        <f>IF(S366=1,IFERROR(INDEX(Settings!$G$12:$G$41,MATCH($B366,Settings!$A$12:$A$41,0)),0),0)</f>
        <v>0</v>
      </c>
      <c r="AC366" s="18" t="str">
        <f t="shared" si="48"/>
        <v/>
      </c>
      <c r="AD366" s="15" t="str">
        <f t="shared" si="49"/>
        <v/>
      </c>
      <c r="AE366" s="15" t="str">
        <f t="shared" si="50"/>
        <v/>
      </c>
      <c r="AF366" s="15" t="str">
        <f t="shared" si="51"/>
        <v/>
      </c>
      <c r="AG366" s="18">
        <f>IF(AND(S366=1,Z366="Y"),IF(Settings!$B$6="Percentage",IF(AD366=0,0,AC366*AA366*(N366/AD366)),IF(Settings!$B$6="Points",IF(AF366=0,0,AC366*(N366*AB366)/AF366),IF(Settings!$B$6="Equally",IF(AE366=0,0,AC366*N366/AE366),0))),0)</f>
        <v>0</v>
      </c>
      <c r="AH366" s="18" t="str">
        <f t="shared" si="52"/>
        <v/>
      </c>
      <c r="AI366" s="15">
        <f>IF(S366=1,IF(COUNTIFS($R$2:R366,R366,$S$2:S366,1)=1,1,0),0)</f>
        <v>0</v>
      </c>
      <c r="AJ366" s="15">
        <f>SUM($AI$2:AI366)</f>
        <v>12</v>
      </c>
    </row>
    <row r="367" spans="18:36">
      <c r="R367" s="15" t="str">
        <f t="shared" si="53"/>
        <v/>
      </c>
      <c r="S367" s="15">
        <f t="shared" si="45"/>
        <v>0</v>
      </c>
      <c r="T367" s="16" t="str">
        <f>IF(S367=1, DATE(YEAR(Settings!$B$3), MONTH(D367), DAY(D367)), "")</f>
        <v/>
      </c>
      <c r="U367" s="15" t="str">
        <f>IF(S367=1,IFERROR(INDEX(Settings!$B$12:$B$41,MATCH($B367,Settings!$A$12:$A$41,0)),"N"),"")</f>
        <v/>
      </c>
      <c r="V367" s="15" t="str">
        <f>IF(S367=1,IFERROR(INDEX(Settings!$C$12:$C$41,MATCH($B367,Settings!$A$12:$A$41,0)),""),"")</f>
        <v/>
      </c>
      <c r="W367" s="17">
        <f>IF(S367=1,IFERROR(INDEX(Settings!$D$12:$D$41,MATCH($B367,Settings!$A$12:$A$41,0)),0),0)</f>
        <v>0</v>
      </c>
      <c r="X367" s="18">
        <f t="shared" si="46"/>
        <v>0</v>
      </c>
      <c r="Y367" s="18" t="str">
        <f t="shared" si="47"/>
        <v/>
      </c>
      <c r="Z367" s="15" t="str">
        <f>IF(S367=1,IFERROR(INDEX(Settings!$E$12:$E$41,MATCH($B367,Settings!$A$12:$A$41,0)),"N"),"")</f>
        <v/>
      </c>
      <c r="AA367" s="17">
        <f>IF(S367=1,IFERROR(INDEX(Settings!$F$12:$F$41,MATCH($B367,Settings!$A$12:$A$41,0)),0),0)</f>
        <v>0</v>
      </c>
      <c r="AB367" s="15">
        <f>IF(S367=1,IFERROR(INDEX(Settings!$G$12:$G$41,MATCH($B367,Settings!$A$12:$A$41,0)),0),0)</f>
        <v>0</v>
      </c>
      <c r="AC367" s="18" t="str">
        <f t="shared" si="48"/>
        <v/>
      </c>
      <c r="AD367" s="15" t="str">
        <f t="shared" si="49"/>
        <v/>
      </c>
      <c r="AE367" s="15" t="str">
        <f t="shared" si="50"/>
        <v/>
      </c>
      <c r="AF367" s="15" t="str">
        <f t="shared" si="51"/>
        <v/>
      </c>
      <c r="AG367" s="18">
        <f>IF(AND(S367=1,Z367="Y"),IF(Settings!$B$6="Percentage",IF(AD367=0,0,AC367*AA367*(N367/AD367)),IF(Settings!$B$6="Points",IF(AF367=0,0,AC367*(N367*AB367)/AF367),IF(Settings!$B$6="Equally",IF(AE367=0,0,AC367*N367/AE367),0))),0)</f>
        <v>0</v>
      </c>
      <c r="AH367" s="18" t="str">
        <f t="shared" si="52"/>
        <v/>
      </c>
      <c r="AI367" s="15">
        <f>IF(S367=1,IF(COUNTIFS($R$2:R367,R367,$S$2:S367,1)=1,1,0),0)</f>
        <v>0</v>
      </c>
      <c r="AJ367" s="15">
        <f>SUM($AI$2:AI367)</f>
        <v>12</v>
      </c>
    </row>
    <row r="368" spans="18:36">
      <c r="R368" s="15" t="str">
        <f t="shared" si="53"/>
        <v/>
      </c>
      <c r="S368" s="15">
        <f t="shared" si="45"/>
        <v>0</v>
      </c>
      <c r="T368" s="16" t="str">
        <f>IF(S368=1, DATE(YEAR(Settings!$B$3), MONTH(D368), DAY(D368)), "")</f>
        <v/>
      </c>
      <c r="U368" s="15" t="str">
        <f>IF(S368=1,IFERROR(INDEX(Settings!$B$12:$B$41,MATCH($B368,Settings!$A$12:$A$41,0)),"N"),"")</f>
        <v/>
      </c>
      <c r="V368" s="15" t="str">
        <f>IF(S368=1,IFERROR(INDEX(Settings!$C$12:$C$41,MATCH($B368,Settings!$A$12:$A$41,0)),""),"")</f>
        <v/>
      </c>
      <c r="W368" s="17">
        <f>IF(S368=1,IFERROR(INDEX(Settings!$D$12:$D$41,MATCH($B368,Settings!$A$12:$A$41,0)),0),0)</f>
        <v>0</v>
      </c>
      <c r="X368" s="18">
        <f t="shared" si="46"/>
        <v>0</v>
      </c>
      <c r="Y368" s="18" t="str">
        <f t="shared" si="47"/>
        <v/>
      </c>
      <c r="Z368" s="15" t="str">
        <f>IF(S368=1,IFERROR(INDEX(Settings!$E$12:$E$41,MATCH($B368,Settings!$A$12:$A$41,0)),"N"),"")</f>
        <v/>
      </c>
      <c r="AA368" s="17">
        <f>IF(S368=1,IFERROR(INDEX(Settings!$F$12:$F$41,MATCH($B368,Settings!$A$12:$A$41,0)),0),0)</f>
        <v>0</v>
      </c>
      <c r="AB368" s="15">
        <f>IF(S368=1,IFERROR(INDEX(Settings!$G$12:$G$41,MATCH($B368,Settings!$A$12:$A$41,0)),0),0)</f>
        <v>0</v>
      </c>
      <c r="AC368" s="18" t="str">
        <f t="shared" si="48"/>
        <v/>
      </c>
      <c r="AD368" s="15" t="str">
        <f t="shared" si="49"/>
        <v/>
      </c>
      <c r="AE368" s="15" t="str">
        <f t="shared" si="50"/>
        <v/>
      </c>
      <c r="AF368" s="15" t="str">
        <f t="shared" si="51"/>
        <v/>
      </c>
      <c r="AG368" s="18">
        <f>IF(AND(S368=1,Z368="Y"),IF(Settings!$B$6="Percentage",IF(AD368=0,0,AC368*AA368*(N368/AD368)),IF(Settings!$B$6="Points",IF(AF368=0,0,AC368*(N368*AB368)/AF368),IF(Settings!$B$6="Equally",IF(AE368=0,0,AC368*N368/AE368),0))),0)</f>
        <v>0</v>
      </c>
      <c r="AH368" s="18" t="str">
        <f t="shared" si="52"/>
        <v/>
      </c>
      <c r="AI368" s="15">
        <f>IF(S368=1,IF(COUNTIFS($R$2:R368,R368,$S$2:S368,1)=1,1,0),0)</f>
        <v>0</v>
      </c>
      <c r="AJ368" s="15">
        <f>SUM($AI$2:AI368)</f>
        <v>12</v>
      </c>
    </row>
    <row r="369" spans="18:36">
      <c r="R369" s="15" t="str">
        <f t="shared" si="53"/>
        <v/>
      </c>
      <c r="S369" s="15">
        <f t="shared" si="45"/>
        <v>0</v>
      </c>
      <c r="T369" s="16" t="str">
        <f>IF(S369=1, DATE(YEAR(Settings!$B$3), MONTH(D369), DAY(D369)), "")</f>
        <v/>
      </c>
      <c r="U369" s="15" t="str">
        <f>IF(S369=1,IFERROR(INDEX(Settings!$B$12:$B$41,MATCH($B369,Settings!$A$12:$A$41,0)),"N"),"")</f>
        <v/>
      </c>
      <c r="V369" s="15" t="str">
        <f>IF(S369=1,IFERROR(INDEX(Settings!$C$12:$C$41,MATCH($B369,Settings!$A$12:$A$41,0)),""),"")</f>
        <v/>
      </c>
      <c r="W369" s="17">
        <f>IF(S369=1,IFERROR(INDEX(Settings!$D$12:$D$41,MATCH($B369,Settings!$A$12:$A$41,0)),0),0)</f>
        <v>0</v>
      </c>
      <c r="X369" s="18">
        <f t="shared" si="46"/>
        <v>0</v>
      </c>
      <c r="Y369" s="18" t="str">
        <f t="shared" si="47"/>
        <v/>
      </c>
      <c r="Z369" s="15" t="str">
        <f>IF(S369=1,IFERROR(INDEX(Settings!$E$12:$E$41,MATCH($B369,Settings!$A$12:$A$41,0)),"N"),"")</f>
        <v/>
      </c>
      <c r="AA369" s="17">
        <f>IF(S369=1,IFERROR(INDEX(Settings!$F$12:$F$41,MATCH($B369,Settings!$A$12:$A$41,0)),0),0)</f>
        <v>0</v>
      </c>
      <c r="AB369" s="15">
        <f>IF(S369=1,IFERROR(INDEX(Settings!$G$12:$G$41,MATCH($B369,Settings!$A$12:$A$41,0)),0),0)</f>
        <v>0</v>
      </c>
      <c r="AC369" s="18" t="str">
        <f t="shared" si="48"/>
        <v/>
      </c>
      <c r="AD369" s="15" t="str">
        <f t="shared" si="49"/>
        <v/>
      </c>
      <c r="AE369" s="15" t="str">
        <f t="shared" si="50"/>
        <v/>
      </c>
      <c r="AF369" s="15" t="str">
        <f t="shared" si="51"/>
        <v/>
      </c>
      <c r="AG369" s="18">
        <f>IF(AND(S369=1,Z369="Y"),IF(Settings!$B$6="Percentage",IF(AD369=0,0,AC369*AA369*(N369/AD369)),IF(Settings!$B$6="Points",IF(AF369=0,0,AC369*(N369*AB369)/AF369),IF(Settings!$B$6="Equally",IF(AE369=0,0,AC369*N369/AE369),0))),0)</f>
        <v>0</v>
      </c>
      <c r="AH369" s="18" t="str">
        <f t="shared" si="52"/>
        <v/>
      </c>
      <c r="AI369" s="15">
        <f>IF(S369=1,IF(COUNTIFS($R$2:R369,R369,$S$2:S369,1)=1,1,0),0)</f>
        <v>0</v>
      </c>
      <c r="AJ369" s="15">
        <f>SUM($AI$2:AI369)</f>
        <v>12</v>
      </c>
    </row>
    <row r="370" spans="18:36">
      <c r="R370" s="15" t="str">
        <f t="shared" si="53"/>
        <v/>
      </c>
      <c r="S370" s="15">
        <f t="shared" si="45"/>
        <v>0</v>
      </c>
      <c r="T370" s="16" t="str">
        <f>IF(S370=1, DATE(YEAR(Settings!$B$3), MONTH(D370), DAY(D370)), "")</f>
        <v/>
      </c>
      <c r="U370" s="15" t="str">
        <f>IF(S370=1,IFERROR(INDEX(Settings!$B$12:$B$41,MATCH($B370,Settings!$A$12:$A$41,0)),"N"),"")</f>
        <v/>
      </c>
      <c r="V370" s="15" t="str">
        <f>IF(S370=1,IFERROR(INDEX(Settings!$C$12:$C$41,MATCH($B370,Settings!$A$12:$A$41,0)),""),"")</f>
        <v/>
      </c>
      <c r="W370" s="17">
        <f>IF(S370=1,IFERROR(INDEX(Settings!$D$12:$D$41,MATCH($B370,Settings!$A$12:$A$41,0)),0),0)</f>
        <v>0</v>
      </c>
      <c r="X370" s="18">
        <f t="shared" si="46"/>
        <v>0</v>
      </c>
      <c r="Y370" s="18" t="str">
        <f t="shared" si="47"/>
        <v/>
      </c>
      <c r="Z370" s="15" t="str">
        <f>IF(S370=1,IFERROR(INDEX(Settings!$E$12:$E$41,MATCH($B370,Settings!$A$12:$A$41,0)),"N"),"")</f>
        <v/>
      </c>
      <c r="AA370" s="17">
        <f>IF(S370=1,IFERROR(INDEX(Settings!$F$12:$F$41,MATCH($B370,Settings!$A$12:$A$41,0)),0),0)</f>
        <v>0</v>
      </c>
      <c r="AB370" s="15">
        <f>IF(S370=1,IFERROR(INDEX(Settings!$G$12:$G$41,MATCH($B370,Settings!$A$12:$A$41,0)),0),0)</f>
        <v>0</v>
      </c>
      <c r="AC370" s="18" t="str">
        <f t="shared" si="48"/>
        <v/>
      </c>
      <c r="AD370" s="15" t="str">
        <f t="shared" si="49"/>
        <v/>
      </c>
      <c r="AE370" s="15" t="str">
        <f t="shared" si="50"/>
        <v/>
      </c>
      <c r="AF370" s="15" t="str">
        <f t="shared" si="51"/>
        <v/>
      </c>
      <c r="AG370" s="18">
        <f>IF(AND(S370=1,Z370="Y"),IF(Settings!$B$6="Percentage",IF(AD370=0,0,AC370*AA370*(N370/AD370)),IF(Settings!$B$6="Points",IF(AF370=0,0,AC370*(N370*AB370)/AF370),IF(Settings!$B$6="Equally",IF(AE370=0,0,AC370*N370/AE370),0))),0)</f>
        <v>0</v>
      </c>
      <c r="AH370" s="18" t="str">
        <f t="shared" si="52"/>
        <v/>
      </c>
      <c r="AI370" s="15">
        <f>IF(S370=1,IF(COUNTIFS($R$2:R370,R370,$S$2:S370,1)=1,1,0),0)</f>
        <v>0</v>
      </c>
      <c r="AJ370" s="15">
        <f>SUM($AI$2:AI370)</f>
        <v>12</v>
      </c>
    </row>
    <row r="371" spans="18:36">
      <c r="R371" s="15" t="str">
        <f t="shared" si="53"/>
        <v/>
      </c>
      <c r="S371" s="15">
        <f t="shared" si="45"/>
        <v>0</v>
      </c>
      <c r="T371" s="16" t="str">
        <f>IF(S371=1, DATE(YEAR(Settings!$B$3), MONTH(D371), DAY(D371)), "")</f>
        <v/>
      </c>
      <c r="U371" s="15" t="str">
        <f>IF(S371=1,IFERROR(INDEX(Settings!$B$12:$B$41,MATCH($B371,Settings!$A$12:$A$41,0)),"N"),"")</f>
        <v/>
      </c>
      <c r="V371" s="15" t="str">
        <f>IF(S371=1,IFERROR(INDEX(Settings!$C$12:$C$41,MATCH($B371,Settings!$A$12:$A$41,0)),""),"")</f>
        <v/>
      </c>
      <c r="W371" s="17">
        <f>IF(S371=1,IFERROR(INDEX(Settings!$D$12:$D$41,MATCH($B371,Settings!$A$12:$A$41,0)),0),0)</f>
        <v>0</v>
      </c>
      <c r="X371" s="18">
        <f t="shared" si="46"/>
        <v>0</v>
      </c>
      <c r="Y371" s="18" t="str">
        <f t="shared" si="47"/>
        <v/>
      </c>
      <c r="Z371" s="15" t="str">
        <f>IF(S371=1,IFERROR(INDEX(Settings!$E$12:$E$41,MATCH($B371,Settings!$A$12:$A$41,0)),"N"),"")</f>
        <v/>
      </c>
      <c r="AA371" s="17">
        <f>IF(S371=1,IFERROR(INDEX(Settings!$F$12:$F$41,MATCH($B371,Settings!$A$12:$A$41,0)),0),0)</f>
        <v>0</v>
      </c>
      <c r="AB371" s="15">
        <f>IF(S371=1,IFERROR(INDEX(Settings!$G$12:$G$41,MATCH($B371,Settings!$A$12:$A$41,0)),0),0)</f>
        <v>0</v>
      </c>
      <c r="AC371" s="18" t="str">
        <f t="shared" si="48"/>
        <v/>
      </c>
      <c r="AD371" s="15" t="str">
        <f t="shared" si="49"/>
        <v/>
      </c>
      <c r="AE371" s="15" t="str">
        <f t="shared" si="50"/>
        <v/>
      </c>
      <c r="AF371" s="15" t="str">
        <f t="shared" si="51"/>
        <v/>
      </c>
      <c r="AG371" s="18">
        <f>IF(AND(S371=1,Z371="Y"),IF(Settings!$B$6="Percentage",IF(AD371=0,0,AC371*AA371*(N371/AD371)),IF(Settings!$B$6="Points",IF(AF371=0,0,AC371*(N371*AB371)/AF371),IF(Settings!$B$6="Equally",IF(AE371=0,0,AC371*N371/AE371),0))),0)</f>
        <v>0</v>
      </c>
      <c r="AH371" s="18" t="str">
        <f t="shared" si="52"/>
        <v/>
      </c>
      <c r="AI371" s="15">
        <f>IF(S371=1,IF(COUNTIFS($R$2:R371,R371,$S$2:S371,1)=1,1,0),0)</f>
        <v>0</v>
      </c>
      <c r="AJ371" s="15">
        <f>SUM($AI$2:AI371)</f>
        <v>12</v>
      </c>
    </row>
    <row r="372" spans="18:36">
      <c r="R372" s="15" t="str">
        <f t="shared" si="53"/>
        <v/>
      </c>
      <c r="S372" s="15">
        <f t="shared" si="45"/>
        <v>0</v>
      </c>
      <c r="T372" s="16" t="str">
        <f>IF(S372=1, DATE(YEAR(Settings!$B$3), MONTH(D372), DAY(D372)), "")</f>
        <v/>
      </c>
      <c r="U372" s="15" t="str">
        <f>IF(S372=1,IFERROR(INDEX(Settings!$B$12:$B$41,MATCH($B372,Settings!$A$12:$A$41,0)),"N"),"")</f>
        <v/>
      </c>
      <c r="V372" s="15" t="str">
        <f>IF(S372=1,IFERROR(INDEX(Settings!$C$12:$C$41,MATCH($B372,Settings!$A$12:$A$41,0)),""),"")</f>
        <v/>
      </c>
      <c r="W372" s="17">
        <f>IF(S372=1,IFERROR(INDEX(Settings!$D$12:$D$41,MATCH($B372,Settings!$A$12:$A$41,0)),0),0)</f>
        <v>0</v>
      </c>
      <c r="X372" s="18">
        <f t="shared" si="46"/>
        <v>0</v>
      </c>
      <c r="Y372" s="18" t="str">
        <f t="shared" si="47"/>
        <v/>
      </c>
      <c r="Z372" s="15" t="str">
        <f>IF(S372=1,IFERROR(INDEX(Settings!$E$12:$E$41,MATCH($B372,Settings!$A$12:$A$41,0)),"N"),"")</f>
        <v/>
      </c>
      <c r="AA372" s="17">
        <f>IF(S372=1,IFERROR(INDEX(Settings!$F$12:$F$41,MATCH($B372,Settings!$A$12:$A$41,0)),0),0)</f>
        <v>0</v>
      </c>
      <c r="AB372" s="15">
        <f>IF(S372=1,IFERROR(INDEX(Settings!$G$12:$G$41,MATCH($B372,Settings!$A$12:$A$41,0)),0),0)</f>
        <v>0</v>
      </c>
      <c r="AC372" s="18" t="str">
        <f t="shared" si="48"/>
        <v/>
      </c>
      <c r="AD372" s="15" t="str">
        <f t="shared" si="49"/>
        <v/>
      </c>
      <c r="AE372" s="15" t="str">
        <f t="shared" si="50"/>
        <v/>
      </c>
      <c r="AF372" s="15" t="str">
        <f t="shared" si="51"/>
        <v/>
      </c>
      <c r="AG372" s="18">
        <f>IF(AND(S372=1,Z372="Y"),IF(Settings!$B$6="Percentage",IF(AD372=0,0,AC372*AA372*(N372/AD372)),IF(Settings!$B$6="Points",IF(AF372=0,0,AC372*(N372*AB372)/AF372),IF(Settings!$B$6="Equally",IF(AE372=0,0,AC372*N372/AE372),0))),0)</f>
        <v>0</v>
      </c>
      <c r="AH372" s="18" t="str">
        <f t="shared" si="52"/>
        <v/>
      </c>
      <c r="AI372" s="15">
        <f>IF(S372=1,IF(COUNTIFS($R$2:R372,R372,$S$2:S372,1)=1,1,0),0)</f>
        <v>0</v>
      </c>
      <c r="AJ372" s="15">
        <f>SUM($AI$2:AI372)</f>
        <v>12</v>
      </c>
    </row>
    <row r="373" spans="18:36">
      <c r="R373" s="15" t="str">
        <f t="shared" si="53"/>
        <v/>
      </c>
      <c r="S373" s="15">
        <f t="shared" si="45"/>
        <v>0</v>
      </c>
      <c r="T373" s="16" t="str">
        <f>IF(S373=1, DATE(YEAR(Settings!$B$3), MONTH(D373), DAY(D373)), "")</f>
        <v/>
      </c>
      <c r="U373" s="15" t="str">
        <f>IF(S373=1,IFERROR(INDEX(Settings!$B$12:$B$41,MATCH($B373,Settings!$A$12:$A$41,0)),"N"),"")</f>
        <v/>
      </c>
      <c r="V373" s="15" t="str">
        <f>IF(S373=1,IFERROR(INDEX(Settings!$C$12:$C$41,MATCH($B373,Settings!$A$12:$A$41,0)),""),"")</f>
        <v/>
      </c>
      <c r="W373" s="17">
        <f>IF(S373=1,IFERROR(INDEX(Settings!$D$12:$D$41,MATCH($B373,Settings!$A$12:$A$41,0)),0),0)</f>
        <v>0</v>
      </c>
      <c r="X373" s="18">
        <f t="shared" si="46"/>
        <v>0</v>
      </c>
      <c r="Y373" s="18" t="str">
        <f t="shared" si="47"/>
        <v/>
      </c>
      <c r="Z373" s="15" t="str">
        <f>IF(S373=1,IFERROR(INDEX(Settings!$E$12:$E$41,MATCH($B373,Settings!$A$12:$A$41,0)),"N"),"")</f>
        <v/>
      </c>
      <c r="AA373" s="17">
        <f>IF(S373=1,IFERROR(INDEX(Settings!$F$12:$F$41,MATCH($B373,Settings!$A$12:$A$41,0)),0),0)</f>
        <v>0</v>
      </c>
      <c r="AB373" s="15">
        <f>IF(S373=1,IFERROR(INDEX(Settings!$G$12:$G$41,MATCH($B373,Settings!$A$12:$A$41,0)),0),0)</f>
        <v>0</v>
      </c>
      <c r="AC373" s="18" t="str">
        <f t="shared" si="48"/>
        <v/>
      </c>
      <c r="AD373" s="15" t="str">
        <f t="shared" si="49"/>
        <v/>
      </c>
      <c r="AE373" s="15" t="str">
        <f t="shared" si="50"/>
        <v/>
      </c>
      <c r="AF373" s="15" t="str">
        <f t="shared" si="51"/>
        <v/>
      </c>
      <c r="AG373" s="18">
        <f>IF(AND(S373=1,Z373="Y"),IF(Settings!$B$6="Percentage",IF(AD373=0,0,AC373*AA373*(N373/AD373)),IF(Settings!$B$6="Points",IF(AF373=0,0,AC373*(N373*AB373)/AF373),IF(Settings!$B$6="Equally",IF(AE373=0,0,AC373*N373/AE373),0))),0)</f>
        <v>0</v>
      </c>
      <c r="AH373" s="18" t="str">
        <f t="shared" si="52"/>
        <v/>
      </c>
      <c r="AI373" s="15">
        <f>IF(S373=1,IF(COUNTIFS($R$2:R373,R373,$S$2:S373,1)=1,1,0),0)</f>
        <v>0</v>
      </c>
      <c r="AJ373" s="15">
        <f>SUM($AI$2:AI373)</f>
        <v>12</v>
      </c>
    </row>
    <row r="374" spans="18:36">
      <c r="R374" s="15" t="str">
        <f t="shared" si="53"/>
        <v/>
      </c>
      <c r="S374" s="15">
        <f t="shared" si="45"/>
        <v>0</v>
      </c>
      <c r="T374" s="16" t="str">
        <f>IF(S374=1, DATE(YEAR(Settings!$B$3), MONTH(D374), DAY(D374)), "")</f>
        <v/>
      </c>
      <c r="U374" s="15" t="str">
        <f>IF(S374=1,IFERROR(INDEX(Settings!$B$12:$B$41,MATCH($B374,Settings!$A$12:$A$41,0)),"N"),"")</f>
        <v/>
      </c>
      <c r="V374" s="15" t="str">
        <f>IF(S374=1,IFERROR(INDEX(Settings!$C$12:$C$41,MATCH($B374,Settings!$A$12:$A$41,0)),""),"")</f>
        <v/>
      </c>
      <c r="W374" s="17">
        <f>IF(S374=1,IFERROR(INDEX(Settings!$D$12:$D$41,MATCH($B374,Settings!$A$12:$A$41,0)),0),0)</f>
        <v>0</v>
      </c>
      <c r="X374" s="18">
        <f t="shared" si="46"/>
        <v>0</v>
      </c>
      <c r="Y374" s="18" t="str">
        <f t="shared" si="47"/>
        <v/>
      </c>
      <c r="Z374" s="15" t="str">
        <f>IF(S374=1,IFERROR(INDEX(Settings!$E$12:$E$41,MATCH($B374,Settings!$A$12:$A$41,0)),"N"),"")</f>
        <v/>
      </c>
      <c r="AA374" s="17">
        <f>IF(S374=1,IFERROR(INDEX(Settings!$F$12:$F$41,MATCH($B374,Settings!$A$12:$A$41,0)),0),0)</f>
        <v>0</v>
      </c>
      <c r="AB374" s="15">
        <f>IF(S374=1,IFERROR(INDEX(Settings!$G$12:$G$41,MATCH($B374,Settings!$A$12:$A$41,0)),0),0)</f>
        <v>0</v>
      </c>
      <c r="AC374" s="18" t="str">
        <f t="shared" si="48"/>
        <v/>
      </c>
      <c r="AD374" s="15" t="str">
        <f t="shared" si="49"/>
        <v/>
      </c>
      <c r="AE374" s="15" t="str">
        <f t="shared" si="50"/>
        <v/>
      </c>
      <c r="AF374" s="15" t="str">
        <f t="shared" si="51"/>
        <v/>
      </c>
      <c r="AG374" s="18">
        <f>IF(AND(S374=1,Z374="Y"),IF(Settings!$B$6="Percentage",IF(AD374=0,0,AC374*AA374*(N374/AD374)),IF(Settings!$B$6="Points",IF(AF374=0,0,AC374*(N374*AB374)/AF374),IF(Settings!$B$6="Equally",IF(AE374=0,0,AC374*N374/AE374),0))),0)</f>
        <v>0</v>
      </c>
      <c r="AH374" s="18" t="str">
        <f t="shared" si="52"/>
        <v/>
      </c>
      <c r="AI374" s="15">
        <f>IF(S374=1,IF(COUNTIFS($R$2:R374,R374,$S$2:S374,1)=1,1,0),0)</f>
        <v>0</v>
      </c>
      <c r="AJ374" s="15">
        <f>SUM($AI$2:AI374)</f>
        <v>12</v>
      </c>
    </row>
    <row r="375" spans="18:36">
      <c r="R375" s="15" t="str">
        <f t="shared" si="53"/>
        <v/>
      </c>
      <c r="S375" s="15">
        <f t="shared" si="45"/>
        <v>0</v>
      </c>
      <c r="T375" s="16" t="str">
        <f>IF(S375=1, DATE(YEAR(Settings!$B$3), MONTH(D375), DAY(D375)), "")</f>
        <v/>
      </c>
      <c r="U375" s="15" t="str">
        <f>IF(S375=1,IFERROR(INDEX(Settings!$B$12:$B$41,MATCH($B375,Settings!$A$12:$A$41,0)),"N"),"")</f>
        <v/>
      </c>
      <c r="V375" s="15" t="str">
        <f>IF(S375=1,IFERROR(INDEX(Settings!$C$12:$C$41,MATCH($B375,Settings!$A$12:$A$41,0)),""),"")</f>
        <v/>
      </c>
      <c r="W375" s="17">
        <f>IF(S375=1,IFERROR(INDEX(Settings!$D$12:$D$41,MATCH($B375,Settings!$A$12:$A$41,0)),0),0)</f>
        <v>0</v>
      </c>
      <c r="X375" s="18">
        <f t="shared" si="46"/>
        <v>0</v>
      </c>
      <c r="Y375" s="18" t="str">
        <f t="shared" si="47"/>
        <v/>
      </c>
      <c r="Z375" s="15" t="str">
        <f>IF(S375=1,IFERROR(INDEX(Settings!$E$12:$E$41,MATCH($B375,Settings!$A$12:$A$41,0)),"N"),"")</f>
        <v/>
      </c>
      <c r="AA375" s="17">
        <f>IF(S375=1,IFERROR(INDEX(Settings!$F$12:$F$41,MATCH($B375,Settings!$A$12:$A$41,0)),0),0)</f>
        <v>0</v>
      </c>
      <c r="AB375" s="15">
        <f>IF(S375=1,IFERROR(INDEX(Settings!$G$12:$G$41,MATCH($B375,Settings!$A$12:$A$41,0)),0),0)</f>
        <v>0</v>
      </c>
      <c r="AC375" s="18" t="str">
        <f t="shared" si="48"/>
        <v/>
      </c>
      <c r="AD375" s="15" t="str">
        <f t="shared" si="49"/>
        <v/>
      </c>
      <c r="AE375" s="15" t="str">
        <f t="shared" si="50"/>
        <v/>
      </c>
      <c r="AF375" s="15" t="str">
        <f t="shared" si="51"/>
        <v/>
      </c>
      <c r="AG375" s="18">
        <f>IF(AND(S375=1,Z375="Y"),IF(Settings!$B$6="Percentage",IF(AD375=0,0,AC375*AA375*(N375/AD375)),IF(Settings!$B$6="Points",IF(AF375=0,0,AC375*(N375*AB375)/AF375),IF(Settings!$B$6="Equally",IF(AE375=0,0,AC375*N375/AE375),0))),0)</f>
        <v>0</v>
      </c>
      <c r="AH375" s="18" t="str">
        <f t="shared" si="52"/>
        <v/>
      </c>
      <c r="AI375" s="15">
        <f>IF(S375=1,IF(COUNTIFS($R$2:R375,R375,$S$2:S375,1)=1,1,0),0)</f>
        <v>0</v>
      </c>
      <c r="AJ375" s="15">
        <f>SUM($AI$2:AI375)</f>
        <v>12</v>
      </c>
    </row>
    <row r="376" spans="18:36">
      <c r="R376" s="15" t="str">
        <f t="shared" si="53"/>
        <v/>
      </c>
      <c r="S376" s="15">
        <f t="shared" si="45"/>
        <v>0</v>
      </c>
      <c r="T376" s="16" t="str">
        <f>IF(S376=1, DATE(YEAR(Settings!$B$3), MONTH(D376), DAY(D376)), "")</f>
        <v/>
      </c>
      <c r="U376" s="15" t="str">
        <f>IF(S376=1,IFERROR(INDEX(Settings!$B$12:$B$41,MATCH($B376,Settings!$A$12:$A$41,0)),"N"),"")</f>
        <v/>
      </c>
      <c r="V376" s="15" t="str">
        <f>IF(S376=1,IFERROR(INDEX(Settings!$C$12:$C$41,MATCH($B376,Settings!$A$12:$A$41,0)),""),"")</f>
        <v/>
      </c>
      <c r="W376" s="17">
        <f>IF(S376=1,IFERROR(INDEX(Settings!$D$12:$D$41,MATCH($B376,Settings!$A$12:$A$41,0)),0),0)</f>
        <v>0</v>
      </c>
      <c r="X376" s="18">
        <f t="shared" si="46"/>
        <v>0</v>
      </c>
      <c r="Y376" s="18" t="str">
        <f t="shared" si="47"/>
        <v/>
      </c>
      <c r="Z376" s="15" t="str">
        <f>IF(S376=1,IFERROR(INDEX(Settings!$E$12:$E$41,MATCH($B376,Settings!$A$12:$A$41,0)),"N"),"")</f>
        <v/>
      </c>
      <c r="AA376" s="17">
        <f>IF(S376=1,IFERROR(INDEX(Settings!$F$12:$F$41,MATCH($B376,Settings!$A$12:$A$41,0)),0),0)</f>
        <v>0</v>
      </c>
      <c r="AB376" s="15">
        <f>IF(S376=1,IFERROR(INDEX(Settings!$G$12:$G$41,MATCH($B376,Settings!$A$12:$A$41,0)),0),0)</f>
        <v>0</v>
      </c>
      <c r="AC376" s="18" t="str">
        <f t="shared" si="48"/>
        <v/>
      </c>
      <c r="AD376" s="15" t="str">
        <f t="shared" si="49"/>
        <v/>
      </c>
      <c r="AE376" s="15" t="str">
        <f t="shared" si="50"/>
        <v/>
      </c>
      <c r="AF376" s="15" t="str">
        <f t="shared" si="51"/>
        <v/>
      </c>
      <c r="AG376" s="18">
        <f>IF(AND(S376=1,Z376="Y"),IF(Settings!$B$6="Percentage",IF(AD376=0,0,AC376*AA376*(N376/AD376)),IF(Settings!$B$6="Points",IF(AF376=0,0,AC376*(N376*AB376)/AF376),IF(Settings!$B$6="Equally",IF(AE376=0,0,AC376*N376/AE376),0))),0)</f>
        <v>0</v>
      </c>
      <c r="AH376" s="18" t="str">
        <f t="shared" si="52"/>
        <v/>
      </c>
      <c r="AI376" s="15">
        <f>IF(S376=1,IF(COUNTIFS($R$2:R376,R376,$S$2:S376,1)=1,1,0),0)</f>
        <v>0</v>
      </c>
      <c r="AJ376" s="15">
        <f>SUM($AI$2:AI376)</f>
        <v>12</v>
      </c>
    </row>
    <row r="377" spans="18:36">
      <c r="R377" s="15" t="str">
        <f t="shared" si="53"/>
        <v/>
      </c>
      <c r="S377" s="15">
        <f t="shared" si="45"/>
        <v>0</v>
      </c>
      <c r="T377" s="16" t="str">
        <f>IF(S377=1, DATE(YEAR(Settings!$B$3), MONTH(D377), DAY(D377)), "")</f>
        <v/>
      </c>
      <c r="U377" s="15" t="str">
        <f>IF(S377=1,IFERROR(INDEX(Settings!$B$12:$B$41,MATCH($B377,Settings!$A$12:$A$41,0)),"N"),"")</f>
        <v/>
      </c>
      <c r="V377" s="15" t="str">
        <f>IF(S377=1,IFERROR(INDEX(Settings!$C$12:$C$41,MATCH($B377,Settings!$A$12:$A$41,0)),""),"")</f>
        <v/>
      </c>
      <c r="W377" s="17">
        <f>IF(S377=1,IFERROR(INDEX(Settings!$D$12:$D$41,MATCH($B377,Settings!$A$12:$A$41,0)),0),0)</f>
        <v>0</v>
      </c>
      <c r="X377" s="18">
        <f t="shared" si="46"/>
        <v>0</v>
      </c>
      <c r="Y377" s="18" t="str">
        <f t="shared" si="47"/>
        <v/>
      </c>
      <c r="Z377" s="15" t="str">
        <f>IF(S377=1,IFERROR(INDEX(Settings!$E$12:$E$41,MATCH($B377,Settings!$A$12:$A$41,0)),"N"),"")</f>
        <v/>
      </c>
      <c r="AA377" s="17">
        <f>IF(S377=1,IFERROR(INDEX(Settings!$F$12:$F$41,MATCH($B377,Settings!$A$12:$A$41,0)),0),0)</f>
        <v>0</v>
      </c>
      <c r="AB377" s="15">
        <f>IF(S377=1,IFERROR(INDEX(Settings!$G$12:$G$41,MATCH($B377,Settings!$A$12:$A$41,0)),0),0)</f>
        <v>0</v>
      </c>
      <c r="AC377" s="18" t="str">
        <f t="shared" si="48"/>
        <v/>
      </c>
      <c r="AD377" s="15" t="str">
        <f t="shared" si="49"/>
        <v/>
      </c>
      <c r="AE377" s="15" t="str">
        <f t="shared" si="50"/>
        <v/>
      </c>
      <c r="AF377" s="15" t="str">
        <f t="shared" si="51"/>
        <v/>
      </c>
      <c r="AG377" s="18">
        <f>IF(AND(S377=1,Z377="Y"),IF(Settings!$B$6="Percentage",IF(AD377=0,0,AC377*AA377*(N377/AD377)),IF(Settings!$B$6="Points",IF(AF377=0,0,AC377*(N377*AB377)/AF377),IF(Settings!$B$6="Equally",IF(AE377=0,0,AC377*N377/AE377),0))),0)</f>
        <v>0</v>
      </c>
      <c r="AH377" s="18" t="str">
        <f t="shared" si="52"/>
        <v/>
      </c>
      <c r="AI377" s="15">
        <f>IF(S377=1,IF(COUNTIFS($R$2:R377,R377,$S$2:S377,1)=1,1,0),0)</f>
        <v>0</v>
      </c>
      <c r="AJ377" s="15">
        <f>SUM($AI$2:AI377)</f>
        <v>12</v>
      </c>
    </row>
    <row r="378" spans="18:36">
      <c r="R378" s="15" t="str">
        <f t="shared" si="53"/>
        <v/>
      </c>
      <c r="S378" s="15">
        <f t="shared" si="45"/>
        <v>0</v>
      </c>
      <c r="T378" s="16" t="str">
        <f>IF(S378=1, DATE(YEAR(Settings!$B$3), MONTH(D378), DAY(D378)), "")</f>
        <v/>
      </c>
      <c r="U378" s="15" t="str">
        <f>IF(S378=1,IFERROR(INDEX(Settings!$B$12:$B$41,MATCH($B378,Settings!$A$12:$A$41,0)),"N"),"")</f>
        <v/>
      </c>
      <c r="V378" s="15" t="str">
        <f>IF(S378=1,IFERROR(INDEX(Settings!$C$12:$C$41,MATCH($B378,Settings!$A$12:$A$41,0)),""),"")</f>
        <v/>
      </c>
      <c r="W378" s="17">
        <f>IF(S378=1,IFERROR(INDEX(Settings!$D$12:$D$41,MATCH($B378,Settings!$A$12:$A$41,0)),0),0)</f>
        <v>0</v>
      </c>
      <c r="X378" s="18">
        <f t="shared" si="46"/>
        <v>0</v>
      </c>
      <c r="Y378" s="18" t="str">
        <f t="shared" si="47"/>
        <v/>
      </c>
      <c r="Z378" s="15" t="str">
        <f>IF(S378=1,IFERROR(INDEX(Settings!$E$12:$E$41,MATCH($B378,Settings!$A$12:$A$41,0)),"N"),"")</f>
        <v/>
      </c>
      <c r="AA378" s="17">
        <f>IF(S378=1,IFERROR(INDEX(Settings!$F$12:$F$41,MATCH($B378,Settings!$A$12:$A$41,0)),0),0)</f>
        <v>0</v>
      </c>
      <c r="AB378" s="15">
        <f>IF(S378=1,IFERROR(INDEX(Settings!$G$12:$G$41,MATCH($B378,Settings!$A$12:$A$41,0)),0),0)</f>
        <v>0</v>
      </c>
      <c r="AC378" s="18" t="str">
        <f t="shared" si="48"/>
        <v/>
      </c>
      <c r="AD378" s="15" t="str">
        <f t="shared" si="49"/>
        <v/>
      </c>
      <c r="AE378" s="15" t="str">
        <f t="shared" si="50"/>
        <v/>
      </c>
      <c r="AF378" s="15" t="str">
        <f t="shared" si="51"/>
        <v/>
      </c>
      <c r="AG378" s="18">
        <f>IF(AND(S378=1,Z378="Y"),IF(Settings!$B$6="Percentage",IF(AD378=0,0,AC378*AA378*(N378/AD378)),IF(Settings!$B$6="Points",IF(AF378=0,0,AC378*(N378*AB378)/AF378),IF(Settings!$B$6="Equally",IF(AE378=0,0,AC378*N378/AE378),0))),0)</f>
        <v>0</v>
      </c>
      <c r="AH378" s="18" t="str">
        <f t="shared" si="52"/>
        <v/>
      </c>
      <c r="AI378" s="15">
        <f>IF(S378=1,IF(COUNTIFS($R$2:R378,R378,$S$2:S378,1)=1,1,0),0)</f>
        <v>0</v>
      </c>
      <c r="AJ378" s="15">
        <f>SUM($AI$2:AI378)</f>
        <v>12</v>
      </c>
    </row>
    <row r="379" spans="18:36">
      <c r="R379" s="15" t="str">
        <f t="shared" si="53"/>
        <v/>
      </c>
      <c r="S379" s="15">
        <f t="shared" si="45"/>
        <v>0</v>
      </c>
      <c r="T379" s="16" t="str">
        <f>IF(S379=1, DATE(YEAR(Settings!$B$3), MONTH(D379), DAY(D379)), "")</f>
        <v/>
      </c>
      <c r="U379" s="15" t="str">
        <f>IF(S379=1,IFERROR(INDEX(Settings!$B$12:$B$41,MATCH($B379,Settings!$A$12:$A$41,0)),"N"),"")</f>
        <v/>
      </c>
      <c r="V379" s="15" t="str">
        <f>IF(S379=1,IFERROR(INDEX(Settings!$C$12:$C$41,MATCH($B379,Settings!$A$12:$A$41,0)),""),"")</f>
        <v/>
      </c>
      <c r="W379" s="17">
        <f>IF(S379=1,IFERROR(INDEX(Settings!$D$12:$D$41,MATCH($B379,Settings!$A$12:$A$41,0)),0),0)</f>
        <v>0</v>
      </c>
      <c r="X379" s="18">
        <f t="shared" si="46"/>
        <v>0</v>
      </c>
      <c r="Y379" s="18" t="str">
        <f t="shared" si="47"/>
        <v/>
      </c>
      <c r="Z379" s="15" t="str">
        <f>IF(S379=1,IFERROR(INDEX(Settings!$E$12:$E$41,MATCH($B379,Settings!$A$12:$A$41,0)),"N"),"")</f>
        <v/>
      </c>
      <c r="AA379" s="17">
        <f>IF(S379=1,IFERROR(INDEX(Settings!$F$12:$F$41,MATCH($B379,Settings!$A$12:$A$41,0)),0),0)</f>
        <v>0</v>
      </c>
      <c r="AB379" s="15">
        <f>IF(S379=1,IFERROR(INDEX(Settings!$G$12:$G$41,MATCH($B379,Settings!$A$12:$A$41,0)),0),0)</f>
        <v>0</v>
      </c>
      <c r="AC379" s="18" t="str">
        <f t="shared" si="48"/>
        <v/>
      </c>
      <c r="AD379" s="15" t="str">
        <f t="shared" si="49"/>
        <v/>
      </c>
      <c r="AE379" s="15" t="str">
        <f t="shared" si="50"/>
        <v/>
      </c>
      <c r="AF379" s="15" t="str">
        <f t="shared" si="51"/>
        <v/>
      </c>
      <c r="AG379" s="18">
        <f>IF(AND(S379=1,Z379="Y"),IF(Settings!$B$6="Percentage",IF(AD379=0,0,AC379*AA379*(N379/AD379)),IF(Settings!$B$6="Points",IF(AF379=0,0,AC379*(N379*AB379)/AF379),IF(Settings!$B$6="Equally",IF(AE379=0,0,AC379*N379/AE379),0))),0)</f>
        <v>0</v>
      </c>
      <c r="AH379" s="18" t="str">
        <f t="shared" si="52"/>
        <v/>
      </c>
      <c r="AI379" s="15">
        <f>IF(S379=1,IF(COUNTIFS($R$2:R379,R379,$S$2:S379,1)=1,1,0),0)</f>
        <v>0</v>
      </c>
      <c r="AJ379" s="15">
        <f>SUM($AI$2:AI379)</f>
        <v>12</v>
      </c>
    </row>
    <row r="380" spans="18:36">
      <c r="R380" s="15" t="str">
        <f t="shared" si="53"/>
        <v/>
      </c>
      <c r="S380" s="15">
        <f t="shared" si="45"/>
        <v>0</v>
      </c>
      <c r="T380" s="16" t="str">
        <f>IF(S380=1, DATE(YEAR(Settings!$B$3), MONTH(D380), DAY(D380)), "")</f>
        <v/>
      </c>
      <c r="U380" s="15" t="str">
        <f>IF(S380=1,IFERROR(INDEX(Settings!$B$12:$B$41,MATCH($B380,Settings!$A$12:$A$41,0)),"N"),"")</f>
        <v/>
      </c>
      <c r="V380" s="15" t="str">
        <f>IF(S380=1,IFERROR(INDEX(Settings!$C$12:$C$41,MATCH($B380,Settings!$A$12:$A$41,0)),""),"")</f>
        <v/>
      </c>
      <c r="W380" s="17">
        <f>IF(S380=1,IFERROR(INDEX(Settings!$D$12:$D$41,MATCH($B380,Settings!$A$12:$A$41,0)),0),0)</f>
        <v>0</v>
      </c>
      <c r="X380" s="18">
        <f t="shared" si="46"/>
        <v>0</v>
      </c>
      <c r="Y380" s="18" t="str">
        <f t="shared" si="47"/>
        <v/>
      </c>
      <c r="Z380" s="15" t="str">
        <f>IF(S380=1,IFERROR(INDEX(Settings!$E$12:$E$41,MATCH($B380,Settings!$A$12:$A$41,0)),"N"),"")</f>
        <v/>
      </c>
      <c r="AA380" s="17">
        <f>IF(S380=1,IFERROR(INDEX(Settings!$F$12:$F$41,MATCH($B380,Settings!$A$12:$A$41,0)),0),0)</f>
        <v>0</v>
      </c>
      <c r="AB380" s="15">
        <f>IF(S380=1,IFERROR(INDEX(Settings!$G$12:$G$41,MATCH($B380,Settings!$A$12:$A$41,0)),0),0)</f>
        <v>0</v>
      </c>
      <c r="AC380" s="18" t="str">
        <f t="shared" si="48"/>
        <v/>
      </c>
      <c r="AD380" s="15" t="str">
        <f t="shared" si="49"/>
        <v/>
      </c>
      <c r="AE380" s="15" t="str">
        <f t="shared" si="50"/>
        <v/>
      </c>
      <c r="AF380" s="15" t="str">
        <f t="shared" si="51"/>
        <v/>
      </c>
      <c r="AG380" s="18">
        <f>IF(AND(S380=1,Z380="Y"),IF(Settings!$B$6="Percentage",IF(AD380=0,0,AC380*AA380*(N380/AD380)),IF(Settings!$B$6="Points",IF(AF380=0,0,AC380*(N380*AB380)/AF380),IF(Settings!$B$6="Equally",IF(AE380=0,0,AC380*N380/AE380),0))),0)</f>
        <v>0</v>
      </c>
      <c r="AH380" s="18" t="str">
        <f t="shared" si="52"/>
        <v/>
      </c>
      <c r="AI380" s="15">
        <f>IF(S380=1,IF(COUNTIFS($R$2:R380,R380,$S$2:S380,1)=1,1,0),0)</f>
        <v>0</v>
      </c>
      <c r="AJ380" s="15">
        <f>SUM($AI$2:AI380)</f>
        <v>12</v>
      </c>
    </row>
    <row r="381" spans="18:36">
      <c r="R381" s="15" t="str">
        <f t="shared" si="53"/>
        <v/>
      </c>
      <c r="S381" s="15">
        <f t="shared" si="45"/>
        <v>0</v>
      </c>
      <c r="T381" s="16" t="str">
        <f>IF(S381=1, DATE(YEAR(Settings!$B$3), MONTH(D381), DAY(D381)), "")</f>
        <v/>
      </c>
      <c r="U381" s="15" t="str">
        <f>IF(S381=1,IFERROR(INDEX(Settings!$B$12:$B$41,MATCH($B381,Settings!$A$12:$A$41,0)),"N"),"")</f>
        <v/>
      </c>
      <c r="V381" s="15" t="str">
        <f>IF(S381=1,IFERROR(INDEX(Settings!$C$12:$C$41,MATCH($B381,Settings!$A$12:$A$41,0)),""),"")</f>
        <v/>
      </c>
      <c r="W381" s="17">
        <f>IF(S381=1,IFERROR(INDEX(Settings!$D$12:$D$41,MATCH($B381,Settings!$A$12:$A$41,0)),0),0)</f>
        <v>0</v>
      </c>
      <c r="X381" s="18">
        <f t="shared" si="46"/>
        <v>0</v>
      </c>
      <c r="Y381" s="18" t="str">
        <f t="shared" si="47"/>
        <v/>
      </c>
      <c r="Z381" s="15" t="str">
        <f>IF(S381=1,IFERROR(INDEX(Settings!$E$12:$E$41,MATCH($B381,Settings!$A$12:$A$41,0)),"N"),"")</f>
        <v/>
      </c>
      <c r="AA381" s="17">
        <f>IF(S381=1,IFERROR(INDEX(Settings!$F$12:$F$41,MATCH($B381,Settings!$A$12:$A$41,0)),0),0)</f>
        <v>0</v>
      </c>
      <c r="AB381" s="15">
        <f>IF(S381=1,IFERROR(INDEX(Settings!$G$12:$G$41,MATCH($B381,Settings!$A$12:$A$41,0)),0),0)</f>
        <v>0</v>
      </c>
      <c r="AC381" s="18" t="str">
        <f t="shared" si="48"/>
        <v/>
      </c>
      <c r="AD381" s="15" t="str">
        <f t="shared" si="49"/>
        <v/>
      </c>
      <c r="AE381" s="15" t="str">
        <f t="shared" si="50"/>
        <v/>
      </c>
      <c r="AF381" s="15" t="str">
        <f t="shared" si="51"/>
        <v/>
      </c>
      <c r="AG381" s="18">
        <f>IF(AND(S381=1,Z381="Y"),IF(Settings!$B$6="Percentage",IF(AD381=0,0,AC381*AA381*(N381/AD381)),IF(Settings!$B$6="Points",IF(AF381=0,0,AC381*(N381*AB381)/AF381),IF(Settings!$B$6="Equally",IF(AE381=0,0,AC381*N381/AE381),0))),0)</f>
        <v>0</v>
      </c>
      <c r="AH381" s="18" t="str">
        <f t="shared" si="52"/>
        <v/>
      </c>
      <c r="AI381" s="15">
        <f>IF(S381=1,IF(COUNTIFS($R$2:R381,R381,$S$2:S381,1)=1,1,0),0)</f>
        <v>0</v>
      </c>
      <c r="AJ381" s="15">
        <f>SUM($AI$2:AI381)</f>
        <v>12</v>
      </c>
    </row>
    <row r="382" spans="18:36">
      <c r="R382" s="15" t="str">
        <f t="shared" si="53"/>
        <v/>
      </c>
      <c r="S382" s="15">
        <f t="shared" si="45"/>
        <v>0</v>
      </c>
      <c r="T382" s="16" t="str">
        <f>IF(S382=1, DATE(YEAR(Settings!$B$3), MONTH(D382), DAY(D382)), "")</f>
        <v/>
      </c>
      <c r="U382" s="15" t="str">
        <f>IF(S382=1,IFERROR(INDEX(Settings!$B$12:$B$41,MATCH($B382,Settings!$A$12:$A$41,0)),"N"),"")</f>
        <v/>
      </c>
      <c r="V382" s="15" t="str">
        <f>IF(S382=1,IFERROR(INDEX(Settings!$C$12:$C$41,MATCH($B382,Settings!$A$12:$A$41,0)),""),"")</f>
        <v/>
      </c>
      <c r="W382" s="17">
        <f>IF(S382=1,IFERROR(INDEX(Settings!$D$12:$D$41,MATCH($B382,Settings!$A$12:$A$41,0)),0),0)</f>
        <v>0</v>
      </c>
      <c r="X382" s="18">
        <f t="shared" si="46"/>
        <v>0</v>
      </c>
      <c r="Y382" s="18" t="str">
        <f t="shared" si="47"/>
        <v/>
      </c>
      <c r="Z382" s="15" t="str">
        <f>IF(S382=1,IFERROR(INDEX(Settings!$E$12:$E$41,MATCH($B382,Settings!$A$12:$A$41,0)),"N"),"")</f>
        <v/>
      </c>
      <c r="AA382" s="17">
        <f>IF(S382=1,IFERROR(INDEX(Settings!$F$12:$F$41,MATCH($B382,Settings!$A$12:$A$41,0)),0),0)</f>
        <v>0</v>
      </c>
      <c r="AB382" s="15">
        <f>IF(S382=1,IFERROR(INDEX(Settings!$G$12:$G$41,MATCH($B382,Settings!$A$12:$A$41,0)),0),0)</f>
        <v>0</v>
      </c>
      <c r="AC382" s="18" t="str">
        <f t="shared" si="48"/>
        <v/>
      </c>
      <c r="AD382" s="15" t="str">
        <f t="shared" si="49"/>
        <v/>
      </c>
      <c r="AE382" s="15" t="str">
        <f t="shared" si="50"/>
        <v/>
      </c>
      <c r="AF382" s="15" t="str">
        <f t="shared" si="51"/>
        <v/>
      </c>
      <c r="AG382" s="18">
        <f>IF(AND(S382=1,Z382="Y"),IF(Settings!$B$6="Percentage",IF(AD382=0,0,AC382*AA382*(N382/AD382)),IF(Settings!$B$6="Points",IF(AF382=0,0,AC382*(N382*AB382)/AF382),IF(Settings!$B$6="Equally",IF(AE382=0,0,AC382*N382/AE382),0))),0)</f>
        <v>0</v>
      </c>
      <c r="AH382" s="18" t="str">
        <f t="shared" si="52"/>
        <v/>
      </c>
      <c r="AI382" s="15">
        <f>IF(S382=1,IF(COUNTIFS($R$2:R382,R382,$S$2:S382,1)=1,1,0),0)</f>
        <v>0</v>
      </c>
      <c r="AJ382" s="15">
        <f>SUM($AI$2:AI382)</f>
        <v>12</v>
      </c>
    </row>
    <row r="383" spans="18:36">
      <c r="R383" s="15" t="str">
        <f t="shared" si="53"/>
        <v/>
      </c>
      <c r="S383" s="15">
        <f t="shared" si="45"/>
        <v>0</v>
      </c>
      <c r="T383" s="16" t="str">
        <f>IF(S383=1, DATE(YEAR(Settings!$B$3), MONTH(D383), DAY(D383)), "")</f>
        <v/>
      </c>
      <c r="U383" s="15" t="str">
        <f>IF(S383=1,IFERROR(INDEX(Settings!$B$12:$B$41,MATCH($B383,Settings!$A$12:$A$41,0)),"N"),"")</f>
        <v/>
      </c>
      <c r="V383" s="15" t="str">
        <f>IF(S383=1,IFERROR(INDEX(Settings!$C$12:$C$41,MATCH($B383,Settings!$A$12:$A$41,0)),""),"")</f>
        <v/>
      </c>
      <c r="W383" s="17">
        <f>IF(S383=1,IFERROR(INDEX(Settings!$D$12:$D$41,MATCH($B383,Settings!$A$12:$A$41,0)),0),0)</f>
        <v>0</v>
      </c>
      <c r="X383" s="18">
        <f t="shared" si="46"/>
        <v>0</v>
      </c>
      <c r="Y383" s="18" t="str">
        <f t="shared" si="47"/>
        <v/>
      </c>
      <c r="Z383" s="15" t="str">
        <f>IF(S383=1,IFERROR(INDEX(Settings!$E$12:$E$41,MATCH($B383,Settings!$A$12:$A$41,0)),"N"),"")</f>
        <v/>
      </c>
      <c r="AA383" s="17">
        <f>IF(S383=1,IFERROR(INDEX(Settings!$F$12:$F$41,MATCH($B383,Settings!$A$12:$A$41,0)),0),0)</f>
        <v>0</v>
      </c>
      <c r="AB383" s="15">
        <f>IF(S383=1,IFERROR(INDEX(Settings!$G$12:$G$41,MATCH($B383,Settings!$A$12:$A$41,0)),0),0)</f>
        <v>0</v>
      </c>
      <c r="AC383" s="18" t="str">
        <f t="shared" si="48"/>
        <v/>
      </c>
      <c r="AD383" s="15" t="str">
        <f t="shared" si="49"/>
        <v/>
      </c>
      <c r="AE383" s="15" t="str">
        <f t="shared" si="50"/>
        <v/>
      </c>
      <c r="AF383" s="15" t="str">
        <f t="shared" si="51"/>
        <v/>
      </c>
      <c r="AG383" s="18">
        <f>IF(AND(S383=1,Z383="Y"),IF(Settings!$B$6="Percentage",IF(AD383=0,0,AC383*AA383*(N383/AD383)),IF(Settings!$B$6="Points",IF(AF383=0,0,AC383*(N383*AB383)/AF383),IF(Settings!$B$6="Equally",IF(AE383=0,0,AC383*N383/AE383),0))),0)</f>
        <v>0</v>
      </c>
      <c r="AH383" s="18" t="str">
        <f t="shared" si="52"/>
        <v/>
      </c>
      <c r="AI383" s="15">
        <f>IF(S383=1,IF(COUNTIFS($R$2:R383,R383,$S$2:S383,1)=1,1,0),0)</f>
        <v>0</v>
      </c>
      <c r="AJ383" s="15">
        <f>SUM($AI$2:AI383)</f>
        <v>12</v>
      </c>
    </row>
    <row r="384" spans="18:36">
      <c r="R384" s="15" t="str">
        <f t="shared" si="53"/>
        <v/>
      </c>
      <c r="S384" s="15">
        <f t="shared" si="45"/>
        <v>0</v>
      </c>
      <c r="T384" s="16" t="str">
        <f>IF(S384=1, DATE(YEAR(Settings!$B$3), MONTH(D384), DAY(D384)), "")</f>
        <v/>
      </c>
      <c r="U384" s="15" t="str">
        <f>IF(S384=1,IFERROR(INDEX(Settings!$B$12:$B$41,MATCH($B384,Settings!$A$12:$A$41,0)),"N"),"")</f>
        <v/>
      </c>
      <c r="V384" s="15" t="str">
        <f>IF(S384=1,IFERROR(INDEX(Settings!$C$12:$C$41,MATCH($B384,Settings!$A$12:$A$41,0)),""),"")</f>
        <v/>
      </c>
      <c r="W384" s="17">
        <f>IF(S384=1,IFERROR(INDEX(Settings!$D$12:$D$41,MATCH($B384,Settings!$A$12:$A$41,0)),0),0)</f>
        <v>0</v>
      </c>
      <c r="X384" s="18">
        <f t="shared" si="46"/>
        <v>0</v>
      </c>
      <c r="Y384" s="18" t="str">
        <f t="shared" si="47"/>
        <v/>
      </c>
      <c r="Z384" s="15" t="str">
        <f>IF(S384=1,IFERROR(INDEX(Settings!$E$12:$E$41,MATCH($B384,Settings!$A$12:$A$41,0)),"N"),"")</f>
        <v/>
      </c>
      <c r="AA384" s="17">
        <f>IF(S384=1,IFERROR(INDEX(Settings!$F$12:$F$41,MATCH($B384,Settings!$A$12:$A$41,0)),0),0)</f>
        <v>0</v>
      </c>
      <c r="AB384" s="15">
        <f>IF(S384=1,IFERROR(INDEX(Settings!$G$12:$G$41,MATCH($B384,Settings!$A$12:$A$41,0)),0),0)</f>
        <v>0</v>
      </c>
      <c r="AC384" s="18" t="str">
        <f t="shared" si="48"/>
        <v/>
      </c>
      <c r="AD384" s="15" t="str">
        <f t="shared" si="49"/>
        <v/>
      </c>
      <c r="AE384" s="15" t="str">
        <f t="shared" si="50"/>
        <v/>
      </c>
      <c r="AF384" s="15" t="str">
        <f t="shared" si="51"/>
        <v/>
      </c>
      <c r="AG384" s="18">
        <f>IF(AND(S384=1,Z384="Y"),IF(Settings!$B$6="Percentage",IF(AD384=0,0,AC384*AA384*(N384/AD384)),IF(Settings!$B$6="Points",IF(AF384=0,0,AC384*(N384*AB384)/AF384),IF(Settings!$B$6="Equally",IF(AE384=0,0,AC384*N384/AE384),0))),0)</f>
        <v>0</v>
      </c>
      <c r="AH384" s="18" t="str">
        <f t="shared" si="52"/>
        <v/>
      </c>
      <c r="AI384" s="15">
        <f>IF(S384=1,IF(COUNTIFS($R$2:R384,R384,$S$2:S384,1)=1,1,0),0)</f>
        <v>0</v>
      </c>
      <c r="AJ384" s="15">
        <f>SUM($AI$2:AI384)</f>
        <v>12</v>
      </c>
    </row>
    <row r="385" spans="18:36">
      <c r="R385" s="15" t="str">
        <f t="shared" si="53"/>
        <v/>
      </c>
      <c r="S385" s="15">
        <f t="shared" si="45"/>
        <v>0</v>
      </c>
      <c r="T385" s="16" t="str">
        <f>IF(S385=1, DATE(YEAR(Settings!$B$3), MONTH(D385), DAY(D385)), "")</f>
        <v/>
      </c>
      <c r="U385" s="15" t="str">
        <f>IF(S385=1,IFERROR(INDEX(Settings!$B$12:$B$41,MATCH($B385,Settings!$A$12:$A$41,0)),"N"),"")</f>
        <v/>
      </c>
      <c r="V385" s="15" t="str">
        <f>IF(S385=1,IFERROR(INDEX(Settings!$C$12:$C$41,MATCH($B385,Settings!$A$12:$A$41,0)),""),"")</f>
        <v/>
      </c>
      <c r="W385" s="17">
        <f>IF(S385=1,IFERROR(INDEX(Settings!$D$12:$D$41,MATCH($B385,Settings!$A$12:$A$41,0)),0),0)</f>
        <v>0</v>
      </c>
      <c r="X385" s="18">
        <f t="shared" si="46"/>
        <v>0</v>
      </c>
      <c r="Y385" s="18" t="str">
        <f t="shared" si="47"/>
        <v/>
      </c>
      <c r="Z385" s="15" t="str">
        <f>IF(S385=1,IFERROR(INDEX(Settings!$E$12:$E$41,MATCH($B385,Settings!$A$12:$A$41,0)),"N"),"")</f>
        <v/>
      </c>
      <c r="AA385" s="17">
        <f>IF(S385=1,IFERROR(INDEX(Settings!$F$12:$F$41,MATCH($B385,Settings!$A$12:$A$41,0)),0),0)</f>
        <v>0</v>
      </c>
      <c r="AB385" s="15">
        <f>IF(S385=1,IFERROR(INDEX(Settings!$G$12:$G$41,MATCH($B385,Settings!$A$12:$A$41,0)),0),0)</f>
        <v>0</v>
      </c>
      <c r="AC385" s="18" t="str">
        <f t="shared" si="48"/>
        <v/>
      </c>
      <c r="AD385" s="15" t="str">
        <f t="shared" si="49"/>
        <v/>
      </c>
      <c r="AE385" s="15" t="str">
        <f t="shared" si="50"/>
        <v/>
      </c>
      <c r="AF385" s="15" t="str">
        <f t="shared" si="51"/>
        <v/>
      </c>
      <c r="AG385" s="18">
        <f>IF(AND(S385=1,Z385="Y"),IF(Settings!$B$6="Percentage",IF(AD385=0,0,AC385*AA385*(N385/AD385)),IF(Settings!$B$6="Points",IF(AF385=0,0,AC385*(N385*AB385)/AF385),IF(Settings!$B$6="Equally",IF(AE385=0,0,AC385*N385/AE385),0))),0)</f>
        <v>0</v>
      </c>
      <c r="AH385" s="18" t="str">
        <f t="shared" si="52"/>
        <v/>
      </c>
      <c r="AI385" s="15">
        <f>IF(S385=1,IF(COUNTIFS($R$2:R385,R385,$S$2:S385,1)=1,1,0),0)</f>
        <v>0</v>
      </c>
      <c r="AJ385" s="15">
        <f>SUM($AI$2:AI385)</f>
        <v>12</v>
      </c>
    </row>
    <row r="386" spans="18:36">
      <c r="R386" s="15" t="str">
        <f t="shared" si="53"/>
        <v/>
      </c>
      <c r="S386" s="15">
        <f t="shared" ref="S386:S449" si="54">IF(AND(D386&lt;&gt;"",A386&lt;&gt;"Total"),1,0)</f>
        <v>0</v>
      </c>
      <c r="T386" s="16" t="str">
        <f>IF(S386=1, DATE(YEAR(Settings!$B$3), MONTH(D386), DAY(D386)), "")</f>
        <v/>
      </c>
      <c r="U386" s="15" t="str">
        <f>IF(S386=1,IFERROR(INDEX(Settings!$B$12:$B$41,MATCH($B386,Settings!$A$12:$A$41,0)),"N"),"")</f>
        <v/>
      </c>
      <c r="V386" s="15" t="str">
        <f>IF(S386=1,IFERROR(INDEX(Settings!$C$12:$C$41,MATCH($B386,Settings!$A$12:$A$41,0)),""),"")</f>
        <v/>
      </c>
      <c r="W386" s="17">
        <f>IF(S386=1,IFERROR(INDEX(Settings!$D$12:$D$41,MATCH($B386,Settings!$A$12:$A$41,0)),0),0)</f>
        <v>0</v>
      </c>
      <c r="X386" s="18">
        <f t="shared" ref="X386:X449" si="55">IF(AND(S386=1,U386="Y"),IF(V386="% of Sales",O386*W386,IF(V386="% of Tips",P386*W386,0)),0)</f>
        <v>0</v>
      </c>
      <c r="Y386" s="18" t="str">
        <f t="shared" ref="Y386:Y449" si="56">IF(S386=1,P386-X386,"")</f>
        <v/>
      </c>
      <c r="Z386" s="15" t="str">
        <f>IF(S386=1,IFERROR(INDEX(Settings!$E$12:$E$41,MATCH($B386,Settings!$A$12:$A$41,0)),"N"),"")</f>
        <v/>
      </c>
      <c r="AA386" s="17">
        <f>IF(S386=1,IFERROR(INDEX(Settings!$F$12:$F$41,MATCH($B386,Settings!$A$12:$A$41,0)),0),0)</f>
        <v>0</v>
      </c>
      <c r="AB386" s="15">
        <f>IF(S386=1,IFERROR(INDEX(Settings!$G$12:$G$41,MATCH($B386,Settings!$A$12:$A$41,0)),0),0)</f>
        <v>0</v>
      </c>
      <c r="AC386" s="18" t="str">
        <f t="shared" ref="AC386:AC449" si="57">IF(S386=1,SUMIFS($X$2:$X$601,$S$2:$S$601,1,$T$2:$T$601,T386),"")</f>
        <v/>
      </c>
      <c r="AD386" s="15" t="str">
        <f t="shared" ref="AD386:AD449" si="58">IF(S386=1,SUMIFS($N$2:$N$601,$S$2:$S$601,1,$T$2:$T$601,T386,$B$2:$B$601,B386),"")</f>
        <v/>
      </c>
      <c r="AE386" s="15" t="str">
        <f t="shared" ref="AE386:AE449" si="59">IF(S386=1,SUMIFS($N$2:$N$601,$S$2:$S$601,1,$T$2:$T$601,T386,$Z$2:$Z$601,"Y"),"")</f>
        <v/>
      </c>
      <c r="AF386" s="15" t="str">
        <f t="shared" ref="AF386:AF449" si="60">IF(S386=1,SUMPRODUCT(($S$2:$S$601=1)*($T$2:$T$601=T386)*($Z$2:$Z$601="Y")*($N$2:$N$601)*($AB$2:$AB$601)),"")</f>
        <v/>
      </c>
      <c r="AG386" s="18">
        <f>IF(AND(S386=1,Z386="Y"),IF(Settings!$B$6="Percentage",IF(AD386=0,0,AC386*AA386*(N386/AD386)),IF(Settings!$B$6="Points",IF(AF386=0,0,AC386*(N386*AB386)/AF386),IF(Settings!$B$6="Equally",IF(AE386=0,0,AC386*N386/AE386),0))),0)</f>
        <v>0</v>
      </c>
      <c r="AH386" s="18" t="str">
        <f t="shared" ref="AH386:AH449" si="61">IF(S386=1,Y386+AG386,"")</f>
        <v/>
      </c>
      <c r="AI386" s="15">
        <f>IF(S386=1,IF(COUNTIFS($R$2:R386,R386,$S$2:S386,1)=1,1,0),0)</f>
        <v>0</v>
      </c>
      <c r="AJ386" s="15">
        <f>SUM($AI$2:AI386)</f>
        <v>12</v>
      </c>
    </row>
    <row r="387" spans="18:36">
      <c r="R387" s="15" t="str">
        <f t="shared" ref="R387:R450" si="62">IF(A387&lt;&gt;"",IF(A387="Total","",A387),IF(D387&lt;&gt;"",R386,""))</f>
        <v/>
      </c>
      <c r="S387" s="15">
        <f t="shared" si="54"/>
        <v>0</v>
      </c>
      <c r="T387" s="16" t="str">
        <f>IF(S387=1, DATE(YEAR(Settings!$B$3), MONTH(D387), DAY(D387)), "")</f>
        <v/>
      </c>
      <c r="U387" s="15" t="str">
        <f>IF(S387=1,IFERROR(INDEX(Settings!$B$12:$B$41,MATCH($B387,Settings!$A$12:$A$41,0)),"N"),"")</f>
        <v/>
      </c>
      <c r="V387" s="15" t="str">
        <f>IF(S387=1,IFERROR(INDEX(Settings!$C$12:$C$41,MATCH($B387,Settings!$A$12:$A$41,0)),""),"")</f>
        <v/>
      </c>
      <c r="W387" s="17">
        <f>IF(S387=1,IFERROR(INDEX(Settings!$D$12:$D$41,MATCH($B387,Settings!$A$12:$A$41,0)),0),0)</f>
        <v>0</v>
      </c>
      <c r="X387" s="18">
        <f t="shared" si="55"/>
        <v>0</v>
      </c>
      <c r="Y387" s="18" t="str">
        <f t="shared" si="56"/>
        <v/>
      </c>
      <c r="Z387" s="15" t="str">
        <f>IF(S387=1,IFERROR(INDEX(Settings!$E$12:$E$41,MATCH($B387,Settings!$A$12:$A$41,0)),"N"),"")</f>
        <v/>
      </c>
      <c r="AA387" s="17">
        <f>IF(S387=1,IFERROR(INDEX(Settings!$F$12:$F$41,MATCH($B387,Settings!$A$12:$A$41,0)),0),0)</f>
        <v>0</v>
      </c>
      <c r="AB387" s="15">
        <f>IF(S387=1,IFERROR(INDEX(Settings!$G$12:$G$41,MATCH($B387,Settings!$A$12:$A$41,0)),0),0)</f>
        <v>0</v>
      </c>
      <c r="AC387" s="18" t="str">
        <f t="shared" si="57"/>
        <v/>
      </c>
      <c r="AD387" s="15" t="str">
        <f t="shared" si="58"/>
        <v/>
      </c>
      <c r="AE387" s="15" t="str">
        <f t="shared" si="59"/>
        <v/>
      </c>
      <c r="AF387" s="15" t="str">
        <f t="shared" si="60"/>
        <v/>
      </c>
      <c r="AG387" s="18">
        <f>IF(AND(S387=1,Z387="Y"),IF(Settings!$B$6="Percentage",IF(AD387=0,0,AC387*AA387*(N387/AD387)),IF(Settings!$B$6="Points",IF(AF387=0,0,AC387*(N387*AB387)/AF387),IF(Settings!$B$6="Equally",IF(AE387=0,0,AC387*N387/AE387),0))),0)</f>
        <v>0</v>
      </c>
      <c r="AH387" s="18" t="str">
        <f t="shared" si="61"/>
        <v/>
      </c>
      <c r="AI387" s="15">
        <f>IF(S387=1,IF(COUNTIFS($R$2:R387,R387,$S$2:S387,1)=1,1,0),0)</f>
        <v>0</v>
      </c>
      <c r="AJ387" s="15">
        <f>SUM($AI$2:AI387)</f>
        <v>12</v>
      </c>
    </row>
    <row r="388" spans="18:36">
      <c r="R388" s="15" t="str">
        <f t="shared" si="62"/>
        <v/>
      </c>
      <c r="S388" s="15">
        <f t="shared" si="54"/>
        <v>0</v>
      </c>
      <c r="T388" s="16" t="str">
        <f>IF(S388=1, DATE(YEAR(Settings!$B$3), MONTH(D388), DAY(D388)), "")</f>
        <v/>
      </c>
      <c r="U388" s="15" t="str">
        <f>IF(S388=1,IFERROR(INDEX(Settings!$B$12:$B$41,MATCH($B388,Settings!$A$12:$A$41,0)),"N"),"")</f>
        <v/>
      </c>
      <c r="V388" s="15" t="str">
        <f>IF(S388=1,IFERROR(INDEX(Settings!$C$12:$C$41,MATCH($B388,Settings!$A$12:$A$41,0)),""),"")</f>
        <v/>
      </c>
      <c r="W388" s="17">
        <f>IF(S388=1,IFERROR(INDEX(Settings!$D$12:$D$41,MATCH($B388,Settings!$A$12:$A$41,0)),0),0)</f>
        <v>0</v>
      </c>
      <c r="X388" s="18">
        <f t="shared" si="55"/>
        <v>0</v>
      </c>
      <c r="Y388" s="18" t="str">
        <f t="shared" si="56"/>
        <v/>
      </c>
      <c r="Z388" s="15" t="str">
        <f>IF(S388=1,IFERROR(INDEX(Settings!$E$12:$E$41,MATCH($B388,Settings!$A$12:$A$41,0)),"N"),"")</f>
        <v/>
      </c>
      <c r="AA388" s="17">
        <f>IF(S388=1,IFERROR(INDEX(Settings!$F$12:$F$41,MATCH($B388,Settings!$A$12:$A$41,0)),0),0)</f>
        <v>0</v>
      </c>
      <c r="AB388" s="15">
        <f>IF(S388=1,IFERROR(INDEX(Settings!$G$12:$G$41,MATCH($B388,Settings!$A$12:$A$41,0)),0),0)</f>
        <v>0</v>
      </c>
      <c r="AC388" s="18" t="str">
        <f t="shared" si="57"/>
        <v/>
      </c>
      <c r="AD388" s="15" t="str">
        <f t="shared" si="58"/>
        <v/>
      </c>
      <c r="AE388" s="15" t="str">
        <f t="shared" si="59"/>
        <v/>
      </c>
      <c r="AF388" s="15" t="str">
        <f t="shared" si="60"/>
        <v/>
      </c>
      <c r="AG388" s="18">
        <f>IF(AND(S388=1,Z388="Y"),IF(Settings!$B$6="Percentage",IF(AD388=0,0,AC388*AA388*(N388/AD388)),IF(Settings!$B$6="Points",IF(AF388=0,0,AC388*(N388*AB388)/AF388),IF(Settings!$B$6="Equally",IF(AE388=0,0,AC388*N388/AE388),0))),0)</f>
        <v>0</v>
      </c>
      <c r="AH388" s="18" t="str">
        <f t="shared" si="61"/>
        <v/>
      </c>
      <c r="AI388" s="15">
        <f>IF(S388=1,IF(COUNTIFS($R$2:R388,R388,$S$2:S388,1)=1,1,0),0)</f>
        <v>0</v>
      </c>
      <c r="AJ388" s="15">
        <f>SUM($AI$2:AI388)</f>
        <v>12</v>
      </c>
    </row>
    <row r="389" spans="18:36">
      <c r="R389" s="15" t="str">
        <f t="shared" si="62"/>
        <v/>
      </c>
      <c r="S389" s="15">
        <f t="shared" si="54"/>
        <v>0</v>
      </c>
      <c r="T389" s="16" t="str">
        <f>IF(S389=1, DATE(YEAR(Settings!$B$3), MONTH(D389), DAY(D389)), "")</f>
        <v/>
      </c>
      <c r="U389" s="15" t="str">
        <f>IF(S389=1,IFERROR(INDEX(Settings!$B$12:$B$41,MATCH($B389,Settings!$A$12:$A$41,0)),"N"),"")</f>
        <v/>
      </c>
      <c r="V389" s="15" t="str">
        <f>IF(S389=1,IFERROR(INDEX(Settings!$C$12:$C$41,MATCH($B389,Settings!$A$12:$A$41,0)),""),"")</f>
        <v/>
      </c>
      <c r="W389" s="17">
        <f>IF(S389=1,IFERROR(INDEX(Settings!$D$12:$D$41,MATCH($B389,Settings!$A$12:$A$41,0)),0),0)</f>
        <v>0</v>
      </c>
      <c r="X389" s="18">
        <f t="shared" si="55"/>
        <v>0</v>
      </c>
      <c r="Y389" s="18" t="str">
        <f t="shared" si="56"/>
        <v/>
      </c>
      <c r="Z389" s="15" t="str">
        <f>IF(S389=1,IFERROR(INDEX(Settings!$E$12:$E$41,MATCH($B389,Settings!$A$12:$A$41,0)),"N"),"")</f>
        <v/>
      </c>
      <c r="AA389" s="17">
        <f>IF(S389=1,IFERROR(INDEX(Settings!$F$12:$F$41,MATCH($B389,Settings!$A$12:$A$41,0)),0),0)</f>
        <v>0</v>
      </c>
      <c r="AB389" s="15">
        <f>IF(S389=1,IFERROR(INDEX(Settings!$G$12:$G$41,MATCH($B389,Settings!$A$12:$A$41,0)),0),0)</f>
        <v>0</v>
      </c>
      <c r="AC389" s="18" t="str">
        <f t="shared" si="57"/>
        <v/>
      </c>
      <c r="AD389" s="15" t="str">
        <f t="shared" si="58"/>
        <v/>
      </c>
      <c r="AE389" s="15" t="str">
        <f t="shared" si="59"/>
        <v/>
      </c>
      <c r="AF389" s="15" t="str">
        <f t="shared" si="60"/>
        <v/>
      </c>
      <c r="AG389" s="18">
        <f>IF(AND(S389=1,Z389="Y"),IF(Settings!$B$6="Percentage",IF(AD389=0,0,AC389*AA389*(N389/AD389)),IF(Settings!$B$6="Points",IF(AF389=0,0,AC389*(N389*AB389)/AF389),IF(Settings!$B$6="Equally",IF(AE389=0,0,AC389*N389/AE389),0))),0)</f>
        <v>0</v>
      </c>
      <c r="AH389" s="18" t="str">
        <f t="shared" si="61"/>
        <v/>
      </c>
      <c r="AI389" s="15">
        <f>IF(S389=1,IF(COUNTIFS($R$2:R389,R389,$S$2:S389,1)=1,1,0),0)</f>
        <v>0</v>
      </c>
      <c r="AJ389" s="15">
        <f>SUM($AI$2:AI389)</f>
        <v>12</v>
      </c>
    </row>
    <row r="390" spans="18:36">
      <c r="R390" s="15" t="str">
        <f t="shared" si="62"/>
        <v/>
      </c>
      <c r="S390" s="15">
        <f t="shared" si="54"/>
        <v>0</v>
      </c>
      <c r="T390" s="16" t="str">
        <f>IF(S390=1, DATE(YEAR(Settings!$B$3), MONTH(D390), DAY(D390)), "")</f>
        <v/>
      </c>
      <c r="U390" s="15" t="str">
        <f>IF(S390=1,IFERROR(INDEX(Settings!$B$12:$B$41,MATCH($B390,Settings!$A$12:$A$41,0)),"N"),"")</f>
        <v/>
      </c>
      <c r="V390" s="15" t="str">
        <f>IF(S390=1,IFERROR(INDEX(Settings!$C$12:$C$41,MATCH($B390,Settings!$A$12:$A$41,0)),""),"")</f>
        <v/>
      </c>
      <c r="W390" s="17">
        <f>IF(S390=1,IFERROR(INDEX(Settings!$D$12:$D$41,MATCH($B390,Settings!$A$12:$A$41,0)),0),0)</f>
        <v>0</v>
      </c>
      <c r="X390" s="18">
        <f t="shared" si="55"/>
        <v>0</v>
      </c>
      <c r="Y390" s="18" t="str">
        <f t="shared" si="56"/>
        <v/>
      </c>
      <c r="Z390" s="15" t="str">
        <f>IF(S390=1,IFERROR(INDEX(Settings!$E$12:$E$41,MATCH($B390,Settings!$A$12:$A$41,0)),"N"),"")</f>
        <v/>
      </c>
      <c r="AA390" s="17">
        <f>IF(S390=1,IFERROR(INDEX(Settings!$F$12:$F$41,MATCH($B390,Settings!$A$12:$A$41,0)),0),0)</f>
        <v>0</v>
      </c>
      <c r="AB390" s="15">
        <f>IF(S390=1,IFERROR(INDEX(Settings!$G$12:$G$41,MATCH($B390,Settings!$A$12:$A$41,0)),0),0)</f>
        <v>0</v>
      </c>
      <c r="AC390" s="18" t="str">
        <f t="shared" si="57"/>
        <v/>
      </c>
      <c r="AD390" s="15" t="str">
        <f t="shared" si="58"/>
        <v/>
      </c>
      <c r="AE390" s="15" t="str">
        <f t="shared" si="59"/>
        <v/>
      </c>
      <c r="AF390" s="15" t="str">
        <f t="shared" si="60"/>
        <v/>
      </c>
      <c r="AG390" s="18">
        <f>IF(AND(S390=1,Z390="Y"),IF(Settings!$B$6="Percentage",IF(AD390=0,0,AC390*AA390*(N390/AD390)),IF(Settings!$B$6="Points",IF(AF390=0,0,AC390*(N390*AB390)/AF390),IF(Settings!$B$6="Equally",IF(AE390=0,0,AC390*N390/AE390),0))),0)</f>
        <v>0</v>
      </c>
      <c r="AH390" s="18" t="str">
        <f t="shared" si="61"/>
        <v/>
      </c>
      <c r="AI390" s="15">
        <f>IF(S390=1,IF(COUNTIFS($R$2:R390,R390,$S$2:S390,1)=1,1,0),0)</f>
        <v>0</v>
      </c>
      <c r="AJ390" s="15">
        <f>SUM($AI$2:AI390)</f>
        <v>12</v>
      </c>
    </row>
    <row r="391" spans="18:36">
      <c r="R391" s="15" t="str">
        <f t="shared" si="62"/>
        <v/>
      </c>
      <c r="S391" s="15">
        <f t="shared" si="54"/>
        <v>0</v>
      </c>
      <c r="T391" s="16" t="str">
        <f>IF(S391=1, DATE(YEAR(Settings!$B$3), MONTH(D391), DAY(D391)), "")</f>
        <v/>
      </c>
      <c r="U391" s="15" t="str">
        <f>IF(S391=1,IFERROR(INDEX(Settings!$B$12:$B$41,MATCH($B391,Settings!$A$12:$A$41,0)),"N"),"")</f>
        <v/>
      </c>
      <c r="V391" s="15" t="str">
        <f>IF(S391=1,IFERROR(INDEX(Settings!$C$12:$C$41,MATCH($B391,Settings!$A$12:$A$41,0)),""),"")</f>
        <v/>
      </c>
      <c r="W391" s="17">
        <f>IF(S391=1,IFERROR(INDEX(Settings!$D$12:$D$41,MATCH($B391,Settings!$A$12:$A$41,0)),0),0)</f>
        <v>0</v>
      </c>
      <c r="X391" s="18">
        <f t="shared" si="55"/>
        <v>0</v>
      </c>
      <c r="Y391" s="18" t="str">
        <f t="shared" si="56"/>
        <v/>
      </c>
      <c r="Z391" s="15" t="str">
        <f>IF(S391=1,IFERROR(INDEX(Settings!$E$12:$E$41,MATCH($B391,Settings!$A$12:$A$41,0)),"N"),"")</f>
        <v/>
      </c>
      <c r="AA391" s="17">
        <f>IF(S391=1,IFERROR(INDEX(Settings!$F$12:$F$41,MATCH($B391,Settings!$A$12:$A$41,0)),0),0)</f>
        <v>0</v>
      </c>
      <c r="AB391" s="15">
        <f>IF(S391=1,IFERROR(INDEX(Settings!$G$12:$G$41,MATCH($B391,Settings!$A$12:$A$41,0)),0),0)</f>
        <v>0</v>
      </c>
      <c r="AC391" s="18" t="str">
        <f t="shared" si="57"/>
        <v/>
      </c>
      <c r="AD391" s="15" t="str">
        <f t="shared" si="58"/>
        <v/>
      </c>
      <c r="AE391" s="15" t="str">
        <f t="shared" si="59"/>
        <v/>
      </c>
      <c r="AF391" s="15" t="str">
        <f t="shared" si="60"/>
        <v/>
      </c>
      <c r="AG391" s="18">
        <f>IF(AND(S391=1,Z391="Y"),IF(Settings!$B$6="Percentage",IF(AD391=0,0,AC391*AA391*(N391/AD391)),IF(Settings!$B$6="Points",IF(AF391=0,0,AC391*(N391*AB391)/AF391),IF(Settings!$B$6="Equally",IF(AE391=0,0,AC391*N391/AE391),0))),0)</f>
        <v>0</v>
      </c>
      <c r="AH391" s="18" t="str">
        <f t="shared" si="61"/>
        <v/>
      </c>
      <c r="AI391" s="15">
        <f>IF(S391=1,IF(COUNTIFS($R$2:R391,R391,$S$2:S391,1)=1,1,0),0)</f>
        <v>0</v>
      </c>
      <c r="AJ391" s="15">
        <f>SUM($AI$2:AI391)</f>
        <v>12</v>
      </c>
    </row>
    <row r="392" spans="18:36">
      <c r="R392" s="15" t="str">
        <f t="shared" si="62"/>
        <v/>
      </c>
      <c r="S392" s="15">
        <f t="shared" si="54"/>
        <v>0</v>
      </c>
      <c r="T392" s="16" t="str">
        <f>IF(S392=1, DATE(YEAR(Settings!$B$3), MONTH(D392), DAY(D392)), "")</f>
        <v/>
      </c>
      <c r="U392" s="15" t="str">
        <f>IF(S392=1,IFERROR(INDEX(Settings!$B$12:$B$41,MATCH($B392,Settings!$A$12:$A$41,0)),"N"),"")</f>
        <v/>
      </c>
      <c r="V392" s="15" t="str">
        <f>IF(S392=1,IFERROR(INDEX(Settings!$C$12:$C$41,MATCH($B392,Settings!$A$12:$A$41,0)),""),"")</f>
        <v/>
      </c>
      <c r="W392" s="17">
        <f>IF(S392=1,IFERROR(INDEX(Settings!$D$12:$D$41,MATCH($B392,Settings!$A$12:$A$41,0)),0),0)</f>
        <v>0</v>
      </c>
      <c r="X392" s="18">
        <f t="shared" si="55"/>
        <v>0</v>
      </c>
      <c r="Y392" s="18" t="str">
        <f t="shared" si="56"/>
        <v/>
      </c>
      <c r="Z392" s="15" t="str">
        <f>IF(S392=1,IFERROR(INDEX(Settings!$E$12:$E$41,MATCH($B392,Settings!$A$12:$A$41,0)),"N"),"")</f>
        <v/>
      </c>
      <c r="AA392" s="17">
        <f>IF(S392=1,IFERROR(INDEX(Settings!$F$12:$F$41,MATCH($B392,Settings!$A$12:$A$41,0)),0),0)</f>
        <v>0</v>
      </c>
      <c r="AB392" s="15">
        <f>IF(S392=1,IFERROR(INDEX(Settings!$G$12:$G$41,MATCH($B392,Settings!$A$12:$A$41,0)),0),0)</f>
        <v>0</v>
      </c>
      <c r="AC392" s="18" t="str">
        <f t="shared" si="57"/>
        <v/>
      </c>
      <c r="AD392" s="15" t="str">
        <f t="shared" si="58"/>
        <v/>
      </c>
      <c r="AE392" s="15" t="str">
        <f t="shared" si="59"/>
        <v/>
      </c>
      <c r="AF392" s="15" t="str">
        <f t="shared" si="60"/>
        <v/>
      </c>
      <c r="AG392" s="18">
        <f>IF(AND(S392=1,Z392="Y"),IF(Settings!$B$6="Percentage",IF(AD392=0,0,AC392*AA392*(N392/AD392)),IF(Settings!$B$6="Points",IF(AF392=0,0,AC392*(N392*AB392)/AF392),IF(Settings!$B$6="Equally",IF(AE392=0,0,AC392*N392/AE392),0))),0)</f>
        <v>0</v>
      </c>
      <c r="AH392" s="18" t="str">
        <f t="shared" si="61"/>
        <v/>
      </c>
      <c r="AI392" s="15">
        <f>IF(S392=1,IF(COUNTIFS($R$2:R392,R392,$S$2:S392,1)=1,1,0),0)</f>
        <v>0</v>
      </c>
      <c r="AJ392" s="15">
        <f>SUM($AI$2:AI392)</f>
        <v>12</v>
      </c>
    </row>
    <row r="393" spans="18:36">
      <c r="R393" s="15" t="str">
        <f t="shared" si="62"/>
        <v/>
      </c>
      <c r="S393" s="15">
        <f t="shared" si="54"/>
        <v>0</v>
      </c>
      <c r="T393" s="16" t="str">
        <f>IF(S393=1, DATE(YEAR(Settings!$B$3), MONTH(D393), DAY(D393)), "")</f>
        <v/>
      </c>
      <c r="U393" s="15" t="str">
        <f>IF(S393=1,IFERROR(INDEX(Settings!$B$12:$B$41,MATCH($B393,Settings!$A$12:$A$41,0)),"N"),"")</f>
        <v/>
      </c>
      <c r="V393" s="15" t="str">
        <f>IF(S393=1,IFERROR(INDEX(Settings!$C$12:$C$41,MATCH($B393,Settings!$A$12:$A$41,0)),""),"")</f>
        <v/>
      </c>
      <c r="W393" s="17">
        <f>IF(S393=1,IFERROR(INDEX(Settings!$D$12:$D$41,MATCH($B393,Settings!$A$12:$A$41,0)),0),0)</f>
        <v>0</v>
      </c>
      <c r="X393" s="18">
        <f t="shared" si="55"/>
        <v>0</v>
      </c>
      <c r="Y393" s="18" t="str">
        <f t="shared" si="56"/>
        <v/>
      </c>
      <c r="Z393" s="15" t="str">
        <f>IF(S393=1,IFERROR(INDEX(Settings!$E$12:$E$41,MATCH($B393,Settings!$A$12:$A$41,0)),"N"),"")</f>
        <v/>
      </c>
      <c r="AA393" s="17">
        <f>IF(S393=1,IFERROR(INDEX(Settings!$F$12:$F$41,MATCH($B393,Settings!$A$12:$A$41,0)),0),0)</f>
        <v>0</v>
      </c>
      <c r="AB393" s="15">
        <f>IF(S393=1,IFERROR(INDEX(Settings!$G$12:$G$41,MATCH($B393,Settings!$A$12:$A$41,0)),0),0)</f>
        <v>0</v>
      </c>
      <c r="AC393" s="18" t="str">
        <f t="shared" si="57"/>
        <v/>
      </c>
      <c r="AD393" s="15" t="str">
        <f t="shared" si="58"/>
        <v/>
      </c>
      <c r="AE393" s="15" t="str">
        <f t="shared" si="59"/>
        <v/>
      </c>
      <c r="AF393" s="15" t="str">
        <f t="shared" si="60"/>
        <v/>
      </c>
      <c r="AG393" s="18">
        <f>IF(AND(S393=1,Z393="Y"),IF(Settings!$B$6="Percentage",IF(AD393=0,0,AC393*AA393*(N393/AD393)),IF(Settings!$B$6="Points",IF(AF393=0,0,AC393*(N393*AB393)/AF393),IF(Settings!$B$6="Equally",IF(AE393=0,0,AC393*N393/AE393),0))),0)</f>
        <v>0</v>
      </c>
      <c r="AH393" s="18" t="str">
        <f t="shared" si="61"/>
        <v/>
      </c>
      <c r="AI393" s="15">
        <f>IF(S393=1,IF(COUNTIFS($R$2:R393,R393,$S$2:S393,1)=1,1,0),0)</f>
        <v>0</v>
      </c>
      <c r="AJ393" s="15">
        <f>SUM($AI$2:AI393)</f>
        <v>12</v>
      </c>
    </row>
    <row r="394" spans="18:36">
      <c r="R394" s="15" t="str">
        <f t="shared" si="62"/>
        <v/>
      </c>
      <c r="S394" s="15">
        <f t="shared" si="54"/>
        <v>0</v>
      </c>
      <c r="T394" s="16" t="str">
        <f>IF(S394=1, DATE(YEAR(Settings!$B$3), MONTH(D394), DAY(D394)), "")</f>
        <v/>
      </c>
      <c r="U394" s="15" t="str">
        <f>IF(S394=1,IFERROR(INDEX(Settings!$B$12:$B$41,MATCH($B394,Settings!$A$12:$A$41,0)),"N"),"")</f>
        <v/>
      </c>
      <c r="V394" s="15" t="str">
        <f>IF(S394=1,IFERROR(INDEX(Settings!$C$12:$C$41,MATCH($B394,Settings!$A$12:$A$41,0)),""),"")</f>
        <v/>
      </c>
      <c r="W394" s="17">
        <f>IF(S394=1,IFERROR(INDEX(Settings!$D$12:$D$41,MATCH($B394,Settings!$A$12:$A$41,0)),0),0)</f>
        <v>0</v>
      </c>
      <c r="X394" s="18">
        <f t="shared" si="55"/>
        <v>0</v>
      </c>
      <c r="Y394" s="18" t="str">
        <f t="shared" si="56"/>
        <v/>
      </c>
      <c r="Z394" s="15" t="str">
        <f>IF(S394=1,IFERROR(INDEX(Settings!$E$12:$E$41,MATCH($B394,Settings!$A$12:$A$41,0)),"N"),"")</f>
        <v/>
      </c>
      <c r="AA394" s="17">
        <f>IF(S394=1,IFERROR(INDEX(Settings!$F$12:$F$41,MATCH($B394,Settings!$A$12:$A$41,0)),0),0)</f>
        <v>0</v>
      </c>
      <c r="AB394" s="15">
        <f>IF(S394=1,IFERROR(INDEX(Settings!$G$12:$G$41,MATCH($B394,Settings!$A$12:$A$41,0)),0),0)</f>
        <v>0</v>
      </c>
      <c r="AC394" s="18" t="str">
        <f t="shared" si="57"/>
        <v/>
      </c>
      <c r="AD394" s="15" t="str">
        <f t="shared" si="58"/>
        <v/>
      </c>
      <c r="AE394" s="15" t="str">
        <f t="shared" si="59"/>
        <v/>
      </c>
      <c r="AF394" s="15" t="str">
        <f t="shared" si="60"/>
        <v/>
      </c>
      <c r="AG394" s="18">
        <f>IF(AND(S394=1,Z394="Y"),IF(Settings!$B$6="Percentage",IF(AD394=0,0,AC394*AA394*(N394/AD394)),IF(Settings!$B$6="Points",IF(AF394=0,0,AC394*(N394*AB394)/AF394),IF(Settings!$B$6="Equally",IF(AE394=0,0,AC394*N394/AE394),0))),0)</f>
        <v>0</v>
      </c>
      <c r="AH394" s="18" t="str">
        <f t="shared" si="61"/>
        <v/>
      </c>
      <c r="AI394" s="15">
        <f>IF(S394=1,IF(COUNTIFS($R$2:R394,R394,$S$2:S394,1)=1,1,0),0)</f>
        <v>0</v>
      </c>
      <c r="AJ394" s="15">
        <f>SUM($AI$2:AI394)</f>
        <v>12</v>
      </c>
    </row>
    <row r="395" spans="18:36">
      <c r="R395" s="15" t="str">
        <f t="shared" si="62"/>
        <v/>
      </c>
      <c r="S395" s="15">
        <f t="shared" si="54"/>
        <v>0</v>
      </c>
      <c r="T395" s="16" t="str">
        <f>IF(S395=1, DATE(YEAR(Settings!$B$3), MONTH(D395), DAY(D395)), "")</f>
        <v/>
      </c>
      <c r="U395" s="15" t="str">
        <f>IF(S395=1,IFERROR(INDEX(Settings!$B$12:$B$41,MATCH($B395,Settings!$A$12:$A$41,0)),"N"),"")</f>
        <v/>
      </c>
      <c r="V395" s="15" t="str">
        <f>IF(S395=1,IFERROR(INDEX(Settings!$C$12:$C$41,MATCH($B395,Settings!$A$12:$A$41,0)),""),"")</f>
        <v/>
      </c>
      <c r="W395" s="17">
        <f>IF(S395=1,IFERROR(INDEX(Settings!$D$12:$D$41,MATCH($B395,Settings!$A$12:$A$41,0)),0),0)</f>
        <v>0</v>
      </c>
      <c r="X395" s="18">
        <f t="shared" si="55"/>
        <v>0</v>
      </c>
      <c r="Y395" s="18" t="str">
        <f t="shared" si="56"/>
        <v/>
      </c>
      <c r="Z395" s="15" t="str">
        <f>IF(S395=1,IFERROR(INDEX(Settings!$E$12:$E$41,MATCH($B395,Settings!$A$12:$A$41,0)),"N"),"")</f>
        <v/>
      </c>
      <c r="AA395" s="17">
        <f>IF(S395=1,IFERROR(INDEX(Settings!$F$12:$F$41,MATCH($B395,Settings!$A$12:$A$41,0)),0),0)</f>
        <v>0</v>
      </c>
      <c r="AB395" s="15">
        <f>IF(S395=1,IFERROR(INDEX(Settings!$G$12:$G$41,MATCH($B395,Settings!$A$12:$A$41,0)),0),0)</f>
        <v>0</v>
      </c>
      <c r="AC395" s="18" t="str">
        <f t="shared" si="57"/>
        <v/>
      </c>
      <c r="AD395" s="15" t="str">
        <f t="shared" si="58"/>
        <v/>
      </c>
      <c r="AE395" s="15" t="str">
        <f t="shared" si="59"/>
        <v/>
      </c>
      <c r="AF395" s="15" t="str">
        <f t="shared" si="60"/>
        <v/>
      </c>
      <c r="AG395" s="18">
        <f>IF(AND(S395=1,Z395="Y"),IF(Settings!$B$6="Percentage",IF(AD395=0,0,AC395*AA395*(N395/AD395)),IF(Settings!$B$6="Points",IF(AF395=0,0,AC395*(N395*AB395)/AF395),IF(Settings!$B$6="Equally",IF(AE395=0,0,AC395*N395/AE395),0))),0)</f>
        <v>0</v>
      </c>
      <c r="AH395" s="18" t="str">
        <f t="shared" si="61"/>
        <v/>
      </c>
      <c r="AI395" s="15">
        <f>IF(S395=1,IF(COUNTIFS($R$2:R395,R395,$S$2:S395,1)=1,1,0),0)</f>
        <v>0</v>
      </c>
      <c r="AJ395" s="15">
        <f>SUM($AI$2:AI395)</f>
        <v>12</v>
      </c>
    </row>
    <row r="396" spans="18:36">
      <c r="R396" s="15" t="str">
        <f t="shared" si="62"/>
        <v/>
      </c>
      <c r="S396" s="15">
        <f t="shared" si="54"/>
        <v>0</v>
      </c>
      <c r="T396" s="16" t="str">
        <f>IF(S396=1, DATE(YEAR(Settings!$B$3), MONTH(D396), DAY(D396)), "")</f>
        <v/>
      </c>
      <c r="U396" s="15" t="str">
        <f>IF(S396=1,IFERROR(INDEX(Settings!$B$12:$B$41,MATCH($B396,Settings!$A$12:$A$41,0)),"N"),"")</f>
        <v/>
      </c>
      <c r="V396" s="15" t="str">
        <f>IF(S396=1,IFERROR(INDEX(Settings!$C$12:$C$41,MATCH($B396,Settings!$A$12:$A$41,0)),""),"")</f>
        <v/>
      </c>
      <c r="W396" s="17">
        <f>IF(S396=1,IFERROR(INDEX(Settings!$D$12:$D$41,MATCH($B396,Settings!$A$12:$A$41,0)),0),0)</f>
        <v>0</v>
      </c>
      <c r="X396" s="18">
        <f t="shared" si="55"/>
        <v>0</v>
      </c>
      <c r="Y396" s="18" t="str">
        <f t="shared" si="56"/>
        <v/>
      </c>
      <c r="Z396" s="15" t="str">
        <f>IF(S396=1,IFERROR(INDEX(Settings!$E$12:$E$41,MATCH($B396,Settings!$A$12:$A$41,0)),"N"),"")</f>
        <v/>
      </c>
      <c r="AA396" s="17">
        <f>IF(S396=1,IFERROR(INDEX(Settings!$F$12:$F$41,MATCH($B396,Settings!$A$12:$A$41,0)),0),0)</f>
        <v>0</v>
      </c>
      <c r="AB396" s="15">
        <f>IF(S396=1,IFERROR(INDEX(Settings!$G$12:$G$41,MATCH($B396,Settings!$A$12:$A$41,0)),0),0)</f>
        <v>0</v>
      </c>
      <c r="AC396" s="18" t="str">
        <f t="shared" si="57"/>
        <v/>
      </c>
      <c r="AD396" s="15" t="str">
        <f t="shared" si="58"/>
        <v/>
      </c>
      <c r="AE396" s="15" t="str">
        <f t="shared" si="59"/>
        <v/>
      </c>
      <c r="AF396" s="15" t="str">
        <f t="shared" si="60"/>
        <v/>
      </c>
      <c r="AG396" s="18">
        <f>IF(AND(S396=1,Z396="Y"),IF(Settings!$B$6="Percentage",IF(AD396=0,0,AC396*AA396*(N396/AD396)),IF(Settings!$B$6="Points",IF(AF396=0,0,AC396*(N396*AB396)/AF396),IF(Settings!$B$6="Equally",IF(AE396=0,0,AC396*N396/AE396),0))),0)</f>
        <v>0</v>
      </c>
      <c r="AH396" s="18" t="str">
        <f t="shared" si="61"/>
        <v/>
      </c>
      <c r="AI396" s="15">
        <f>IF(S396=1,IF(COUNTIFS($R$2:R396,R396,$S$2:S396,1)=1,1,0),0)</f>
        <v>0</v>
      </c>
      <c r="AJ396" s="15">
        <f>SUM($AI$2:AI396)</f>
        <v>12</v>
      </c>
    </row>
    <row r="397" spans="18:36">
      <c r="R397" s="15" t="str">
        <f t="shared" si="62"/>
        <v/>
      </c>
      <c r="S397" s="15">
        <f t="shared" si="54"/>
        <v>0</v>
      </c>
      <c r="T397" s="16" t="str">
        <f>IF(S397=1, DATE(YEAR(Settings!$B$3), MONTH(D397), DAY(D397)), "")</f>
        <v/>
      </c>
      <c r="U397" s="15" t="str">
        <f>IF(S397=1,IFERROR(INDEX(Settings!$B$12:$B$41,MATCH($B397,Settings!$A$12:$A$41,0)),"N"),"")</f>
        <v/>
      </c>
      <c r="V397" s="15" t="str">
        <f>IF(S397=1,IFERROR(INDEX(Settings!$C$12:$C$41,MATCH($B397,Settings!$A$12:$A$41,0)),""),"")</f>
        <v/>
      </c>
      <c r="W397" s="17">
        <f>IF(S397=1,IFERROR(INDEX(Settings!$D$12:$D$41,MATCH($B397,Settings!$A$12:$A$41,0)),0),0)</f>
        <v>0</v>
      </c>
      <c r="X397" s="18">
        <f t="shared" si="55"/>
        <v>0</v>
      </c>
      <c r="Y397" s="18" t="str">
        <f t="shared" si="56"/>
        <v/>
      </c>
      <c r="Z397" s="15" t="str">
        <f>IF(S397=1,IFERROR(INDEX(Settings!$E$12:$E$41,MATCH($B397,Settings!$A$12:$A$41,0)),"N"),"")</f>
        <v/>
      </c>
      <c r="AA397" s="17">
        <f>IF(S397=1,IFERROR(INDEX(Settings!$F$12:$F$41,MATCH($B397,Settings!$A$12:$A$41,0)),0),0)</f>
        <v>0</v>
      </c>
      <c r="AB397" s="15">
        <f>IF(S397=1,IFERROR(INDEX(Settings!$G$12:$G$41,MATCH($B397,Settings!$A$12:$A$41,0)),0),0)</f>
        <v>0</v>
      </c>
      <c r="AC397" s="18" t="str">
        <f t="shared" si="57"/>
        <v/>
      </c>
      <c r="AD397" s="15" t="str">
        <f t="shared" si="58"/>
        <v/>
      </c>
      <c r="AE397" s="15" t="str">
        <f t="shared" si="59"/>
        <v/>
      </c>
      <c r="AF397" s="15" t="str">
        <f t="shared" si="60"/>
        <v/>
      </c>
      <c r="AG397" s="18">
        <f>IF(AND(S397=1,Z397="Y"),IF(Settings!$B$6="Percentage",IF(AD397=0,0,AC397*AA397*(N397/AD397)),IF(Settings!$B$6="Points",IF(AF397=0,0,AC397*(N397*AB397)/AF397),IF(Settings!$B$6="Equally",IF(AE397=0,0,AC397*N397/AE397),0))),0)</f>
        <v>0</v>
      </c>
      <c r="AH397" s="18" t="str">
        <f t="shared" si="61"/>
        <v/>
      </c>
      <c r="AI397" s="15">
        <f>IF(S397=1,IF(COUNTIFS($R$2:R397,R397,$S$2:S397,1)=1,1,0),0)</f>
        <v>0</v>
      </c>
      <c r="AJ397" s="15">
        <f>SUM($AI$2:AI397)</f>
        <v>12</v>
      </c>
    </row>
    <row r="398" spans="18:36">
      <c r="R398" s="15" t="str">
        <f t="shared" si="62"/>
        <v/>
      </c>
      <c r="S398" s="15">
        <f t="shared" si="54"/>
        <v>0</v>
      </c>
      <c r="T398" s="16" t="str">
        <f>IF(S398=1, DATE(YEAR(Settings!$B$3), MONTH(D398), DAY(D398)), "")</f>
        <v/>
      </c>
      <c r="U398" s="15" t="str">
        <f>IF(S398=1,IFERROR(INDEX(Settings!$B$12:$B$41,MATCH($B398,Settings!$A$12:$A$41,0)),"N"),"")</f>
        <v/>
      </c>
      <c r="V398" s="15" t="str">
        <f>IF(S398=1,IFERROR(INDEX(Settings!$C$12:$C$41,MATCH($B398,Settings!$A$12:$A$41,0)),""),"")</f>
        <v/>
      </c>
      <c r="W398" s="17">
        <f>IF(S398=1,IFERROR(INDEX(Settings!$D$12:$D$41,MATCH($B398,Settings!$A$12:$A$41,0)),0),0)</f>
        <v>0</v>
      </c>
      <c r="X398" s="18">
        <f t="shared" si="55"/>
        <v>0</v>
      </c>
      <c r="Y398" s="18" t="str">
        <f t="shared" si="56"/>
        <v/>
      </c>
      <c r="Z398" s="15" t="str">
        <f>IF(S398=1,IFERROR(INDEX(Settings!$E$12:$E$41,MATCH($B398,Settings!$A$12:$A$41,0)),"N"),"")</f>
        <v/>
      </c>
      <c r="AA398" s="17">
        <f>IF(S398=1,IFERROR(INDEX(Settings!$F$12:$F$41,MATCH($B398,Settings!$A$12:$A$41,0)),0),0)</f>
        <v>0</v>
      </c>
      <c r="AB398" s="15">
        <f>IF(S398=1,IFERROR(INDEX(Settings!$G$12:$G$41,MATCH($B398,Settings!$A$12:$A$41,0)),0),0)</f>
        <v>0</v>
      </c>
      <c r="AC398" s="18" t="str">
        <f t="shared" si="57"/>
        <v/>
      </c>
      <c r="AD398" s="15" t="str">
        <f t="shared" si="58"/>
        <v/>
      </c>
      <c r="AE398" s="15" t="str">
        <f t="shared" si="59"/>
        <v/>
      </c>
      <c r="AF398" s="15" t="str">
        <f t="shared" si="60"/>
        <v/>
      </c>
      <c r="AG398" s="18">
        <f>IF(AND(S398=1,Z398="Y"),IF(Settings!$B$6="Percentage",IF(AD398=0,0,AC398*AA398*(N398/AD398)),IF(Settings!$B$6="Points",IF(AF398=0,0,AC398*(N398*AB398)/AF398),IF(Settings!$B$6="Equally",IF(AE398=0,0,AC398*N398/AE398),0))),0)</f>
        <v>0</v>
      </c>
      <c r="AH398" s="18" t="str">
        <f t="shared" si="61"/>
        <v/>
      </c>
      <c r="AI398" s="15">
        <f>IF(S398=1,IF(COUNTIFS($R$2:R398,R398,$S$2:S398,1)=1,1,0),0)</f>
        <v>0</v>
      </c>
      <c r="AJ398" s="15">
        <f>SUM($AI$2:AI398)</f>
        <v>12</v>
      </c>
    </row>
    <row r="399" spans="18:36">
      <c r="R399" s="15" t="str">
        <f t="shared" si="62"/>
        <v/>
      </c>
      <c r="S399" s="15">
        <f t="shared" si="54"/>
        <v>0</v>
      </c>
      <c r="T399" s="16" t="str">
        <f>IF(S399=1, DATE(YEAR(Settings!$B$3), MONTH(D399), DAY(D399)), "")</f>
        <v/>
      </c>
      <c r="U399" s="15" t="str">
        <f>IF(S399=1,IFERROR(INDEX(Settings!$B$12:$B$41,MATCH($B399,Settings!$A$12:$A$41,0)),"N"),"")</f>
        <v/>
      </c>
      <c r="V399" s="15" t="str">
        <f>IF(S399=1,IFERROR(INDEX(Settings!$C$12:$C$41,MATCH($B399,Settings!$A$12:$A$41,0)),""),"")</f>
        <v/>
      </c>
      <c r="W399" s="17">
        <f>IF(S399=1,IFERROR(INDEX(Settings!$D$12:$D$41,MATCH($B399,Settings!$A$12:$A$41,0)),0),0)</f>
        <v>0</v>
      </c>
      <c r="X399" s="18">
        <f t="shared" si="55"/>
        <v>0</v>
      </c>
      <c r="Y399" s="18" t="str">
        <f t="shared" si="56"/>
        <v/>
      </c>
      <c r="Z399" s="15" t="str">
        <f>IF(S399=1,IFERROR(INDEX(Settings!$E$12:$E$41,MATCH($B399,Settings!$A$12:$A$41,0)),"N"),"")</f>
        <v/>
      </c>
      <c r="AA399" s="17">
        <f>IF(S399=1,IFERROR(INDEX(Settings!$F$12:$F$41,MATCH($B399,Settings!$A$12:$A$41,0)),0),0)</f>
        <v>0</v>
      </c>
      <c r="AB399" s="15">
        <f>IF(S399=1,IFERROR(INDEX(Settings!$G$12:$G$41,MATCH($B399,Settings!$A$12:$A$41,0)),0),0)</f>
        <v>0</v>
      </c>
      <c r="AC399" s="18" t="str">
        <f t="shared" si="57"/>
        <v/>
      </c>
      <c r="AD399" s="15" t="str">
        <f t="shared" si="58"/>
        <v/>
      </c>
      <c r="AE399" s="15" t="str">
        <f t="shared" si="59"/>
        <v/>
      </c>
      <c r="AF399" s="15" t="str">
        <f t="shared" si="60"/>
        <v/>
      </c>
      <c r="AG399" s="18">
        <f>IF(AND(S399=1,Z399="Y"),IF(Settings!$B$6="Percentage",IF(AD399=0,0,AC399*AA399*(N399/AD399)),IF(Settings!$B$6="Points",IF(AF399=0,0,AC399*(N399*AB399)/AF399),IF(Settings!$B$6="Equally",IF(AE399=0,0,AC399*N399/AE399),0))),0)</f>
        <v>0</v>
      </c>
      <c r="AH399" s="18" t="str">
        <f t="shared" si="61"/>
        <v/>
      </c>
      <c r="AI399" s="15">
        <f>IF(S399=1,IF(COUNTIFS($R$2:R399,R399,$S$2:S399,1)=1,1,0),0)</f>
        <v>0</v>
      </c>
      <c r="AJ399" s="15">
        <f>SUM($AI$2:AI399)</f>
        <v>12</v>
      </c>
    </row>
    <row r="400" spans="18:36">
      <c r="R400" s="15" t="str">
        <f t="shared" si="62"/>
        <v/>
      </c>
      <c r="S400" s="15">
        <f t="shared" si="54"/>
        <v>0</v>
      </c>
      <c r="T400" s="16" t="str">
        <f>IF(S400=1, DATE(YEAR(Settings!$B$3), MONTH(D400), DAY(D400)), "")</f>
        <v/>
      </c>
      <c r="U400" s="15" t="str">
        <f>IF(S400=1,IFERROR(INDEX(Settings!$B$12:$B$41,MATCH($B400,Settings!$A$12:$A$41,0)),"N"),"")</f>
        <v/>
      </c>
      <c r="V400" s="15" t="str">
        <f>IF(S400=1,IFERROR(INDEX(Settings!$C$12:$C$41,MATCH($B400,Settings!$A$12:$A$41,0)),""),"")</f>
        <v/>
      </c>
      <c r="W400" s="17">
        <f>IF(S400=1,IFERROR(INDEX(Settings!$D$12:$D$41,MATCH($B400,Settings!$A$12:$A$41,0)),0),0)</f>
        <v>0</v>
      </c>
      <c r="X400" s="18">
        <f t="shared" si="55"/>
        <v>0</v>
      </c>
      <c r="Y400" s="18" t="str">
        <f t="shared" si="56"/>
        <v/>
      </c>
      <c r="Z400" s="15" t="str">
        <f>IF(S400=1,IFERROR(INDEX(Settings!$E$12:$E$41,MATCH($B400,Settings!$A$12:$A$41,0)),"N"),"")</f>
        <v/>
      </c>
      <c r="AA400" s="17">
        <f>IF(S400=1,IFERROR(INDEX(Settings!$F$12:$F$41,MATCH($B400,Settings!$A$12:$A$41,0)),0),0)</f>
        <v>0</v>
      </c>
      <c r="AB400" s="15">
        <f>IF(S400=1,IFERROR(INDEX(Settings!$G$12:$G$41,MATCH($B400,Settings!$A$12:$A$41,0)),0),0)</f>
        <v>0</v>
      </c>
      <c r="AC400" s="18" t="str">
        <f t="shared" si="57"/>
        <v/>
      </c>
      <c r="AD400" s="15" t="str">
        <f t="shared" si="58"/>
        <v/>
      </c>
      <c r="AE400" s="15" t="str">
        <f t="shared" si="59"/>
        <v/>
      </c>
      <c r="AF400" s="15" t="str">
        <f t="shared" si="60"/>
        <v/>
      </c>
      <c r="AG400" s="18">
        <f>IF(AND(S400=1,Z400="Y"),IF(Settings!$B$6="Percentage",IF(AD400=0,0,AC400*AA400*(N400/AD400)),IF(Settings!$B$6="Points",IF(AF400=0,0,AC400*(N400*AB400)/AF400),IF(Settings!$B$6="Equally",IF(AE400=0,0,AC400*N400/AE400),0))),0)</f>
        <v>0</v>
      </c>
      <c r="AH400" s="18" t="str">
        <f t="shared" si="61"/>
        <v/>
      </c>
      <c r="AI400" s="15">
        <f>IF(S400=1,IF(COUNTIFS($R$2:R400,R400,$S$2:S400,1)=1,1,0),0)</f>
        <v>0</v>
      </c>
      <c r="AJ400" s="15">
        <f>SUM($AI$2:AI400)</f>
        <v>12</v>
      </c>
    </row>
    <row r="401" spans="18:36">
      <c r="R401" s="15" t="str">
        <f t="shared" si="62"/>
        <v/>
      </c>
      <c r="S401" s="15">
        <f t="shared" si="54"/>
        <v>0</v>
      </c>
      <c r="T401" s="16" t="str">
        <f>IF(S401=1, DATE(YEAR(Settings!$B$3), MONTH(D401), DAY(D401)), "")</f>
        <v/>
      </c>
      <c r="U401" s="15" t="str">
        <f>IF(S401=1,IFERROR(INDEX(Settings!$B$12:$B$41,MATCH($B401,Settings!$A$12:$A$41,0)),"N"),"")</f>
        <v/>
      </c>
      <c r="V401" s="15" t="str">
        <f>IF(S401=1,IFERROR(INDEX(Settings!$C$12:$C$41,MATCH($B401,Settings!$A$12:$A$41,0)),""),"")</f>
        <v/>
      </c>
      <c r="W401" s="17">
        <f>IF(S401=1,IFERROR(INDEX(Settings!$D$12:$D$41,MATCH($B401,Settings!$A$12:$A$41,0)),0),0)</f>
        <v>0</v>
      </c>
      <c r="X401" s="18">
        <f t="shared" si="55"/>
        <v>0</v>
      </c>
      <c r="Y401" s="18" t="str">
        <f t="shared" si="56"/>
        <v/>
      </c>
      <c r="Z401" s="15" t="str">
        <f>IF(S401=1,IFERROR(INDEX(Settings!$E$12:$E$41,MATCH($B401,Settings!$A$12:$A$41,0)),"N"),"")</f>
        <v/>
      </c>
      <c r="AA401" s="17">
        <f>IF(S401=1,IFERROR(INDEX(Settings!$F$12:$F$41,MATCH($B401,Settings!$A$12:$A$41,0)),0),0)</f>
        <v>0</v>
      </c>
      <c r="AB401" s="15">
        <f>IF(S401=1,IFERROR(INDEX(Settings!$G$12:$G$41,MATCH($B401,Settings!$A$12:$A$41,0)),0),0)</f>
        <v>0</v>
      </c>
      <c r="AC401" s="18" t="str">
        <f t="shared" si="57"/>
        <v/>
      </c>
      <c r="AD401" s="15" t="str">
        <f t="shared" si="58"/>
        <v/>
      </c>
      <c r="AE401" s="15" t="str">
        <f t="shared" si="59"/>
        <v/>
      </c>
      <c r="AF401" s="15" t="str">
        <f t="shared" si="60"/>
        <v/>
      </c>
      <c r="AG401" s="18">
        <f>IF(AND(S401=1,Z401="Y"),IF(Settings!$B$6="Percentage",IF(AD401=0,0,AC401*AA401*(N401/AD401)),IF(Settings!$B$6="Points",IF(AF401=0,0,AC401*(N401*AB401)/AF401),IF(Settings!$B$6="Equally",IF(AE401=0,0,AC401*N401/AE401),0))),0)</f>
        <v>0</v>
      </c>
      <c r="AH401" s="18" t="str">
        <f t="shared" si="61"/>
        <v/>
      </c>
      <c r="AI401" s="15">
        <f>IF(S401=1,IF(COUNTIFS($R$2:R401,R401,$S$2:S401,1)=1,1,0),0)</f>
        <v>0</v>
      </c>
      <c r="AJ401" s="15">
        <f>SUM($AI$2:AI401)</f>
        <v>12</v>
      </c>
    </row>
    <row r="402" spans="18:36">
      <c r="R402" s="15" t="str">
        <f t="shared" si="62"/>
        <v/>
      </c>
      <c r="S402" s="15">
        <f t="shared" si="54"/>
        <v>0</v>
      </c>
      <c r="T402" s="16" t="str">
        <f>IF(S402=1, DATE(YEAR(Settings!$B$3), MONTH(D402), DAY(D402)), "")</f>
        <v/>
      </c>
      <c r="U402" s="15" t="str">
        <f>IF(S402=1,IFERROR(INDEX(Settings!$B$12:$B$41,MATCH($B402,Settings!$A$12:$A$41,0)),"N"),"")</f>
        <v/>
      </c>
      <c r="V402" s="15" t="str">
        <f>IF(S402=1,IFERROR(INDEX(Settings!$C$12:$C$41,MATCH($B402,Settings!$A$12:$A$41,0)),""),"")</f>
        <v/>
      </c>
      <c r="W402" s="17">
        <f>IF(S402=1,IFERROR(INDEX(Settings!$D$12:$D$41,MATCH($B402,Settings!$A$12:$A$41,0)),0),0)</f>
        <v>0</v>
      </c>
      <c r="X402" s="18">
        <f t="shared" si="55"/>
        <v>0</v>
      </c>
      <c r="Y402" s="18" t="str">
        <f t="shared" si="56"/>
        <v/>
      </c>
      <c r="Z402" s="15" t="str">
        <f>IF(S402=1,IFERROR(INDEX(Settings!$E$12:$E$41,MATCH($B402,Settings!$A$12:$A$41,0)),"N"),"")</f>
        <v/>
      </c>
      <c r="AA402" s="17">
        <f>IF(S402=1,IFERROR(INDEX(Settings!$F$12:$F$41,MATCH($B402,Settings!$A$12:$A$41,0)),0),0)</f>
        <v>0</v>
      </c>
      <c r="AB402" s="15">
        <f>IF(S402=1,IFERROR(INDEX(Settings!$G$12:$G$41,MATCH($B402,Settings!$A$12:$A$41,0)),0),0)</f>
        <v>0</v>
      </c>
      <c r="AC402" s="18" t="str">
        <f t="shared" si="57"/>
        <v/>
      </c>
      <c r="AD402" s="15" t="str">
        <f t="shared" si="58"/>
        <v/>
      </c>
      <c r="AE402" s="15" t="str">
        <f t="shared" si="59"/>
        <v/>
      </c>
      <c r="AF402" s="15" t="str">
        <f t="shared" si="60"/>
        <v/>
      </c>
      <c r="AG402" s="18">
        <f>IF(AND(S402=1,Z402="Y"),IF(Settings!$B$6="Percentage",IF(AD402=0,0,AC402*AA402*(N402/AD402)),IF(Settings!$B$6="Points",IF(AF402=0,0,AC402*(N402*AB402)/AF402),IF(Settings!$B$6="Equally",IF(AE402=0,0,AC402*N402/AE402),0))),0)</f>
        <v>0</v>
      </c>
      <c r="AH402" s="18" t="str">
        <f t="shared" si="61"/>
        <v/>
      </c>
      <c r="AI402" s="15">
        <f>IF(S402=1,IF(COUNTIFS($R$2:R402,R402,$S$2:S402,1)=1,1,0),0)</f>
        <v>0</v>
      </c>
      <c r="AJ402" s="15">
        <f>SUM($AI$2:AI402)</f>
        <v>12</v>
      </c>
    </row>
    <row r="403" spans="18:36">
      <c r="R403" s="15" t="str">
        <f t="shared" si="62"/>
        <v/>
      </c>
      <c r="S403" s="15">
        <f t="shared" si="54"/>
        <v>0</v>
      </c>
      <c r="T403" s="16" t="str">
        <f>IF(S403=1, DATE(YEAR(Settings!$B$3), MONTH(D403), DAY(D403)), "")</f>
        <v/>
      </c>
      <c r="U403" s="15" t="str">
        <f>IF(S403=1,IFERROR(INDEX(Settings!$B$12:$B$41,MATCH($B403,Settings!$A$12:$A$41,0)),"N"),"")</f>
        <v/>
      </c>
      <c r="V403" s="15" t="str">
        <f>IF(S403=1,IFERROR(INDEX(Settings!$C$12:$C$41,MATCH($B403,Settings!$A$12:$A$41,0)),""),"")</f>
        <v/>
      </c>
      <c r="W403" s="17">
        <f>IF(S403=1,IFERROR(INDEX(Settings!$D$12:$D$41,MATCH($B403,Settings!$A$12:$A$41,0)),0),0)</f>
        <v>0</v>
      </c>
      <c r="X403" s="18">
        <f t="shared" si="55"/>
        <v>0</v>
      </c>
      <c r="Y403" s="18" t="str">
        <f t="shared" si="56"/>
        <v/>
      </c>
      <c r="Z403" s="15" t="str">
        <f>IF(S403=1,IFERROR(INDEX(Settings!$E$12:$E$41,MATCH($B403,Settings!$A$12:$A$41,0)),"N"),"")</f>
        <v/>
      </c>
      <c r="AA403" s="17">
        <f>IF(S403=1,IFERROR(INDEX(Settings!$F$12:$F$41,MATCH($B403,Settings!$A$12:$A$41,0)),0),0)</f>
        <v>0</v>
      </c>
      <c r="AB403" s="15">
        <f>IF(S403=1,IFERROR(INDEX(Settings!$G$12:$G$41,MATCH($B403,Settings!$A$12:$A$41,0)),0),0)</f>
        <v>0</v>
      </c>
      <c r="AC403" s="18" t="str">
        <f t="shared" si="57"/>
        <v/>
      </c>
      <c r="AD403" s="15" t="str">
        <f t="shared" si="58"/>
        <v/>
      </c>
      <c r="AE403" s="15" t="str">
        <f t="shared" si="59"/>
        <v/>
      </c>
      <c r="AF403" s="15" t="str">
        <f t="shared" si="60"/>
        <v/>
      </c>
      <c r="AG403" s="18">
        <f>IF(AND(S403=1,Z403="Y"),IF(Settings!$B$6="Percentage",IF(AD403=0,0,AC403*AA403*(N403/AD403)),IF(Settings!$B$6="Points",IF(AF403=0,0,AC403*(N403*AB403)/AF403),IF(Settings!$B$6="Equally",IF(AE403=0,0,AC403*N403/AE403),0))),0)</f>
        <v>0</v>
      </c>
      <c r="AH403" s="18" t="str">
        <f t="shared" si="61"/>
        <v/>
      </c>
      <c r="AI403" s="15">
        <f>IF(S403=1,IF(COUNTIFS($R$2:R403,R403,$S$2:S403,1)=1,1,0),0)</f>
        <v>0</v>
      </c>
      <c r="AJ403" s="15">
        <f>SUM($AI$2:AI403)</f>
        <v>12</v>
      </c>
    </row>
    <row r="404" spans="18:36">
      <c r="R404" s="15" t="str">
        <f t="shared" si="62"/>
        <v/>
      </c>
      <c r="S404" s="15">
        <f t="shared" si="54"/>
        <v>0</v>
      </c>
      <c r="T404" s="16" t="str">
        <f>IF(S404=1, DATE(YEAR(Settings!$B$3), MONTH(D404), DAY(D404)), "")</f>
        <v/>
      </c>
      <c r="U404" s="15" t="str">
        <f>IF(S404=1,IFERROR(INDEX(Settings!$B$12:$B$41,MATCH($B404,Settings!$A$12:$A$41,0)),"N"),"")</f>
        <v/>
      </c>
      <c r="V404" s="15" t="str">
        <f>IF(S404=1,IFERROR(INDEX(Settings!$C$12:$C$41,MATCH($B404,Settings!$A$12:$A$41,0)),""),"")</f>
        <v/>
      </c>
      <c r="W404" s="17">
        <f>IF(S404=1,IFERROR(INDEX(Settings!$D$12:$D$41,MATCH($B404,Settings!$A$12:$A$41,0)),0),0)</f>
        <v>0</v>
      </c>
      <c r="X404" s="18">
        <f t="shared" si="55"/>
        <v>0</v>
      </c>
      <c r="Y404" s="18" t="str">
        <f t="shared" si="56"/>
        <v/>
      </c>
      <c r="Z404" s="15" t="str">
        <f>IF(S404=1,IFERROR(INDEX(Settings!$E$12:$E$41,MATCH($B404,Settings!$A$12:$A$41,0)),"N"),"")</f>
        <v/>
      </c>
      <c r="AA404" s="17">
        <f>IF(S404=1,IFERROR(INDEX(Settings!$F$12:$F$41,MATCH($B404,Settings!$A$12:$A$41,0)),0),0)</f>
        <v>0</v>
      </c>
      <c r="AB404" s="15">
        <f>IF(S404=1,IFERROR(INDEX(Settings!$G$12:$G$41,MATCH($B404,Settings!$A$12:$A$41,0)),0),0)</f>
        <v>0</v>
      </c>
      <c r="AC404" s="18" t="str">
        <f t="shared" si="57"/>
        <v/>
      </c>
      <c r="AD404" s="15" t="str">
        <f t="shared" si="58"/>
        <v/>
      </c>
      <c r="AE404" s="15" t="str">
        <f t="shared" si="59"/>
        <v/>
      </c>
      <c r="AF404" s="15" t="str">
        <f t="shared" si="60"/>
        <v/>
      </c>
      <c r="AG404" s="18">
        <f>IF(AND(S404=1,Z404="Y"),IF(Settings!$B$6="Percentage",IF(AD404=0,0,AC404*AA404*(N404/AD404)),IF(Settings!$B$6="Points",IF(AF404=0,0,AC404*(N404*AB404)/AF404),IF(Settings!$B$6="Equally",IF(AE404=0,0,AC404*N404/AE404),0))),0)</f>
        <v>0</v>
      </c>
      <c r="AH404" s="18" t="str">
        <f t="shared" si="61"/>
        <v/>
      </c>
      <c r="AI404" s="15">
        <f>IF(S404=1,IF(COUNTIFS($R$2:R404,R404,$S$2:S404,1)=1,1,0),0)</f>
        <v>0</v>
      </c>
      <c r="AJ404" s="15">
        <f>SUM($AI$2:AI404)</f>
        <v>12</v>
      </c>
    </row>
    <row r="405" spans="18:36">
      <c r="R405" s="15" t="str">
        <f t="shared" si="62"/>
        <v/>
      </c>
      <c r="S405" s="15">
        <f t="shared" si="54"/>
        <v>0</v>
      </c>
      <c r="T405" s="16" t="str">
        <f>IF(S405=1, DATE(YEAR(Settings!$B$3), MONTH(D405), DAY(D405)), "")</f>
        <v/>
      </c>
      <c r="U405" s="15" t="str">
        <f>IF(S405=1,IFERROR(INDEX(Settings!$B$12:$B$41,MATCH($B405,Settings!$A$12:$A$41,0)),"N"),"")</f>
        <v/>
      </c>
      <c r="V405" s="15" t="str">
        <f>IF(S405=1,IFERROR(INDEX(Settings!$C$12:$C$41,MATCH($B405,Settings!$A$12:$A$41,0)),""),"")</f>
        <v/>
      </c>
      <c r="W405" s="17">
        <f>IF(S405=1,IFERROR(INDEX(Settings!$D$12:$D$41,MATCH($B405,Settings!$A$12:$A$41,0)),0),0)</f>
        <v>0</v>
      </c>
      <c r="X405" s="18">
        <f t="shared" si="55"/>
        <v>0</v>
      </c>
      <c r="Y405" s="18" t="str">
        <f t="shared" si="56"/>
        <v/>
      </c>
      <c r="Z405" s="15" t="str">
        <f>IF(S405=1,IFERROR(INDEX(Settings!$E$12:$E$41,MATCH($B405,Settings!$A$12:$A$41,0)),"N"),"")</f>
        <v/>
      </c>
      <c r="AA405" s="17">
        <f>IF(S405=1,IFERROR(INDEX(Settings!$F$12:$F$41,MATCH($B405,Settings!$A$12:$A$41,0)),0),0)</f>
        <v>0</v>
      </c>
      <c r="AB405" s="15">
        <f>IF(S405=1,IFERROR(INDEX(Settings!$G$12:$G$41,MATCH($B405,Settings!$A$12:$A$41,0)),0),0)</f>
        <v>0</v>
      </c>
      <c r="AC405" s="18" t="str">
        <f t="shared" si="57"/>
        <v/>
      </c>
      <c r="AD405" s="15" t="str">
        <f t="shared" si="58"/>
        <v/>
      </c>
      <c r="AE405" s="15" t="str">
        <f t="shared" si="59"/>
        <v/>
      </c>
      <c r="AF405" s="15" t="str">
        <f t="shared" si="60"/>
        <v/>
      </c>
      <c r="AG405" s="18">
        <f>IF(AND(S405=1,Z405="Y"),IF(Settings!$B$6="Percentage",IF(AD405=0,0,AC405*AA405*(N405/AD405)),IF(Settings!$B$6="Points",IF(AF405=0,0,AC405*(N405*AB405)/AF405),IF(Settings!$B$6="Equally",IF(AE405=0,0,AC405*N405/AE405),0))),0)</f>
        <v>0</v>
      </c>
      <c r="AH405" s="18" t="str">
        <f t="shared" si="61"/>
        <v/>
      </c>
      <c r="AI405" s="15">
        <f>IF(S405=1,IF(COUNTIFS($R$2:R405,R405,$S$2:S405,1)=1,1,0),0)</f>
        <v>0</v>
      </c>
      <c r="AJ405" s="15">
        <f>SUM($AI$2:AI405)</f>
        <v>12</v>
      </c>
    </row>
    <row r="406" spans="18:36">
      <c r="R406" s="15" t="str">
        <f t="shared" si="62"/>
        <v/>
      </c>
      <c r="S406" s="15">
        <f t="shared" si="54"/>
        <v>0</v>
      </c>
      <c r="T406" s="16" t="str">
        <f>IF(S406=1, DATE(YEAR(Settings!$B$3), MONTH(D406), DAY(D406)), "")</f>
        <v/>
      </c>
      <c r="U406" s="15" t="str">
        <f>IF(S406=1,IFERROR(INDEX(Settings!$B$12:$B$41,MATCH($B406,Settings!$A$12:$A$41,0)),"N"),"")</f>
        <v/>
      </c>
      <c r="V406" s="15" t="str">
        <f>IF(S406=1,IFERROR(INDEX(Settings!$C$12:$C$41,MATCH($B406,Settings!$A$12:$A$41,0)),""),"")</f>
        <v/>
      </c>
      <c r="W406" s="17">
        <f>IF(S406=1,IFERROR(INDEX(Settings!$D$12:$D$41,MATCH($B406,Settings!$A$12:$A$41,0)),0),0)</f>
        <v>0</v>
      </c>
      <c r="X406" s="18">
        <f t="shared" si="55"/>
        <v>0</v>
      </c>
      <c r="Y406" s="18" t="str">
        <f t="shared" si="56"/>
        <v/>
      </c>
      <c r="Z406" s="15" t="str">
        <f>IF(S406=1,IFERROR(INDEX(Settings!$E$12:$E$41,MATCH($B406,Settings!$A$12:$A$41,0)),"N"),"")</f>
        <v/>
      </c>
      <c r="AA406" s="17">
        <f>IF(S406=1,IFERROR(INDEX(Settings!$F$12:$F$41,MATCH($B406,Settings!$A$12:$A$41,0)),0),0)</f>
        <v>0</v>
      </c>
      <c r="AB406" s="15">
        <f>IF(S406=1,IFERROR(INDEX(Settings!$G$12:$G$41,MATCH($B406,Settings!$A$12:$A$41,0)),0),0)</f>
        <v>0</v>
      </c>
      <c r="AC406" s="18" t="str">
        <f t="shared" si="57"/>
        <v/>
      </c>
      <c r="AD406" s="15" t="str">
        <f t="shared" si="58"/>
        <v/>
      </c>
      <c r="AE406" s="15" t="str">
        <f t="shared" si="59"/>
        <v/>
      </c>
      <c r="AF406" s="15" t="str">
        <f t="shared" si="60"/>
        <v/>
      </c>
      <c r="AG406" s="18">
        <f>IF(AND(S406=1,Z406="Y"),IF(Settings!$B$6="Percentage",IF(AD406=0,0,AC406*AA406*(N406/AD406)),IF(Settings!$B$6="Points",IF(AF406=0,0,AC406*(N406*AB406)/AF406),IF(Settings!$B$6="Equally",IF(AE406=0,0,AC406*N406/AE406),0))),0)</f>
        <v>0</v>
      </c>
      <c r="AH406" s="18" t="str">
        <f t="shared" si="61"/>
        <v/>
      </c>
      <c r="AI406" s="15">
        <f>IF(S406=1,IF(COUNTIFS($R$2:R406,R406,$S$2:S406,1)=1,1,0),0)</f>
        <v>0</v>
      </c>
      <c r="AJ406" s="15">
        <f>SUM($AI$2:AI406)</f>
        <v>12</v>
      </c>
    </row>
    <row r="407" spans="18:36">
      <c r="R407" s="15" t="str">
        <f t="shared" si="62"/>
        <v/>
      </c>
      <c r="S407" s="15">
        <f t="shared" si="54"/>
        <v>0</v>
      </c>
      <c r="T407" s="16" t="str">
        <f>IF(S407=1, DATE(YEAR(Settings!$B$3), MONTH(D407), DAY(D407)), "")</f>
        <v/>
      </c>
      <c r="U407" s="15" t="str">
        <f>IF(S407=1,IFERROR(INDEX(Settings!$B$12:$B$41,MATCH($B407,Settings!$A$12:$A$41,0)),"N"),"")</f>
        <v/>
      </c>
      <c r="V407" s="15" t="str">
        <f>IF(S407=1,IFERROR(INDEX(Settings!$C$12:$C$41,MATCH($B407,Settings!$A$12:$A$41,0)),""),"")</f>
        <v/>
      </c>
      <c r="W407" s="17">
        <f>IF(S407=1,IFERROR(INDEX(Settings!$D$12:$D$41,MATCH($B407,Settings!$A$12:$A$41,0)),0),0)</f>
        <v>0</v>
      </c>
      <c r="X407" s="18">
        <f t="shared" si="55"/>
        <v>0</v>
      </c>
      <c r="Y407" s="18" t="str">
        <f t="shared" si="56"/>
        <v/>
      </c>
      <c r="Z407" s="15" t="str">
        <f>IF(S407=1,IFERROR(INDEX(Settings!$E$12:$E$41,MATCH($B407,Settings!$A$12:$A$41,0)),"N"),"")</f>
        <v/>
      </c>
      <c r="AA407" s="17">
        <f>IF(S407=1,IFERROR(INDEX(Settings!$F$12:$F$41,MATCH($B407,Settings!$A$12:$A$41,0)),0),0)</f>
        <v>0</v>
      </c>
      <c r="AB407" s="15">
        <f>IF(S407=1,IFERROR(INDEX(Settings!$G$12:$G$41,MATCH($B407,Settings!$A$12:$A$41,0)),0),0)</f>
        <v>0</v>
      </c>
      <c r="AC407" s="18" t="str">
        <f t="shared" si="57"/>
        <v/>
      </c>
      <c r="AD407" s="15" t="str">
        <f t="shared" si="58"/>
        <v/>
      </c>
      <c r="AE407" s="15" t="str">
        <f t="shared" si="59"/>
        <v/>
      </c>
      <c r="AF407" s="15" t="str">
        <f t="shared" si="60"/>
        <v/>
      </c>
      <c r="AG407" s="18">
        <f>IF(AND(S407=1,Z407="Y"),IF(Settings!$B$6="Percentage",IF(AD407=0,0,AC407*AA407*(N407/AD407)),IF(Settings!$B$6="Points",IF(AF407=0,0,AC407*(N407*AB407)/AF407),IF(Settings!$B$6="Equally",IF(AE407=0,0,AC407*N407/AE407),0))),0)</f>
        <v>0</v>
      </c>
      <c r="AH407" s="18" t="str">
        <f t="shared" si="61"/>
        <v/>
      </c>
      <c r="AI407" s="15">
        <f>IF(S407=1,IF(COUNTIFS($R$2:R407,R407,$S$2:S407,1)=1,1,0),0)</f>
        <v>0</v>
      </c>
      <c r="AJ407" s="15">
        <f>SUM($AI$2:AI407)</f>
        <v>12</v>
      </c>
    </row>
    <row r="408" spans="18:36">
      <c r="R408" s="15" t="str">
        <f t="shared" si="62"/>
        <v/>
      </c>
      <c r="S408" s="15">
        <f t="shared" si="54"/>
        <v>0</v>
      </c>
      <c r="T408" s="16" t="str">
        <f>IF(S408=1, DATE(YEAR(Settings!$B$3), MONTH(D408), DAY(D408)), "")</f>
        <v/>
      </c>
      <c r="U408" s="15" t="str">
        <f>IF(S408=1,IFERROR(INDEX(Settings!$B$12:$B$41,MATCH($B408,Settings!$A$12:$A$41,0)),"N"),"")</f>
        <v/>
      </c>
      <c r="V408" s="15" t="str">
        <f>IF(S408=1,IFERROR(INDEX(Settings!$C$12:$C$41,MATCH($B408,Settings!$A$12:$A$41,0)),""),"")</f>
        <v/>
      </c>
      <c r="W408" s="17">
        <f>IF(S408=1,IFERROR(INDEX(Settings!$D$12:$D$41,MATCH($B408,Settings!$A$12:$A$41,0)),0),0)</f>
        <v>0</v>
      </c>
      <c r="X408" s="18">
        <f t="shared" si="55"/>
        <v>0</v>
      </c>
      <c r="Y408" s="18" t="str">
        <f t="shared" si="56"/>
        <v/>
      </c>
      <c r="Z408" s="15" t="str">
        <f>IF(S408=1,IFERROR(INDEX(Settings!$E$12:$E$41,MATCH($B408,Settings!$A$12:$A$41,0)),"N"),"")</f>
        <v/>
      </c>
      <c r="AA408" s="17">
        <f>IF(S408=1,IFERROR(INDEX(Settings!$F$12:$F$41,MATCH($B408,Settings!$A$12:$A$41,0)),0),0)</f>
        <v>0</v>
      </c>
      <c r="AB408" s="15">
        <f>IF(S408=1,IFERROR(INDEX(Settings!$G$12:$G$41,MATCH($B408,Settings!$A$12:$A$41,0)),0),0)</f>
        <v>0</v>
      </c>
      <c r="AC408" s="18" t="str">
        <f t="shared" si="57"/>
        <v/>
      </c>
      <c r="AD408" s="15" t="str">
        <f t="shared" si="58"/>
        <v/>
      </c>
      <c r="AE408" s="15" t="str">
        <f t="shared" si="59"/>
        <v/>
      </c>
      <c r="AF408" s="15" t="str">
        <f t="shared" si="60"/>
        <v/>
      </c>
      <c r="AG408" s="18">
        <f>IF(AND(S408=1,Z408="Y"),IF(Settings!$B$6="Percentage",IF(AD408=0,0,AC408*AA408*(N408/AD408)),IF(Settings!$B$6="Points",IF(AF408=0,0,AC408*(N408*AB408)/AF408),IF(Settings!$B$6="Equally",IF(AE408=0,0,AC408*N408/AE408),0))),0)</f>
        <v>0</v>
      </c>
      <c r="AH408" s="18" t="str">
        <f t="shared" si="61"/>
        <v/>
      </c>
      <c r="AI408" s="15">
        <f>IF(S408=1,IF(COUNTIFS($R$2:R408,R408,$S$2:S408,1)=1,1,0),0)</f>
        <v>0</v>
      </c>
      <c r="AJ408" s="15">
        <f>SUM($AI$2:AI408)</f>
        <v>12</v>
      </c>
    </row>
    <row r="409" spans="18:36">
      <c r="R409" s="15" t="str">
        <f t="shared" si="62"/>
        <v/>
      </c>
      <c r="S409" s="15">
        <f t="shared" si="54"/>
        <v>0</v>
      </c>
      <c r="T409" s="16" t="str">
        <f>IF(S409=1, DATE(YEAR(Settings!$B$3), MONTH(D409), DAY(D409)), "")</f>
        <v/>
      </c>
      <c r="U409" s="15" t="str">
        <f>IF(S409=1,IFERROR(INDEX(Settings!$B$12:$B$41,MATCH($B409,Settings!$A$12:$A$41,0)),"N"),"")</f>
        <v/>
      </c>
      <c r="V409" s="15" t="str">
        <f>IF(S409=1,IFERROR(INDEX(Settings!$C$12:$C$41,MATCH($B409,Settings!$A$12:$A$41,0)),""),"")</f>
        <v/>
      </c>
      <c r="W409" s="17">
        <f>IF(S409=1,IFERROR(INDEX(Settings!$D$12:$D$41,MATCH($B409,Settings!$A$12:$A$41,0)),0),0)</f>
        <v>0</v>
      </c>
      <c r="X409" s="18">
        <f t="shared" si="55"/>
        <v>0</v>
      </c>
      <c r="Y409" s="18" t="str">
        <f t="shared" si="56"/>
        <v/>
      </c>
      <c r="Z409" s="15" t="str">
        <f>IF(S409=1,IFERROR(INDEX(Settings!$E$12:$E$41,MATCH($B409,Settings!$A$12:$A$41,0)),"N"),"")</f>
        <v/>
      </c>
      <c r="AA409" s="17">
        <f>IF(S409=1,IFERROR(INDEX(Settings!$F$12:$F$41,MATCH($B409,Settings!$A$12:$A$41,0)),0),0)</f>
        <v>0</v>
      </c>
      <c r="AB409" s="15">
        <f>IF(S409=1,IFERROR(INDEX(Settings!$G$12:$G$41,MATCH($B409,Settings!$A$12:$A$41,0)),0),0)</f>
        <v>0</v>
      </c>
      <c r="AC409" s="18" t="str">
        <f t="shared" si="57"/>
        <v/>
      </c>
      <c r="AD409" s="15" t="str">
        <f t="shared" si="58"/>
        <v/>
      </c>
      <c r="AE409" s="15" t="str">
        <f t="shared" si="59"/>
        <v/>
      </c>
      <c r="AF409" s="15" t="str">
        <f t="shared" si="60"/>
        <v/>
      </c>
      <c r="AG409" s="18">
        <f>IF(AND(S409=1,Z409="Y"),IF(Settings!$B$6="Percentage",IF(AD409=0,0,AC409*AA409*(N409/AD409)),IF(Settings!$B$6="Points",IF(AF409=0,0,AC409*(N409*AB409)/AF409),IF(Settings!$B$6="Equally",IF(AE409=0,0,AC409*N409/AE409),0))),0)</f>
        <v>0</v>
      </c>
      <c r="AH409" s="18" t="str">
        <f t="shared" si="61"/>
        <v/>
      </c>
      <c r="AI409" s="15">
        <f>IF(S409=1,IF(COUNTIFS($R$2:R409,R409,$S$2:S409,1)=1,1,0),0)</f>
        <v>0</v>
      </c>
      <c r="AJ409" s="15">
        <f>SUM($AI$2:AI409)</f>
        <v>12</v>
      </c>
    </row>
    <row r="410" spans="18:36">
      <c r="R410" s="15" t="str">
        <f t="shared" si="62"/>
        <v/>
      </c>
      <c r="S410" s="15">
        <f t="shared" si="54"/>
        <v>0</v>
      </c>
      <c r="T410" s="16" t="str">
        <f>IF(S410=1, DATE(YEAR(Settings!$B$3), MONTH(D410), DAY(D410)), "")</f>
        <v/>
      </c>
      <c r="U410" s="15" t="str">
        <f>IF(S410=1,IFERROR(INDEX(Settings!$B$12:$B$41,MATCH($B410,Settings!$A$12:$A$41,0)),"N"),"")</f>
        <v/>
      </c>
      <c r="V410" s="15" t="str">
        <f>IF(S410=1,IFERROR(INDEX(Settings!$C$12:$C$41,MATCH($B410,Settings!$A$12:$A$41,0)),""),"")</f>
        <v/>
      </c>
      <c r="W410" s="17">
        <f>IF(S410=1,IFERROR(INDEX(Settings!$D$12:$D$41,MATCH($B410,Settings!$A$12:$A$41,0)),0),0)</f>
        <v>0</v>
      </c>
      <c r="X410" s="18">
        <f t="shared" si="55"/>
        <v>0</v>
      </c>
      <c r="Y410" s="18" t="str">
        <f t="shared" si="56"/>
        <v/>
      </c>
      <c r="Z410" s="15" t="str">
        <f>IF(S410=1,IFERROR(INDEX(Settings!$E$12:$E$41,MATCH($B410,Settings!$A$12:$A$41,0)),"N"),"")</f>
        <v/>
      </c>
      <c r="AA410" s="17">
        <f>IF(S410=1,IFERROR(INDEX(Settings!$F$12:$F$41,MATCH($B410,Settings!$A$12:$A$41,0)),0),0)</f>
        <v>0</v>
      </c>
      <c r="AB410" s="15">
        <f>IF(S410=1,IFERROR(INDEX(Settings!$G$12:$G$41,MATCH($B410,Settings!$A$12:$A$41,0)),0),0)</f>
        <v>0</v>
      </c>
      <c r="AC410" s="18" t="str">
        <f t="shared" si="57"/>
        <v/>
      </c>
      <c r="AD410" s="15" t="str">
        <f t="shared" si="58"/>
        <v/>
      </c>
      <c r="AE410" s="15" t="str">
        <f t="shared" si="59"/>
        <v/>
      </c>
      <c r="AF410" s="15" t="str">
        <f t="shared" si="60"/>
        <v/>
      </c>
      <c r="AG410" s="18">
        <f>IF(AND(S410=1,Z410="Y"),IF(Settings!$B$6="Percentage",IF(AD410=0,0,AC410*AA410*(N410/AD410)),IF(Settings!$B$6="Points",IF(AF410=0,0,AC410*(N410*AB410)/AF410),IF(Settings!$B$6="Equally",IF(AE410=0,0,AC410*N410/AE410),0))),0)</f>
        <v>0</v>
      </c>
      <c r="AH410" s="18" t="str">
        <f t="shared" si="61"/>
        <v/>
      </c>
      <c r="AI410" s="15">
        <f>IF(S410=1,IF(COUNTIFS($R$2:R410,R410,$S$2:S410,1)=1,1,0),0)</f>
        <v>0</v>
      </c>
      <c r="AJ410" s="15">
        <f>SUM($AI$2:AI410)</f>
        <v>12</v>
      </c>
    </row>
    <row r="411" spans="18:36">
      <c r="R411" s="15" t="str">
        <f t="shared" si="62"/>
        <v/>
      </c>
      <c r="S411" s="15">
        <f t="shared" si="54"/>
        <v>0</v>
      </c>
      <c r="T411" s="16" t="str">
        <f>IF(S411=1, DATE(YEAR(Settings!$B$3), MONTH(D411), DAY(D411)), "")</f>
        <v/>
      </c>
      <c r="U411" s="15" t="str">
        <f>IF(S411=1,IFERROR(INDEX(Settings!$B$12:$B$41,MATCH($B411,Settings!$A$12:$A$41,0)),"N"),"")</f>
        <v/>
      </c>
      <c r="V411" s="15" t="str">
        <f>IF(S411=1,IFERROR(INDEX(Settings!$C$12:$C$41,MATCH($B411,Settings!$A$12:$A$41,0)),""),"")</f>
        <v/>
      </c>
      <c r="W411" s="17">
        <f>IF(S411=1,IFERROR(INDEX(Settings!$D$12:$D$41,MATCH($B411,Settings!$A$12:$A$41,0)),0),0)</f>
        <v>0</v>
      </c>
      <c r="X411" s="18">
        <f t="shared" si="55"/>
        <v>0</v>
      </c>
      <c r="Y411" s="18" t="str">
        <f t="shared" si="56"/>
        <v/>
      </c>
      <c r="Z411" s="15" t="str">
        <f>IF(S411=1,IFERROR(INDEX(Settings!$E$12:$E$41,MATCH($B411,Settings!$A$12:$A$41,0)),"N"),"")</f>
        <v/>
      </c>
      <c r="AA411" s="17">
        <f>IF(S411=1,IFERROR(INDEX(Settings!$F$12:$F$41,MATCH($B411,Settings!$A$12:$A$41,0)),0),0)</f>
        <v>0</v>
      </c>
      <c r="AB411" s="15">
        <f>IF(S411=1,IFERROR(INDEX(Settings!$G$12:$G$41,MATCH($B411,Settings!$A$12:$A$41,0)),0),0)</f>
        <v>0</v>
      </c>
      <c r="AC411" s="18" t="str">
        <f t="shared" si="57"/>
        <v/>
      </c>
      <c r="AD411" s="15" t="str">
        <f t="shared" si="58"/>
        <v/>
      </c>
      <c r="AE411" s="15" t="str">
        <f t="shared" si="59"/>
        <v/>
      </c>
      <c r="AF411" s="15" t="str">
        <f t="shared" si="60"/>
        <v/>
      </c>
      <c r="AG411" s="18">
        <f>IF(AND(S411=1,Z411="Y"),IF(Settings!$B$6="Percentage",IF(AD411=0,0,AC411*AA411*(N411/AD411)),IF(Settings!$B$6="Points",IF(AF411=0,0,AC411*(N411*AB411)/AF411),IF(Settings!$B$6="Equally",IF(AE411=0,0,AC411*N411/AE411),0))),0)</f>
        <v>0</v>
      </c>
      <c r="AH411" s="18" t="str">
        <f t="shared" si="61"/>
        <v/>
      </c>
      <c r="AI411" s="15">
        <f>IF(S411=1,IF(COUNTIFS($R$2:R411,R411,$S$2:S411,1)=1,1,0),0)</f>
        <v>0</v>
      </c>
      <c r="AJ411" s="15">
        <f>SUM($AI$2:AI411)</f>
        <v>12</v>
      </c>
    </row>
    <row r="412" spans="18:36">
      <c r="R412" s="15" t="str">
        <f t="shared" si="62"/>
        <v/>
      </c>
      <c r="S412" s="15">
        <f t="shared" si="54"/>
        <v>0</v>
      </c>
      <c r="T412" s="16" t="str">
        <f>IF(S412=1, DATE(YEAR(Settings!$B$3), MONTH(D412), DAY(D412)), "")</f>
        <v/>
      </c>
      <c r="U412" s="15" t="str">
        <f>IF(S412=1,IFERROR(INDEX(Settings!$B$12:$B$41,MATCH($B412,Settings!$A$12:$A$41,0)),"N"),"")</f>
        <v/>
      </c>
      <c r="V412" s="15" t="str">
        <f>IF(S412=1,IFERROR(INDEX(Settings!$C$12:$C$41,MATCH($B412,Settings!$A$12:$A$41,0)),""),"")</f>
        <v/>
      </c>
      <c r="W412" s="17">
        <f>IF(S412=1,IFERROR(INDEX(Settings!$D$12:$D$41,MATCH($B412,Settings!$A$12:$A$41,0)),0),0)</f>
        <v>0</v>
      </c>
      <c r="X412" s="18">
        <f t="shared" si="55"/>
        <v>0</v>
      </c>
      <c r="Y412" s="18" t="str">
        <f t="shared" si="56"/>
        <v/>
      </c>
      <c r="Z412" s="15" t="str">
        <f>IF(S412=1,IFERROR(INDEX(Settings!$E$12:$E$41,MATCH($B412,Settings!$A$12:$A$41,0)),"N"),"")</f>
        <v/>
      </c>
      <c r="AA412" s="17">
        <f>IF(S412=1,IFERROR(INDEX(Settings!$F$12:$F$41,MATCH($B412,Settings!$A$12:$A$41,0)),0),0)</f>
        <v>0</v>
      </c>
      <c r="AB412" s="15">
        <f>IF(S412=1,IFERROR(INDEX(Settings!$G$12:$G$41,MATCH($B412,Settings!$A$12:$A$41,0)),0),0)</f>
        <v>0</v>
      </c>
      <c r="AC412" s="18" t="str">
        <f t="shared" si="57"/>
        <v/>
      </c>
      <c r="AD412" s="15" t="str">
        <f t="shared" si="58"/>
        <v/>
      </c>
      <c r="AE412" s="15" t="str">
        <f t="shared" si="59"/>
        <v/>
      </c>
      <c r="AF412" s="15" t="str">
        <f t="shared" si="60"/>
        <v/>
      </c>
      <c r="AG412" s="18">
        <f>IF(AND(S412=1,Z412="Y"),IF(Settings!$B$6="Percentage",IF(AD412=0,0,AC412*AA412*(N412/AD412)),IF(Settings!$B$6="Points",IF(AF412=0,0,AC412*(N412*AB412)/AF412),IF(Settings!$B$6="Equally",IF(AE412=0,0,AC412*N412/AE412),0))),0)</f>
        <v>0</v>
      </c>
      <c r="AH412" s="18" t="str">
        <f t="shared" si="61"/>
        <v/>
      </c>
      <c r="AI412" s="15">
        <f>IF(S412=1,IF(COUNTIFS($R$2:R412,R412,$S$2:S412,1)=1,1,0),0)</f>
        <v>0</v>
      </c>
      <c r="AJ412" s="15">
        <f>SUM($AI$2:AI412)</f>
        <v>12</v>
      </c>
    </row>
    <row r="413" spans="18:36">
      <c r="R413" s="15" t="str">
        <f t="shared" si="62"/>
        <v/>
      </c>
      <c r="S413" s="15">
        <f t="shared" si="54"/>
        <v>0</v>
      </c>
      <c r="T413" s="16" t="str">
        <f>IF(S413=1, DATE(YEAR(Settings!$B$3), MONTH(D413), DAY(D413)), "")</f>
        <v/>
      </c>
      <c r="U413" s="15" t="str">
        <f>IF(S413=1,IFERROR(INDEX(Settings!$B$12:$B$41,MATCH($B413,Settings!$A$12:$A$41,0)),"N"),"")</f>
        <v/>
      </c>
      <c r="V413" s="15" t="str">
        <f>IF(S413=1,IFERROR(INDEX(Settings!$C$12:$C$41,MATCH($B413,Settings!$A$12:$A$41,0)),""),"")</f>
        <v/>
      </c>
      <c r="W413" s="17">
        <f>IF(S413=1,IFERROR(INDEX(Settings!$D$12:$D$41,MATCH($B413,Settings!$A$12:$A$41,0)),0),0)</f>
        <v>0</v>
      </c>
      <c r="X413" s="18">
        <f t="shared" si="55"/>
        <v>0</v>
      </c>
      <c r="Y413" s="18" t="str">
        <f t="shared" si="56"/>
        <v/>
      </c>
      <c r="Z413" s="15" t="str">
        <f>IF(S413=1,IFERROR(INDEX(Settings!$E$12:$E$41,MATCH($B413,Settings!$A$12:$A$41,0)),"N"),"")</f>
        <v/>
      </c>
      <c r="AA413" s="17">
        <f>IF(S413=1,IFERROR(INDEX(Settings!$F$12:$F$41,MATCH($B413,Settings!$A$12:$A$41,0)),0),0)</f>
        <v>0</v>
      </c>
      <c r="AB413" s="15">
        <f>IF(S413=1,IFERROR(INDEX(Settings!$G$12:$G$41,MATCH($B413,Settings!$A$12:$A$41,0)),0),0)</f>
        <v>0</v>
      </c>
      <c r="AC413" s="18" t="str">
        <f t="shared" si="57"/>
        <v/>
      </c>
      <c r="AD413" s="15" t="str">
        <f t="shared" si="58"/>
        <v/>
      </c>
      <c r="AE413" s="15" t="str">
        <f t="shared" si="59"/>
        <v/>
      </c>
      <c r="AF413" s="15" t="str">
        <f t="shared" si="60"/>
        <v/>
      </c>
      <c r="AG413" s="18">
        <f>IF(AND(S413=1,Z413="Y"),IF(Settings!$B$6="Percentage",IF(AD413=0,0,AC413*AA413*(N413/AD413)),IF(Settings!$B$6="Points",IF(AF413=0,0,AC413*(N413*AB413)/AF413),IF(Settings!$B$6="Equally",IF(AE413=0,0,AC413*N413/AE413),0))),0)</f>
        <v>0</v>
      </c>
      <c r="AH413" s="18" t="str">
        <f t="shared" si="61"/>
        <v/>
      </c>
      <c r="AI413" s="15">
        <f>IF(S413=1,IF(COUNTIFS($R$2:R413,R413,$S$2:S413,1)=1,1,0),0)</f>
        <v>0</v>
      </c>
      <c r="AJ413" s="15">
        <f>SUM($AI$2:AI413)</f>
        <v>12</v>
      </c>
    </row>
    <row r="414" spans="18:36">
      <c r="R414" s="15" t="str">
        <f t="shared" si="62"/>
        <v/>
      </c>
      <c r="S414" s="15">
        <f t="shared" si="54"/>
        <v>0</v>
      </c>
      <c r="T414" s="16" t="str">
        <f>IF(S414=1, DATE(YEAR(Settings!$B$3), MONTH(D414), DAY(D414)), "")</f>
        <v/>
      </c>
      <c r="U414" s="15" t="str">
        <f>IF(S414=1,IFERROR(INDEX(Settings!$B$12:$B$41,MATCH($B414,Settings!$A$12:$A$41,0)),"N"),"")</f>
        <v/>
      </c>
      <c r="V414" s="15" t="str">
        <f>IF(S414=1,IFERROR(INDEX(Settings!$C$12:$C$41,MATCH($B414,Settings!$A$12:$A$41,0)),""),"")</f>
        <v/>
      </c>
      <c r="W414" s="17">
        <f>IF(S414=1,IFERROR(INDEX(Settings!$D$12:$D$41,MATCH($B414,Settings!$A$12:$A$41,0)),0),0)</f>
        <v>0</v>
      </c>
      <c r="X414" s="18">
        <f t="shared" si="55"/>
        <v>0</v>
      </c>
      <c r="Y414" s="18" t="str">
        <f t="shared" si="56"/>
        <v/>
      </c>
      <c r="Z414" s="15" t="str">
        <f>IF(S414=1,IFERROR(INDEX(Settings!$E$12:$E$41,MATCH($B414,Settings!$A$12:$A$41,0)),"N"),"")</f>
        <v/>
      </c>
      <c r="AA414" s="17">
        <f>IF(S414=1,IFERROR(INDEX(Settings!$F$12:$F$41,MATCH($B414,Settings!$A$12:$A$41,0)),0),0)</f>
        <v>0</v>
      </c>
      <c r="AB414" s="15">
        <f>IF(S414=1,IFERROR(INDEX(Settings!$G$12:$G$41,MATCH($B414,Settings!$A$12:$A$41,0)),0),0)</f>
        <v>0</v>
      </c>
      <c r="AC414" s="18" t="str">
        <f t="shared" si="57"/>
        <v/>
      </c>
      <c r="AD414" s="15" t="str">
        <f t="shared" si="58"/>
        <v/>
      </c>
      <c r="AE414" s="15" t="str">
        <f t="shared" si="59"/>
        <v/>
      </c>
      <c r="AF414" s="15" t="str">
        <f t="shared" si="60"/>
        <v/>
      </c>
      <c r="AG414" s="18">
        <f>IF(AND(S414=1,Z414="Y"),IF(Settings!$B$6="Percentage",IF(AD414=0,0,AC414*AA414*(N414/AD414)),IF(Settings!$B$6="Points",IF(AF414=0,0,AC414*(N414*AB414)/AF414),IF(Settings!$B$6="Equally",IF(AE414=0,0,AC414*N414/AE414),0))),0)</f>
        <v>0</v>
      </c>
      <c r="AH414" s="18" t="str">
        <f t="shared" si="61"/>
        <v/>
      </c>
      <c r="AI414" s="15">
        <f>IF(S414=1,IF(COUNTIFS($R$2:R414,R414,$S$2:S414,1)=1,1,0),0)</f>
        <v>0</v>
      </c>
      <c r="AJ414" s="15">
        <f>SUM($AI$2:AI414)</f>
        <v>12</v>
      </c>
    </row>
    <row r="415" spans="18:36">
      <c r="R415" s="15" t="str">
        <f t="shared" si="62"/>
        <v/>
      </c>
      <c r="S415" s="15">
        <f t="shared" si="54"/>
        <v>0</v>
      </c>
      <c r="T415" s="16" t="str">
        <f>IF(S415=1, DATE(YEAR(Settings!$B$3), MONTH(D415), DAY(D415)), "")</f>
        <v/>
      </c>
      <c r="U415" s="15" t="str">
        <f>IF(S415=1,IFERROR(INDEX(Settings!$B$12:$B$41,MATCH($B415,Settings!$A$12:$A$41,0)),"N"),"")</f>
        <v/>
      </c>
      <c r="V415" s="15" t="str">
        <f>IF(S415=1,IFERROR(INDEX(Settings!$C$12:$C$41,MATCH($B415,Settings!$A$12:$A$41,0)),""),"")</f>
        <v/>
      </c>
      <c r="W415" s="17">
        <f>IF(S415=1,IFERROR(INDEX(Settings!$D$12:$D$41,MATCH($B415,Settings!$A$12:$A$41,0)),0),0)</f>
        <v>0</v>
      </c>
      <c r="X415" s="18">
        <f t="shared" si="55"/>
        <v>0</v>
      </c>
      <c r="Y415" s="18" t="str">
        <f t="shared" si="56"/>
        <v/>
      </c>
      <c r="Z415" s="15" t="str">
        <f>IF(S415=1,IFERROR(INDEX(Settings!$E$12:$E$41,MATCH($B415,Settings!$A$12:$A$41,0)),"N"),"")</f>
        <v/>
      </c>
      <c r="AA415" s="17">
        <f>IF(S415=1,IFERROR(INDEX(Settings!$F$12:$F$41,MATCH($B415,Settings!$A$12:$A$41,0)),0),0)</f>
        <v>0</v>
      </c>
      <c r="AB415" s="15">
        <f>IF(S415=1,IFERROR(INDEX(Settings!$G$12:$G$41,MATCH($B415,Settings!$A$12:$A$41,0)),0),0)</f>
        <v>0</v>
      </c>
      <c r="AC415" s="18" t="str">
        <f t="shared" si="57"/>
        <v/>
      </c>
      <c r="AD415" s="15" t="str">
        <f t="shared" si="58"/>
        <v/>
      </c>
      <c r="AE415" s="15" t="str">
        <f t="shared" si="59"/>
        <v/>
      </c>
      <c r="AF415" s="15" t="str">
        <f t="shared" si="60"/>
        <v/>
      </c>
      <c r="AG415" s="18">
        <f>IF(AND(S415=1,Z415="Y"),IF(Settings!$B$6="Percentage",IF(AD415=0,0,AC415*AA415*(N415/AD415)),IF(Settings!$B$6="Points",IF(AF415=0,0,AC415*(N415*AB415)/AF415),IF(Settings!$B$6="Equally",IF(AE415=0,0,AC415*N415/AE415),0))),0)</f>
        <v>0</v>
      </c>
      <c r="AH415" s="18" t="str">
        <f t="shared" si="61"/>
        <v/>
      </c>
      <c r="AI415" s="15">
        <f>IF(S415=1,IF(COUNTIFS($R$2:R415,R415,$S$2:S415,1)=1,1,0),0)</f>
        <v>0</v>
      </c>
      <c r="AJ415" s="15">
        <f>SUM($AI$2:AI415)</f>
        <v>12</v>
      </c>
    </row>
    <row r="416" spans="18:36">
      <c r="R416" s="15" t="str">
        <f t="shared" si="62"/>
        <v/>
      </c>
      <c r="S416" s="15">
        <f t="shared" si="54"/>
        <v>0</v>
      </c>
      <c r="T416" s="16" t="str">
        <f>IF(S416=1, DATE(YEAR(Settings!$B$3), MONTH(D416), DAY(D416)), "")</f>
        <v/>
      </c>
      <c r="U416" s="15" t="str">
        <f>IF(S416=1,IFERROR(INDEX(Settings!$B$12:$B$41,MATCH($B416,Settings!$A$12:$A$41,0)),"N"),"")</f>
        <v/>
      </c>
      <c r="V416" s="15" t="str">
        <f>IF(S416=1,IFERROR(INDEX(Settings!$C$12:$C$41,MATCH($B416,Settings!$A$12:$A$41,0)),""),"")</f>
        <v/>
      </c>
      <c r="W416" s="17">
        <f>IF(S416=1,IFERROR(INDEX(Settings!$D$12:$D$41,MATCH($B416,Settings!$A$12:$A$41,0)),0),0)</f>
        <v>0</v>
      </c>
      <c r="X416" s="18">
        <f t="shared" si="55"/>
        <v>0</v>
      </c>
      <c r="Y416" s="18" t="str">
        <f t="shared" si="56"/>
        <v/>
      </c>
      <c r="Z416" s="15" t="str">
        <f>IF(S416=1,IFERROR(INDEX(Settings!$E$12:$E$41,MATCH($B416,Settings!$A$12:$A$41,0)),"N"),"")</f>
        <v/>
      </c>
      <c r="AA416" s="17">
        <f>IF(S416=1,IFERROR(INDEX(Settings!$F$12:$F$41,MATCH($B416,Settings!$A$12:$A$41,0)),0),0)</f>
        <v>0</v>
      </c>
      <c r="AB416" s="15">
        <f>IF(S416=1,IFERROR(INDEX(Settings!$G$12:$G$41,MATCH($B416,Settings!$A$12:$A$41,0)),0),0)</f>
        <v>0</v>
      </c>
      <c r="AC416" s="18" t="str">
        <f t="shared" si="57"/>
        <v/>
      </c>
      <c r="AD416" s="15" t="str">
        <f t="shared" si="58"/>
        <v/>
      </c>
      <c r="AE416" s="15" t="str">
        <f t="shared" si="59"/>
        <v/>
      </c>
      <c r="AF416" s="15" t="str">
        <f t="shared" si="60"/>
        <v/>
      </c>
      <c r="AG416" s="18">
        <f>IF(AND(S416=1,Z416="Y"),IF(Settings!$B$6="Percentage",IF(AD416=0,0,AC416*AA416*(N416/AD416)),IF(Settings!$B$6="Points",IF(AF416=0,0,AC416*(N416*AB416)/AF416),IF(Settings!$B$6="Equally",IF(AE416=0,0,AC416*N416/AE416),0))),0)</f>
        <v>0</v>
      </c>
      <c r="AH416" s="18" t="str">
        <f t="shared" si="61"/>
        <v/>
      </c>
      <c r="AI416" s="15">
        <f>IF(S416=1,IF(COUNTIFS($R$2:R416,R416,$S$2:S416,1)=1,1,0),0)</f>
        <v>0</v>
      </c>
      <c r="AJ416" s="15">
        <f>SUM($AI$2:AI416)</f>
        <v>12</v>
      </c>
    </row>
    <row r="417" spans="18:36">
      <c r="R417" s="15" t="str">
        <f t="shared" si="62"/>
        <v/>
      </c>
      <c r="S417" s="15">
        <f t="shared" si="54"/>
        <v>0</v>
      </c>
      <c r="T417" s="16" t="str">
        <f>IF(S417=1, DATE(YEAR(Settings!$B$3), MONTH(D417), DAY(D417)), "")</f>
        <v/>
      </c>
      <c r="U417" s="15" t="str">
        <f>IF(S417=1,IFERROR(INDEX(Settings!$B$12:$B$41,MATCH($B417,Settings!$A$12:$A$41,0)),"N"),"")</f>
        <v/>
      </c>
      <c r="V417" s="15" t="str">
        <f>IF(S417=1,IFERROR(INDEX(Settings!$C$12:$C$41,MATCH($B417,Settings!$A$12:$A$41,0)),""),"")</f>
        <v/>
      </c>
      <c r="W417" s="17">
        <f>IF(S417=1,IFERROR(INDEX(Settings!$D$12:$D$41,MATCH($B417,Settings!$A$12:$A$41,0)),0),0)</f>
        <v>0</v>
      </c>
      <c r="X417" s="18">
        <f t="shared" si="55"/>
        <v>0</v>
      </c>
      <c r="Y417" s="18" t="str">
        <f t="shared" si="56"/>
        <v/>
      </c>
      <c r="Z417" s="15" t="str">
        <f>IF(S417=1,IFERROR(INDEX(Settings!$E$12:$E$41,MATCH($B417,Settings!$A$12:$A$41,0)),"N"),"")</f>
        <v/>
      </c>
      <c r="AA417" s="17">
        <f>IF(S417=1,IFERROR(INDEX(Settings!$F$12:$F$41,MATCH($B417,Settings!$A$12:$A$41,0)),0),0)</f>
        <v>0</v>
      </c>
      <c r="AB417" s="15">
        <f>IF(S417=1,IFERROR(INDEX(Settings!$G$12:$G$41,MATCH($B417,Settings!$A$12:$A$41,0)),0),0)</f>
        <v>0</v>
      </c>
      <c r="AC417" s="18" t="str">
        <f t="shared" si="57"/>
        <v/>
      </c>
      <c r="AD417" s="15" t="str">
        <f t="shared" si="58"/>
        <v/>
      </c>
      <c r="AE417" s="15" t="str">
        <f t="shared" si="59"/>
        <v/>
      </c>
      <c r="AF417" s="15" t="str">
        <f t="shared" si="60"/>
        <v/>
      </c>
      <c r="AG417" s="18">
        <f>IF(AND(S417=1,Z417="Y"),IF(Settings!$B$6="Percentage",IF(AD417=0,0,AC417*AA417*(N417/AD417)),IF(Settings!$B$6="Points",IF(AF417=0,0,AC417*(N417*AB417)/AF417),IF(Settings!$B$6="Equally",IF(AE417=0,0,AC417*N417/AE417),0))),0)</f>
        <v>0</v>
      </c>
      <c r="AH417" s="18" t="str">
        <f t="shared" si="61"/>
        <v/>
      </c>
      <c r="AI417" s="15">
        <f>IF(S417=1,IF(COUNTIFS($R$2:R417,R417,$S$2:S417,1)=1,1,0),0)</f>
        <v>0</v>
      </c>
      <c r="AJ417" s="15">
        <f>SUM($AI$2:AI417)</f>
        <v>12</v>
      </c>
    </row>
    <row r="418" spans="18:36">
      <c r="R418" s="15" t="str">
        <f t="shared" si="62"/>
        <v/>
      </c>
      <c r="S418" s="15">
        <f t="shared" si="54"/>
        <v>0</v>
      </c>
      <c r="T418" s="16" t="str">
        <f>IF(S418=1, DATE(YEAR(Settings!$B$3), MONTH(D418), DAY(D418)), "")</f>
        <v/>
      </c>
      <c r="U418" s="15" t="str">
        <f>IF(S418=1,IFERROR(INDEX(Settings!$B$12:$B$41,MATCH($B418,Settings!$A$12:$A$41,0)),"N"),"")</f>
        <v/>
      </c>
      <c r="V418" s="15" t="str">
        <f>IF(S418=1,IFERROR(INDEX(Settings!$C$12:$C$41,MATCH($B418,Settings!$A$12:$A$41,0)),""),"")</f>
        <v/>
      </c>
      <c r="W418" s="17">
        <f>IF(S418=1,IFERROR(INDEX(Settings!$D$12:$D$41,MATCH($B418,Settings!$A$12:$A$41,0)),0),0)</f>
        <v>0</v>
      </c>
      <c r="X418" s="18">
        <f t="shared" si="55"/>
        <v>0</v>
      </c>
      <c r="Y418" s="18" t="str">
        <f t="shared" si="56"/>
        <v/>
      </c>
      <c r="Z418" s="15" t="str">
        <f>IF(S418=1,IFERROR(INDEX(Settings!$E$12:$E$41,MATCH($B418,Settings!$A$12:$A$41,0)),"N"),"")</f>
        <v/>
      </c>
      <c r="AA418" s="17">
        <f>IF(S418=1,IFERROR(INDEX(Settings!$F$12:$F$41,MATCH($B418,Settings!$A$12:$A$41,0)),0),0)</f>
        <v>0</v>
      </c>
      <c r="AB418" s="15">
        <f>IF(S418=1,IFERROR(INDEX(Settings!$G$12:$G$41,MATCH($B418,Settings!$A$12:$A$41,0)),0),0)</f>
        <v>0</v>
      </c>
      <c r="AC418" s="18" t="str">
        <f t="shared" si="57"/>
        <v/>
      </c>
      <c r="AD418" s="15" t="str">
        <f t="shared" si="58"/>
        <v/>
      </c>
      <c r="AE418" s="15" t="str">
        <f t="shared" si="59"/>
        <v/>
      </c>
      <c r="AF418" s="15" t="str">
        <f t="shared" si="60"/>
        <v/>
      </c>
      <c r="AG418" s="18">
        <f>IF(AND(S418=1,Z418="Y"),IF(Settings!$B$6="Percentage",IF(AD418=0,0,AC418*AA418*(N418/AD418)),IF(Settings!$B$6="Points",IF(AF418=0,0,AC418*(N418*AB418)/AF418),IF(Settings!$B$6="Equally",IF(AE418=0,0,AC418*N418/AE418),0))),0)</f>
        <v>0</v>
      </c>
      <c r="AH418" s="18" t="str">
        <f t="shared" si="61"/>
        <v/>
      </c>
      <c r="AI418" s="15">
        <f>IF(S418=1,IF(COUNTIFS($R$2:R418,R418,$S$2:S418,1)=1,1,0),0)</f>
        <v>0</v>
      </c>
      <c r="AJ418" s="15">
        <f>SUM($AI$2:AI418)</f>
        <v>12</v>
      </c>
    </row>
    <row r="419" spans="18:36">
      <c r="R419" s="15" t="str">
        <f t="shared" si="62"/>
        <v/>
      </c>
      <c r="S419" s="15">
        <f t="shared" si="54"/>
        <v>0</v>
      </c>
      <c r="T419" s="16" t="str">
        <f>IF(S419=1, DATE(YEAR(Settings!$B$3), MONTH(D419), DAY(D419)), "")</f>
        <v/>
      </c>
      <c r="U419" s="15" t="str">
        <f>IF(S419=1,IFERROR(INDEX(Settings!$B$12:$B$41,MATCH($B419,Settings!$A$12:$A$41,0)),"N"),"")</f>
        <v/>
      </c>
      <c r="V419" s="15" t="str">
        <f>IF(S419=1,IFERROR(INDEX(Settings!$C$12:$C$41,MATCH($B419,Settings!$A$12:$A$41,0)),""),"")</f>
        <v/>
      </c>
      <c r="W419" s="17">
        <f>IF(S419=1,IFERROR(INDEX(Settings!$D$12:$D$41,MATCH($B419,Settings!$A$12:$A$41,0)),0),0)</f>
        <v>0</v>
      </c>
      <c r="X419" s="18">
        <f t="shared" si="55"/>
        <v>0</v>
      </c>
      <c r="Y419" s="18" t="str">
        <f t="shared" si="56"/>
        <v/>
      </c>
      <c r="Z419" s="15" t="str">
        <f>IF(S419=1,IFERROR(INDEX(Settings!$E$12:$E$41,MATCH($B419,Settings!$A$12:$A$41,0)),"N"),"")</f>
        <v/>
      </c>
      <c r="AA419" s="17">
        <f>IF(S419=1,IFERROR(INDEX(Settings!$F$12:$F$41,MATCH($B419,Settings!$A$12:$A$41,0)),0),0)</f>
        <v>0</v>
      </c>
      <c r="AB419" s="15">
        <f>IF(S419=1,IFERROR(INDEX(Settings!$G$12:$G$41,MATCH($B419,Settings!$A$12:$A$41,0)),0),0)</f>
        <v>0</v>
      </c>
      <c r="AC419" s="18" t="str">
        <f t="shared" si="57"/>
        <v/>
      </c>
      <c r="AD419" s="15" t="str">
        <f t="shared" si="58"/>
        <v/>
      </c>
      <c r="AE419" s="15" t="str">
        <f t="shared" si="59"/>
        <v/>
      </c>
      <c r="AF419" s="15" t="str">
        <f t="shared" si="60"/>
        <v/>
      </c>
      <c r="AG419" s="18">
        <f>IF(AND(S419=1,Z419="Y"),IF(Settings!$B$6="Percentage",IF(AD419=0,0,AC419*AA419*(N419/AD419)),IF(Settings!$B$6="Points",IF(AF419=0,0,AC419*(N419*AB419)/AF419),IF(Settings!$B$6="Equally",IF(AE419=0,0,AC419*N419/AE419),0))),0)</f>
        <v>0</v>
      </c>
      <c r="AH419" s="18" t="str">
        <f t="shared" si="61"/>
        <v/>
      </c>
      <c r="AI419" s="15">
        <f>IF(S419=1,IF(COUNTIFS($R$2:R419,R419,$S$2:S419,1)=1,1,0),0)</f>
        <v>0</v>
      </c>
      <c r="AJ419" s="15">
        <f>SUM($AI$2:AI419)</f>
        <v>12</v>
      </c>
    </row>
    <row r="420" spans="18:36">
      <c r="R420" s="15" t="str">
        <f t="shared" si="62"/>
        <v/>
      </c>
      <c r="S420" s="15">
        <f t="shared" si="54"/>
        <v>0</v>
      </c>
      <c r="T420" s="16" t="str">
        <f>IF(S420=1, DATE(YEAR(Settings!$B$3), MONTH(D420), DAY(D420)), "")</f>
        <v/>
      </c>
      <c r="U420" s="15" t="str">
        <f>IF(S420=1,IFERROR(INDEX(Settings!$B$12:$B$41,MATCH($B420,Settings!$A$12:$A$41,0)),"N"),"")</f>
        <v/>
      </c>
      <c r="V420" s="15" t="str">
        <f>IF(S420=1,IFERROR(INDEX(Settings!$C$12:$C$41,MATCH($B420,Settings!$A$12:$A$41,0)),""),"")</f>
        <v/>
      </c>
      <c r="W420" s="17">
        <f>IF(S420=1,IFERROR(INDEX(Settings!$D$12:$D$41,MATCH($B420,Settings!$A$12:$A$41,0)),0),0)</f>
        <v>0</v>
      </c>
      <c r="X420" s="18">
        <f t="shared" si="55"/>
        <v>0</v>
      </c>
      <c r="Y420" s="18" t="str">
        <f t="shared" si="56"/>
        <v/>
      </c>
      <c r="Z420" s="15" t="str">
        <f>IF(S420=1,IFERROR(INDEX(Settings!$E$12:$E$41,MATCH($B420,Settings!$A$12:$A$41,0)),"N"),"")</f>
        <v/>
      </c>
      <c r="AA420" s="17">
        <f>IF(S420=1,IFERROR(INDEX(Settings!$F$12:$F$41,MATCH($B420,Settings!$A$12:$A$41,0)),0),0)</f>
        <v>0</v>
      </c>
      <c r="AB420" s="15">
        <f>IF(S420=1,IFERROR(INDEX(Settings!$G$12:$G$41,MATCH($B420,Settings!$A$12:$A$41,0)),0),0)</f>
        <v>0</v>
      </c>
      <c r="AC420" s="18" t="str">
        <f t="shared" si="57"/>
        <v/>
      </c>
      <c r="AD420" s="15" t="str">
        <f t="shared" si="58"/>
        <v/>
      </c>
      <c r="AE420" s="15" t="str">
        <f t="shared" si="59"/>
        <v/>
      </c>
      <c r="AF420" s="15" t="str">
        <f t="shared" si="60"/>
        <v/>
      </c>
      <c r="AG420" s="18">
        <f>IF(AND(S420=1,Z420="Y"),IF(Settings!$B$6="Percentage",IF(AD420=0,0,AC420*AA420*(N420/AD420)),IF(Settings!$B$6="Points",IF(AF420=0,0,AC420*(N420*AB420)/AF420),IF(Settings!$B$6="Equally",IF(AE420=0,0,AC420*N420/AE420),0))),0)</f>
        <v>0</v>
      </c>
      <c r="AH420" s="18" t="str">
        <f t="shared" si="61"/>
        <v/>
      </c>
      <c r="AI420" s="15">
        <f>IF(S420=1,IF(COUNTIFS($R$2:R420,R420,$S$2:S420,1)=1,1,0),0)</f>
        <v>0</v>
      </c>
      <c r="AJ420" s="15">
        <f>SUM($AI$2:AI420)</f>
        <v>12</v>
      </c>
    </row>
    <row r="421" spans="18:36">
      <c r="R421" s="15" t="str">
        <f t="shared" si="62"/>
        <v/>
      </c>
      <c r="S421" s="15">
        <f t="shared" si="54"/>
        <v>0</v>
      </c>
      <c r="T421" s="16" t="str">
        <f>IF(S421=1, DATE(YEAR(Settings!$B$3), MONTH(D421), DAY(D421)), "")</f>
        <v/>
      </c>
      <c r="U421" s="15" t="str">
        <f>IF(S421=1,IFERROR(INDEX(Settings!$B$12:$B$41,MATCH($B421,Settings!$A$12:$A$41,0)),"N"),"")</f>
        <v/>
      </c>
      <c r="V421" s="15" t="str">
        <f>IF(S421=1,IFERROR(INDEX(Settings!$C$12:$C$41,MATCH($B421,Settings!$A$12:$A$41,0)),""),"")</f>
        <v/>
      </c>
      <c r="W421" s="17">
        <f>IF(S421=1,IFERROR(INDEX(Settings!$D$12:$D$41,MATCH($B421,Settings!$A$12:$A$41,0)),0),0)</f>
        <v>0</v>
      </c>
      <c r="X421" s="18">
        <f t="shared" si="55"/>
        <v>0</v>
      </c>
      <c r="Y421" s="18" t="str">
        <f t="shared" si="56"/>
        <v/>
      </c>
      <c r="Z421" s="15" t="str">
        <f>IF(S421=1,IFERROR(INDEX(Settings!$E$12:$E$41,MATCH($B421,Settings!$A$12:$A$41,0)),"N"),"")</f>
        <v/>
      </c>
      <c r="AA421" s="17">
        <f>IF(S421=1,IFERROR(INDEX(Settings!$F$12:$F$41,MATCH($B421,Settings!$A$12:$A$41,0)),0),0)</f>
        <v>0</v>
      </c>
      <c r="AB421" s="15">
        <f>IF(S421=1,IFERROR(INDEX(Settings!$G$12:$G$41,MATCH($B421,Settings!$A$12:$A$41,0)),0),0)</f>
        <v>0</v>
      </c>
      <c r="AC421" s="18" t="str">
        <f t="shared" si="57"/>
        <v/>
      </c>
      <c r="AD421" s="15" t="str">
        <f t="shared" si="58"/>
        <v/>
      </c>
      <c r="AE421" s="15" t="str">
        <f t="shared" si="59"/>
        <v/>
      </c>
      <c r="AF421" s="15" t="str">
        <f t="shared" si="60"/>
        <v/>
      </c>
      <c r="AG421" s="18">
        <f>IF(AND(S421=1,Z421="Y"),IF(Settings!$B$6="Percentage",IF(AD421=0,0,AC421*AA421*(N421/AD421)),IF(Settings!$B$6="Points",IF(AF421=0,0,AC421*(N421*AB421)/AF421),IF(Settings!$B$6="Equally",IF(AE421=0,0,AC421*N421/AE421),0))),0)</f>
        <v>0</v>
      </c>
      <c r="AH421" s="18" t="str">
        <f t="shared" si="61"/>
        <v/>
      </c>
      <c r="AI421" s="15">
        <f>IF(S421=1,IF(COUNTIFS($R$2:R421,R421,$S$2:S421,1)=1,1,0),0)</f>
        <v>0</v>
      </c>
      <c r="AJ421" s="15">
        <f>SUM($AI$2:AI421)</f>
        <v>12</v>
      </c>
    </row>
    <row r="422" spans="18:36">
      <c r="R422" s="15" t="str">
        <f t="shared" si="62"/>
        <v/>
      </c>
      <c r="S422" s="15">
        <f t="shared" si="54"/>
        <v>0</v>
      </c>
      <c r="T422" s="16" t="str">
        <f>IF(S422=1, DATE(YEAR(Settings!$B$3), MONTH(D422), DAY(D422)), "")</f>
        <v/>
      </c>
      <c r="U422" s="15" t="str">
        <f>IF(S422=1,IFERROR(INDEX(Settings!$B$12:$B$41,MATCH($B422,Settings!$A$12:$A$41,0)),"N"),"")</f>
        <v/>
      </c>
      <c r="V422" s="15" t="str">
        <f>IF(S422=1,IFERROR(INDEX(Settings!$C$12:$C$41,MATCH($B422,Settings!$A$12:$A$41,0)),""),"")</f>
        <v/>
      </c>
      <c r="W422" s="17">
        <f>IF(S422=1,IFERROR(INDEX(Settings!$D$12:$D$41,MATCH($B422,Settings!$A$12:$A$41,0)),0),0)</f>
        <v>0</v>
      </c>
      <c r="X422" s="18">
        <f t="shared" si="55"/>
        <v>0</v>
      </c>
      <c r="Y422" s="18" t="str">
        <f t="shared" si="56"/>
        <v/>
      </c>
      <c r="Z422" s="15" t="str">
        <f>IF(S422=1,IFERROR(INDEX(Settings!$E$12:$E$41,MATCH($B422,Settings!$A$12:$A$41,0)),"N"),"")</f>
        <v/>
      </c>
      <c r="AA422" s="17">
        <f>IF(S422=1,IFERROR(INDEX(Settings!$F$12:$F$41,MATCH($B422,Settings!$A$12:$A$41,0)),0),0)</f>
        <v>0</v>
      </c>
      <c r="AB422" s="15">
        <f>IF(S422=1,IFERROR(INDEX(Settings!$G$12:$G$41,MATCH($B422,Settings!$A$12:$A$41,0)),0),0)</f>
        <v>0</v>
      </c>
      <c r="AC422" s="18" t="str">
        <f t="shared" si="57"/>
        <v/>
      </c>
      <c r="AD422" s="15" t="str">
        <f t="shared" si="58"/>
        <v/>
      </c>
      <c r="AE422" s="15" t="str">
        <f t="shared" si="59"/>
        <v/>
      </c>
      <c r="AF422" s="15" t="str">
        <f t="shared" si="60"/>
        <v/>
      </c>
      <c r="AG422" s="18">
        <f>IF(AND(S422=1,Z422="Y"),IF(Settings!$B$6="Percentage",IF(AD422=0,0,AC422*AA422*(N422/AD422)),IF(Settings!$B$6="Points",IF(AF422=0,0,AC422*(N422*AB422)/AF422),IF(Settings!$B$6="Equally",IF(AE422=0,0,AC422*N422/AE422),0))),0)</f>
        <v>0</v>
      </c>
      <c r="AH422" s="18" t="str">
        <f t="shared" si="61"/>
        <v/>
      </c>
      <c r="AI422" s="15">
        <f>IF(S422=1,IF(COUNTIFS($R$2:R422,R422,$S$2:S422,1)=1,1,0),0)</f>
        <v>0</v>
      </c>
      <c r="AJ422" s="15">
        <f>SUM($AI$2:AI422)</f>
        <v>12</v>
      </c>
    </row>
    <row r="423" spans="18:36">
      <c r="R423" s="15" t="str">
        <f t="shared" si="62"/>
        <v/>
      </c>
      <c r="S423" s="15">
        <f t="shared" si="54"/>
        <v>0</v>
      </c>
      <c r="T423" s="16" t="str">
        <f>IF(S423=1, DATE(YEAR(Settings!$B$3), MONTH(D423), DAY(D423)), "")</f>
        <v/>
      </c>
      <c r="U423" s="15" t="str">
        <f>IF(S423=1,IFERROR(INDEX(Settings!$B$12:$B$41,MATCH($B423,Settings!$A$12:$A$41,0)),"N"),"")</f>
        <v/>
      </c>
      <c r="V423" s="15" t="str">
        <f>IF(S423=1,IFERROR(INDEX(Settings!$C$12:$C$41,MATCH($B423,Settings!$A$12:$A$41,0)),""),"")</f>
        <v/>
      </c>
      <c r="W423" s="17">
        <f>IF(S423=1,IFERROR(INDEX(Settings!$D$12:$D$41,MATCH($B423,Settings!$A$12:$A$41,0)),0),0)</f>
        <v>0</v>
      </c>
      <c r="X423" s="18">
        <f t="shared" si="55"/>
        <v>0</v>
      </c>
      <c r="Y423" s="18" t="str">
        <f t="shared" si="56"/>
        <v/>
      </c>
      <c r="Z423" s="15" t="str">
        <f>IF(S423=1,IFERROR(INDEX(Settings!$E$12:$E$41,MATCH($B423,Settings!$A$12:$A$41,0)),"N"),"")</f>
        <v/>
      </c>
      <c r="AA423" s="17">
        <f>IF(S423=1,IFERROR(INDEX(Settings!$F$12:$F$41,MATCH($B423,Settings!$A$12:$A$41,0)),0),0)</f>
        <v>0</v>
      </c>
      <c r="AB423" s="15">
        <f>IF(S423=1,IFERROR(INDEX(Settings!$G$12:$G$41,MATCH($B423,Settings!$A$12:$A$41,0)),0),0)</f>
        <v>0</v>
      </c>
      <c r="AC423" s="18" t="str">
        <f t="shared" si="57"/>
        <v/>
      </c>
      <c r="AD423" s="15" t="str">
        <f t="shared" si="58"/>
        <v/>
      </c>
      <c r="AE423" s="15" t="str">
        <f t="shared" si="59"/>
        <v/>
      </c>
      <c r="AF423" s="15" t="str">
        <f t="shared" si="60"/>
        <v/>
      </c>
      <c r="AG423" s="18">
        <f>IF(AND(S423=1,Z423="Y"),IF(Settings!$B$6="Percentage",IF(AD423=0,0,AC423*AA423*(N423/AD423)),IF(Settings!$B$6="Points",IF(AF423=0,0,AC423*(N423*AB423)/AF423),IF(Settings!$B$6="Equally",IF(AE423=0,0,AC423*N423/AE423),0))),0)</f>
        <v>0</v>
      </c>
      <c r="AH423" s="18" t="str">
        <f t="shared" si="61"/>
        <v/>
      </c>
      <c r="AI423" s="15">
        <f>IF(S423=1,IF(COUNTIFS($R$2:R423,R423,$S$2:S423,1)=1,1,0),0)</f>
        <v>0</v>
      </c>
      <c r="AJ423" s="15">
        <f>SUM($AI$2:AI423)</f>
        <v>12</v>
      </c>
    </row>
    <row r="424" spans="18:36">
      <c r="R424" s="15" t="str">
        <f t="shared" si="62"/>
        <v/>
      </c>
      <c r="S424" s="15">
        <f t="shared" si="54"/>
        <v>0</v>
      </c>
      <c r="T424" s="16" t="str">
        <f>IF(S424=1, DATE(YEAR(Settings!$B$3), MONTH(D424), DAY(D424)), "")</f>
        <v/>
      </c>
      <c r="U424" s="15" t="str">
        <f>IF(S424=1,IFERROR(INDEX(Settings!$B$12:$B$41,MATCH($B424,Settings!$A$12:$A$41,0)),"N"),"")</f>
        <v/>
      </c>
      <c r="V424" s="15" t="str">
        <f>IF(S424=1,IFERROR(INDEX(Settings!$C$12:$C$41,MATCH($B424,Settings!$A$12:$A$41,0)),""),"")</f>
        <v/>
      </c>
      <c r="W424" s="17">
        <f>IF(S424=1,IFERROR(INDEX(Settings!$D$12:$D$41,MATCH($B424,Settings!$A$12:$A$41,0)),0),0)</f>
        <v>0</v>
      </c>
      <c r="X424" s="18">
        <f t="shared" si="55"/>
        <v>0</v>
      </c>
      <c r="Y424" s="18" t="str">
        <f t="shared" si="56"/>
        <v/>
      </c>
      <c r="Z424" s="15" t="str">
        <f>IF(S424=1,IFERROR(INDEX(Settings!$E$12:$E$41,MATCH($B424,Settings!$A$12:$A$41,0)),"N"),"")</f>
        <v/>
      </c>
      <c r="AA424" s="17">
        <f>IF(S424=1,IFERROR(INDEX(Settings!$F$12:$F$41,MATCH($B424,Settings!$A$12:$A$41,0)),0),0)</f>
        <v>0</v>
      </c>
      <c r="AB424" s="15">
        <f>IF(S424=1,IFERROR(INDEX(Settings!$G$12:$G$41,MATCH($B424,Settings!$A$12:$A$41,0)),0),0)</f>
        <v>0</v>
      </c>
      <c r="AC424" s="18" t="str">
        <f t="shared" si="57"/>
        <v/>
      </c>
      <c r="AD424" s="15" t="str">
        <f t="shared" si="58"/>
        <v/>
      </c>
      <c r="AE424" s="15" t="str">
        <f t="shared" si="59"/>
        <v/>
      </c>
      <c r="AF424" s="15" t="str">
        <f t="shared" si="60"/>
        <v/>
      </c>
      <c r="AG424" s="18">
        <f>IF(AND(S424=1,Z424="Y"),IF(Settings!$B$6="Percentage",IF(AD424=0,0,AC424*AA424*(N424/AD424)),IF(Settings!$B$6="Points",IF(AF424=0,0,AC424*(N424*AB424)/AF424),IF(Settings!$B$6="Equally",IF(AE424=0,0,AC424*N424/AE424),0))),0)</f>
        <v>0</v>
      </c>
      <c r="AH424" s="18" t="str">
        <f t="shared" si="61"/>
        <v/>
      </c>
      <c r="AI424" s="15">
        <f>IF(S424=1,IF(COUNTIFS($R$2:R424,R424,$S$2:S424,1)=1,1,0),0)</f>
        <v>0</v>
      </c>
      <c r="AJ424" s="15">
        <f>SUM($AI$2:AI424)</f>
        <v>12</v>
      </c>
    </row>
    <row r="425" spans="18:36">
      <c r="R425" s="15" t="str">
        <f t="shared" si="62"/>
        <v/>
      </c>
      <c r="S425" s="15">
        <f t="shared" si="54"/>
        <v>0</v>
      </c>
      <c r="T425" s="16" t="str">
        <f>IF(S425=1, DATE(YEAR(Settings!$B$3), MONTH(D425), DAY(D425)), "")</f>
        <v/>
      </c>
      <c r="U425" s="15" t="str">
        <f>IF(S425=1,IFERROR(INDEX(Settings!$B$12:$B$41,MATCH($B425,Settings!$A$12:$A$41,0)),"N"),"")</f>
        <v/>
      </c>
      <c r="V425" s="15" t="str">
        <f>IF(S425=1,IFERROR(INDEX(Settings!$C$12:$C$41,MATCH($B425,Settings!$A$12:$A$41,0)),""),"")</f>
        <v/>
      </c>
      <c r="W425" s="17">
        <f>IF(S425=1,IFERROR(INDEX(Settings!$D$12:$D$41,MATCH($B425,Settings!$A$12:$A$41,0)),0),0)</f>
        <v>0</v>
      </c>
      <c r="X425" s="18">
        <f t="shared" si="55"/>
        <v>0</v>
      </c>
      <c r="Y425" s="18" t="str">
        <f t="shared" si="56"/>
        <v/>
      </c>
      <c r="Z425" s="15" t="str">
        <f>IF(S425=1,IFERROR(INDEX(Settings!$E$12:$E$41,MATCH($B425,Settings!$A$12:$A$41,0)),"N"),"")</f>
        <v/>
      </c>
      <c r="AA425" s="17">
        <f>IF(S425=1,IFERROR(INDEX(Settings!$F$12:$F$41,MATCH($B425,Settings!$A$12:$A$41,0)),0),0)</f>
        <v>0</v>
      </c>
      <c r="AB425" s="15">
        <f>IF(S425=1,IFERROR(INDEX(Settings!$G$12:$G$41,MATCH($B425,Settings!$A$12:$A$41,0)),0),0)</f>
        <v>0</v>
      </c>
      <c r="AC425" s="18" t="str">
        <f t="shared" si="57"/>
        <v/>
      </c>
      <c r="AD425" s="15" t="str">
        <f t="shared" si="58"/>
        <v/>
      </c>
      <c r="AE425" s="15" t="str">
        <f t="shared" si="59"/>
        <v/>
      </c>
      <c r="AF425" s="15" t="str">
        <f t="shared" si="60"/>
        <v/>
      </c>
      <c r="AG425" s="18">
        <f>IF(AND(S425=1,Z425="Y"),IF(Settings!$B$6="Percentage",IF(AD425=0,0,AC425*AA425*(N425/AD425)),IF(Settings!$B$6="Points",IF(AF425=0,0,AC425*(N425*AB425)/AF425),IF(Settings!$B$6="Equally",IF(AE425=0,0,AC425*N425/AE425),0))),0)</f>
        <v>0</v>
      </c>
      <c r="AH425" s="18" t="str">
        <f t="shared" si="61"/>
        <v/>
      </c>
      <c r="AI425" s="15">
        <f>IF(S425=1,IF(COUNTIFS($R$2:R425,R425,$S$2:S425,1)=1,1,0),0)</f>
        <v>0</v>
      </c>
      <c r="AJ425" s="15">
        <f>SUM($AI$2:AI425)</f>
        <v>12</v>
      </c>
    </row>
    <row r="426" spans="18:36">
      <c r="R426" s="15" t="str">
        <f t="shared" si="62"/>
        <v/>
      </c>
      <c r="S426" s="15">
        <f t="shared" si="54"/>
        <v>0</v>
      </c>
      <c r="T426" s="16" t="str">
        <f>IF(S426=1, DATE(YEAR(Settings!$B$3), MONTH(D426), DAY(D426)), "")</f>
        <v/>
      </c>
      <c r="U426" s="15" t="str">
        <f>IF(S426=1,IFERROR(INDEX(Settings!$B$12:$B$41,MATCH($B426,Settings!$A$12:$A$41,0)),"N"),"")</f>
        <v/>
      </c>
      <c r="V426" s="15" t="str">
        <f>IF(S426=1,IFERROR(INDEX(Settings!$C$12:$C$41,MATCH($B426,Settings!$A$12:$A$41,0)),""),"")</f>
        <v/>
      </c>
      <c r="W426" s="17">
        <f>IF(S426=1,IFERROR(INDEX(Settings!$D$12:$D$41,MATCH($B426,Settings!$A$12:$A$41,0)),0),0)</f>
        <v>0</v>
      </c>
      <c r="X426" s="18">
        <f t="shared" si="55"/>
        <v>0</v>
      </c>
      <c r="Y426" s="18" t="str">
        <f t="shared" si="56"/>
        <v/>
      </c>
      <c r="Z426" s="15" t="str">
        <f>IF(S426=1,IFERROR(INDEX(Settings!$E$12:$E$41,MATCH($B426,Settings!$A$12:$A$41,0)),"N"),"")</f>
        <v/>
      </c>
      <c r="AA426" s="17">
        <f>IF(S426=1,IFERROR(INDEX(Settings!$F$12:$F$41,MATCH($B426,Settings!$A$12:$A$41,0)),0),0)</f>
        <v>0</v>
      </c>
      <c r="AB426" s="15">
        <f>IF(S426=1,IFERROR(INDEX(Settings!$G$12:$G$41,MATCH($B426,Settings!$A$12:$A$41,0)),0),0)</f>
        <v>0</v>
      </c>
      <c r="AC426" s="18" t="str">
        <f t="shared" si="57"/>
        <v/>
      </c>
      <c r="AD426" s="15" t="str">
        <f t="shared" si="58"/>
        <v/>
      </c>
      <c r="AE426" s="15" t="str">
        <f t="shared" si="59"/>
        <v/>
      </c>
      <c r="AF426" s="15" t="str">
        <f t="shared" si="60"/>
        <v/>
      </c>
      <c r="AG426" s="18">
        <f>IF(AND(S426=1,Z426="Y"),IF(Settings!$B$6="Percentage",IF(AD426=0,0,AC426*AA426*(N426/AD426)),IF(Settings!$B$6="Points",IF(AF426=0,0,AC426*(N426*AB426)/AF426),IF(Settings!$B$6="Equally",IF(AE426=0,0,AC426*N426/AE426),0))),0)</f>
        <v>0</v>
      </c>
      <c r="AH426" s="18" t="str">
        <f t="shared" si="61"/>
        <v/>
      </c>
      <c r="AI426" s="15">
        <f>IF(S426=1,IF(COUNTIFS($R$2:R426,R426,$S$2:S426,1)=1,1,0),0)</f>
        <v>0</v>
      </c>
      <c r="AJ426" s="15">
        <f>SUM($AI$2:AI426)</f>
        <v>12</v>
      </c>
    </row>
    <row r="427" spans="18:36">
      <c r="R427" s="15" t="str">
        <f t="shared" si="62"/>
        <v/>
      </c>
      <c r="S427" s="15">
        <f t="shared" si="54"/>
        <v>0</v>
      </c>
      <c r="T427" s="16" t="str">
        <f>IF(S427=1, DATE(YEAR(Settings!$B$3), MONTH(D427), DAY(D427)), "")</f>
        <v/>
      </c>
      <c r="U427" s="15" t="str">
        <f>IF(S427=1,IFERROR(INDEX(Settings!$B$12:$B$41,MATCH($B427,Settings!$A$12:$A$41,0)),"N"),"")</f>
        <v/>
      </c>
      <c r="V427" s="15" t="str">
        <f>IF(S427=1,IFERROR(INDEX(Settings!$C$12:$C$41,MATCH($B427,Settings!$A$12:$A$41,0)),""),"")</f>
        <v/>
      </c>
      <c r="W427" s="17">
        <f>IF(S427=1,IFERROR(INDEX(Settings!$D$12:$D$41,MATCH($B427,Settings!$A$12:$A$41,0)),0),0)</f>
        <v>0</v>
      </c>
      <c r="X427" s="18">
        <f t="shared" si="55"/>
        <v>0</v>
      </c>
      <c r="Y427" s="18" t="str">
        <f t="shared" si="56"/>
        <v/>
      </c>
      <c r="Z427" s="15" t="str">
        <f>IF(S427=1,IFERROR(INDEX(Settings!$E$12:$E$41,MATCH($B427,Settings!$A$12:$A$41,0)),"N"),"")</f>
        <v/>
      </c>
      <c r="AA427" s="17">
        <f>IF(S427=1,IFERROR(INDEX(Settings!$F$12:$F$41,MATCH($B427,Settings!$A$12:$A$41,0)),0),0)</f>
        <v>0</v>
      </c>
      <c r="AB427" s="15">
        <f>IF(S427=1,IFERROR(INDEX(Settings!$G$12:$G$41,MATCH($B427,Settings!$A$12:$A$41,0)),0),0)</f>
        <v>0</v>
      </c>
      <c r="AC427" s="18" t="str">
        <f t="shared" si="57"/>
        <v/>
      </c>
      <c r="AD427" s="15" t="str">
        <f t="shared" si="58"/>
        <v/>
      </c>
      <c r="AE427" s="15" t="str">
        <f t="shared" si="59"/>
        <v/>
      </c>
      <c r="AF427" s="15" t="str">
        <f t="shared" si="60"/>
        <v/>
      </c>
      <c r="AG427" s="18">
        <f>IF(AND(S427=1,Z427="Y"),IF(Settings!$B$6="Percentage",IF(AD427=0,0,AC427*AA427*(N427/AD427)),IF(Settings!$B$6="Points",IF(AF427=0,0,AC427*(N427*AB427)/AF427),IF(Settings!$B$6="Equally",IF(AE427=0,0,AC427*N427/AE427),0))),0)</f>
        <v>0</v>
      </c>
      <c r="AH427" s="18" t="str">
        <f t="shared" si="61"/>
        <v/>
      </c>
      <c r="AI427" s="15">
        <f>IF(S427=1,IF(COUNTIFS($R$2:R427,R427,$S$2:S427,1)=1,1,0),0)</f>
        <v>0</v>
      </c>
      <c r="AJ427" s="15">
        <f>SUM($AI$2:AI427)</f>
        <v>12</v>
      </c>
    </row>
    <row r="428" spans="18:36">
      <c r="R428" s="15" t="str">
        <f t="shared" si="62"/>
        <v/>
      </c>
      <c r="S428" s="15">
        <f t="shared" si="54"/>
        <v>0</v>
      </c>
      <c r="T428" s="16" t="str">
        <f>IF(S428=1, DATE(YEAR(Settings!$B$3), MONTH(D428), DAY(D428)), "")</f>
        <v/>
      </c>
      <c r="U428" s="15" t="str">
        <f>IF(S428=1,IFERROR(INDEX(Settings!$B$12:$B$41,MATCH($B428,Settings!$A$12:$A$41,0)),"N"),"")</f>
        <v/>
      </c>
      <c r="V428" s="15" t="str">
        <f>IF(S428=1,IFERROR(INDEX(Settings!$C$12:$C$41,MATCH($B428,Settings!$A$12:$A$41,0)),""),"")</f>
        <v/>
      </c>
      <c r="W428" s="17">
        <f>IF(S428=1,IFERROR(INDEX(Settings!$D$12:$D$41,MATCH($B428,Settings!$A$12:$A$41,0)),0),0)</f>
        <v>0</v>
      </c>
      <c r="X428" s="18">
        <f t="shared" si="55"/>
        <v>0</v>
      </c>
      <c r="Y428" s="18" t="str">
        <f t="shared" si="56"/>
        <v/>
      </c>
      <c r="Z428" s="15" t="str">
        <f>IF(S428=1,IFERROR(INDEX(Settings!$E$12:$E$41,MATCH($B428,Settings!$A$12:$A$41,0)),"N"),"")</f>
        <v/>
      </c>
      <c r="AA428" s="17">
        <f>IF(S428=1,IFERROR(INDEX(Settings!$F$12:$F$41,MATCH($B428,Settings!$A$12:$A$41,0)),0),0)</f>
        <v>0</v>
      </c>
      <c r="AB428" s="15">
        <f>IF(S428=1,IFERROR(INDEX(Settings!$G$12:$G$41,MATCH($B428,Settings!$A$12:$A$41,0)),0),0)</f>
        <v>0</v>
      </c>
      <c r="AC428" s="18" t="str">
        <f t="shared" si="57"/>
        <v/>
      </c>
      <c r="AD428" s="15" t="str">
        <f t="shared" si="58"/>
        <v/>
      </c>
      <c r="AE428" s="15" t="str">
        <f t="shared" si="59"/>
        <v/>
      </c>
      <c r="AF428" s="15" t="str">
        <f t="shared" si="60"/>
        <v/>
      </c>
      <c r="AG428" s="18">
        <f>IF(AND(S428=1,Z428="Y"),IF(Settings!$B$6="Percentage",IF(AD428=0,0,AC428*AA428*(N428/AD428)),IF(Settings!$B$6="Points",IF(AF428=0,0,AC428*(N428*AB428)/AF428),IF(Settings!$B$6="Equally",IF(AE428=0,0,AC428*N428/AE428),0))),0)</f>
        <v>0</v>
      </c>
      <c r="AH428" s="18" t="str">
        <f t="shared" si="61"/>
        <v/>
      </c>
      <c r="AI428" s="15">
        <f>IF(S428=1,IF(COUNTIFS($R$2:R428,R428,$S$2:S428,1)=1,1,0),0)</f>
        <v>0</v>
      </c>
      <c r="AJ428" s="15">
        <f>SUM($AI$2:AI428)</f>
        <v>12</v>
      </c>
    </row>
    <row r="429" spans="18:36">
      <c r="R429" s="15" t="str">
        <f t="shared" si="62"/>
        <v/>
      </c>
      <c r="S429" s="15">
        <f t="shared" si="54"/>
        <v>0</v>
      </c>
      <c r="T429" s="16" t="str">
        <f>IF(S429=1, DATE(YEAR(Settings!$B$3), MONTH(D429), DAY(D429)), "")</f>
        <v/>
      </c>
      <c r="U429" s="15" t="str">
        <f>IF(S429=1,IFERROR(INDEX(Settings!$B$12:$B$41,MATCH($B429,Settings!$A$12:$A$41,0)),"N"),"")</f>
        <v/>
      </c>
      <c r="V429" s="15" t="str">
        <f>IF(S429=1,IFERROR(INDEX(Settings!$C$12:$C$41,MATCH($B429,Settings!$A$12:$A$41,0)),""),"")</f>
        <v/>
      </c>
      <c r="W429" s="17">
        <f>IF(S429=1,IFERROR(INDEX(Settings!$D$12:$D$41,MATCH($B429,Settings!$A$12:$A$41,0)),0),0)</f>
        <v>0</v>
      </c>
      <c r="X429" s="18">
        <f t="shared" si="55"/>
        <v>0</v>
      </c>
      <c r="Y429" s="18" t="str">
        <f t="shared" si="56"/>
        <v/>
      </c>
      <c r="Z429" s="15" t="str">
        <f>IF(S429=1,IFERROR(INDEX(Settings!$E$12:$E$41,MATCH($B429,Settings!$A$12:$A$41,0)),"N"),"")</f>
        <v/>
      </c>
      <c r="AA429" s="17">
        <f>IF(S429=1,IFERROR(INDEX(Settings!$F$12:$F$41,MATCH($B429,Settings!$A$12:$A$41,0)),0),0)</f>
        <v>0</v>
      </c>
      <c r="AB429" s="15">
        <f>IF(S429=1,IFERROR(INDEX(Settings!$G$12:$G$41,MATCH($B429,Settings!$A$12:$A$41,0)),0),0)</f>
        <v>0</v>
      </c>
      <c r="AC429" s="18" t="str">
        <f t="shared" si="57"/>
        <v/>
      </c>
      <c r="AD429" s="15" t="str">
        <f t="shared" si="58"/>
        <v/>
      </c>
      <c r="AE429" s="15" t="str">
        <f t="shared" si="59"/>
        <v/>
      </c>
      <c r="AF429" s="15" t="str">
        <f t="shared" si="60"/>
        <v/>
      </c>
      <c r="AG429" s="18">
        <f>IF(AND(S429=1,Z429="Y"),IF(Settings!$B$6="Percentage",IF(AD429=0,0,AC429*AA429*(N429/AD429)),IF(Settings!$B$6="Points",IF(AF429=0,0,AC429*(N429*AB429)/AF429),IF(Settings!$B$6="Equally",IF(AE429=0,0,AC429*N429/AE429),0))),0)</f>
        <v>0</v>
      </c>
      <c r="AH429" s="18" t="str">
        <f t="shared" si="61"/>
        <v/>
      </c>
      <c r="AI429" s="15">
        <f>IF(S429=1,IF(COUNTIFS($R$2:R429,R429,$S$2:S429,1)=1,1,0),0)</f>
        <v>0</v>
      </c>
      <c r="AJ429" s="15">
        <f>SUM($AI$2:AI429)</f>
        <v>12</v>
      </c>
    </row>
    <row r="430" spans="18:36">
      <c r="R430" s="15" t="str">
        <f t="shared" si="62"/>
        <v/>
      </c>
      <c r="S430" s="15">
        <f t="shared" si="54"/>
        <v>0</v>
      </c>
      <c r="T430" s="16" t="str">
        <f>IF(S430=1, DATE(YEAR(Settings!$B$3), MONTH(D430), DAY(D430)), "")</f>
        <v/>
      </c>
      <c r="U430" s="15" t="str">
        <f>IF(S430=1,IFERROR(INDEX(Settings!$B$12:$B$41,MATCH($B430,Settings!$A$12:$A$41,0)),"N"),"")</f>
        <v/>
      </c>
      <c r="V430" s="15" t="str">
        <f>IF(S430=1,IFERROR(INDEX(Settings!$C$12:$C$41,MATCH($B430,Settings!$A$12:$A$41,0)),""),"")</f>
        <v/>
      </c>
      <c r="W430" s="17">
        <f>IF(S430=1,IFERROR(INDEX(Settings!$D$12:$D$41,MATCH($B430,Settings!$A$12:$A$41,0)),0),0)</f>
        <v>0</v>
      </c>
      <c r="X430" s="18">
        <f t="shared" si="55"/>
        <v>0</v>
      </c>
      <c r="Y430" s="18" t="str">
        <f t="shared" si="56"/>
        <v/>
      </c>
      <c r="Z430" s="15" t="str">
        <f>IF(S430=1,IFERROR(INDEX(Settings!$E$12:$E$41,MATCH($B430,Settings!$A$12:$A$41,0)),"N"),"")</f>
        <v/>
      </c>
      <c r="AA430" s="17">
        <f>IF(S430=1,IFERROR(INDEX(Settings!$F$12:$F$41,MATCH($B430,Settings!$A$12:$A$41,0)),0),0)</f>
        <v>0</v>
      </c>
      <c r="AB430" s="15">
        <f>IF(S430=1,IFERROR(INDEX(Settings!$G$12:$G$41,MATCH($B430,Settings!$A$12:$A$41,0)),0),0)</f>
        <v>0</v>
      </c>
      <c r="AC430" s="18" t="str">
        <f t="shared" si="57"/>
        <v/>
      </c>
      <c r="AD430" s="15" t="str">
        <f t="shared" si="58"/>
        <v/>
      </c>
      <c r="AE430" s="15" t="str">
        <f t="shared" si="59"/>
        <v/>
      </c>
      <c r="AF430" s="15" t="str">
        <f t="shared" si="60"/>
        <v/>
      </c>
      <c r="AG430" s="18">
        <f>IF(AND(S430=1,Z430="Y"),IF(Settings!$B$6="Percentage",IF(AD430=0,0,AC430*AA430*(N430/AD430)),IF(Settings!$B$6="Points",IF(AF430=0,0,AC430*(N430*AB430)/AF430),IF(Settings!$B$6="Equally",IF(AE430=0,0,AC430*N430/AE430),0))),0)</f>
        <v>0</v>
      </c>
      <c r="AH430" s="18" t="str">
        <f t="shared" si="61"/>
        <v/>
      </c>
      <c r="AI430" s="15">
        <f>IF(S430=1,IF(COUNTIFS($R$2:R430,R430,$S$2:S430,1)=1,1,0),0)</f>
        <v>0</v>
      </c>
      <c r="AJ430" s="15">
        <f>SUM($AI$2:AI430)</f>
        <v>12</v>
      </c>
    </row>
    <row r="431" spans="18:36">
      <c r="R431" s="15" t="str">
        <f t="shared" si="62"/>
        <v/>
      </c>
      <c r="S431" s="15">
        <f t="shared" si="54"/>
        <v>0</v>
      </c>
      <c r="T431" s="16" t="str">
        <f>IF(S431=1, DATE(YEAR(Settings!$B$3), MONTH(D431), DAY(D431)), "")</f>
        <v/>
      </c>
      <c r="U431" s="15" t="str">
        <f>IF(S431=1,IFERROR(INDEX(Settings!$B$12:$B$41,MATCH($B431,Settings!$A$12:$A$41,0)),"N"),"")</f>
        <v/>
      </c>
      <c r="V431" s="15" t="str">
        <f>IF(S431=1,IFERROR(INDEX(Settings!$C$12:$C$41,MATCH($B431,Settings!$A$12:$A$41,0)),""),"")</f>
        <v/>
      </c>
      <c r="W431" s="17">
        <f>IF(S431=1,IFERROR(INDEX(Settings!$D$12:$D$41,MATCH($B431,Settings!$A$12:$A$41,0)),0),0)</f>
        <v>0</v>
      </c>
      <c r="X431" s="18">
        <f t="shared" si="55"/>
        <v>0</v>
      </c>
      <c r="Y431" s="18" t="str">
        <f t="shared" si="56"/>
        <v/>
      </c>
      <c r="Z431" s="15" t="str">
        <f>IF(S431=1,IFERROR(INDEX(Settings!$E$12:$E$41,MATCH($B431,Settings!$A$12:$A$41,0)),"N"),"")</f>
        <v/>
      </c>
      <c r="AA431" s="17">
        <f>IF(S431=1,IFERROR(INDEX(Settings!$F$12:$F$41,MATCH($B431,Settings!$A$12:$A$41,0)),0),0)</f>
        <v>0</v>
      </c>
      <c r="AB431" s="15">
        <f>IF(S431=1,IFERROR(INDEX(Settings!$G$12:$G$41,MATCH($B431,Settings!$A$12:$A$41,0)),0),0)</f>
        <v>0</v>
      </c>
      <c r="AC431" s="18" t="str">
        <f t="shared" si="57"/>
        <v/>
      </c>
      <c r="AD431" s="15" t="str">
        <f t="shared" si="58"/>
        <v/>
      </c>
      <c r="AE431" s="15" t="str">
        <f t="shared" si="59"/>
        <v/>
      </c>
      <c r="AF431" s="15" t="str">
        <f t="shared" si="60"/>
        <v/>
      </c>
      <c r="AG431" s="18">
        <f>IF(AND(S431=1,Z431="Y"),IF(Settings!$B$6="Percentage",IF(AD431=0,0,AC431*AA431*(N431/AD431)),IF(Settings!$B$6="Points",IF(AF431=0,0,AC431*(N431*AB431)/AF431),IF(Settings!$B$6="Equally",IF(AE431=0,0,AC431*N431/AE431),0))),0)</f>
        <v>0</v>
      </c>
      <c r="AH431" s="18" t="str">
        <f t="shared" si="61"/>
        <v/>
      </c>
      <c r="AI431" s="15">
        <f>IF(S431=1,IF(COUNTIFS($R$2:R431,R431,$S$2:S431,1)=1,1,0),0)</f>
        <v>0</v>
      </c>
      <c r="AJ431" s="15">
        <f>SUM($AI$2:AI431)</f>
        <v>12</v>
      </c>
    </row>
    <row r="432" spans="18:36">
      <c r="R432" s="15" t="str">
        <f t="shared" si="62"/>
        <v/>
      </c>
      <c r="S432" s="15">
        <f t="shared" si="54"/>
        <v>0</v>
      </c>
      <c r="T432" s="16" t="str">
        <f>IF(S432=1, DATE(YEAR(Settings!$B$3), MONTH(D432), DAY(D432)), "")</f>
        <v/>
      </c>
      <c r="U432" s="15" t="str">
        <f>IF(S432=1,IFERROR(INDEX(Settings!$B$12:$B$41,MATCH($B432,Settings!$A$12:$A$41,0)),"N"),"")</f>
        <v/>
      </c>
      <c r="V432" s="15" t="str">
        <f>IF(S432=1,IFERROR(INDEX(Settings!$C$12:$C$41,MATCH($B432,Settings!$A$12:$A$41,0)),""),"")</f>
        <v/>
      </c>
      <c r="W432" s="17">
        <f>IF(S432=1,IFERROR(INDEX(Settings!$D$12:$D$41,MATCH($B432,Settings!$A$12:$A$41,0)),0),0)</f>
        <v>0</v>
      </c>
      <c r="X432" s="18">
        <f t="shared" si="55"/>
        <v>0</v>
      </c>
      <c r="Y432" s="18" t="str">
        <f t="shared" si="56"/>
        <v/>
      </c>
      <c r="Z432" s="15" t="str">
        <f>IF(S432=1,IFERROR(INDEX(Settings!$E$12:$E$41,MATCH($B432,Settings!$A$12:$A$41,0)),"N"),"")</f>
        <v/>
      </c>
      <c r="AA432" s="17">
        <f>IF(S432=1,IFERROR(INDEX(Settings!$F$12:$F$41,MATCH($B432,Settings!$A$12:$A$41,0)),0),0)</f>
        <v>0</v>
      </c>
      <c r="AB432" s="15">
        <f>IF(S432=1,IFERROR(INDEX(Settings!$G$12:$G$41,MATCH($B432,Settings!$A$12:$A$41,0)),0),0)</f>
        <v>0</v>
      </c>
      <c r="AC432" s="18" t="str">
        <f t="shared" si="57"/>
        <v/>
      </c>
      <c r="AD432" s="15" t="str">
        <f t="shared" si="58"/>
        <v/>
      </c>
      <c r="AE432" s="15" t="str">
        <f t="shared" si="59"/>
        <v/>
      </c>
      <c r="AF432" s="15" t="str">
        <f t="shared" si="60"/>
        <v/>
      </c>
      <c r="AG432" s="18">
        <f>IF(AND(S432=1,Z432="Y"),IF(Settings!$B$6="Percentage",IF(AD432=0,0,AC432*AA432*(N432/AD432)),IF(Settings!$B$6="Points",IF(AF432=0,0,AC432*(N432*AB432)/AF432),IF(Settings!$B$6="Equally",IF(AE432=0,0,AC432*N432/AE432),0))),0)</f>
        <v>0</v>
      </c>
      <c r="AH432" s="18" t="str">
        <f t="shared" si="61"/>
        <v/>
      </c>
      <c r="AI432" s="15">
        <f>IF(S432=1,IF(COUNTIFS($R$2:R432,R432,$S$2:S432,1)=1,1,0),0)</f>
        <v>0</v>
      </c>
      <c r="AJ432" s="15">
        <f>SUM($AI$2:AI432)</f>
        <v>12</v>
      </c>
    </row>
    <row r="433" spans="18:36">
      <c r="R433" s="15" t="str">
        <f t="shared" si="62"/>
        <v/>
      </c>
      <c r="S433" s="15">
        <f t="shared" si="54"/>
        <v>0</v>
      </c>
      <c r="T433" s="16" t="str">
        <f>IF(S433=1, DATE(YEAR(Settings!$B$3), MONTH(D433), DAY(D433)), "")</f>
        <v/>
      </c>
      <c r="U433" s="15" t="str">
        <f>IF(S433=1,IFERROR(INDEX(Settings!$B$12:$B$41,MATCH($B433,Settings!$A$12:$A$41,0)),"N"),"")</f>
        <v/>
      </c>
      <c r="V433" s="15" t="str">
        <f>IF(S433=1,IFERROR(INDEX(Settings!$C$12:$C$41,MATCH($B433,Settings!$A$12:$A$41,0)),""),"")</f>
        <v/>
      </c>
      <c r="W433" s="17">
        <f>IF(S433=1,IFERROR(INDEX(Settings!$D$12:$D$41,MATCH($B433,Settings!$A$12:$A$41,0)),0),0)</f>
        <v>0</v>
      </c>
      <c r="X433" s="18">
        <f t="shared" si="55"/>
        <v>0</v>
      </c>
      <c r="Y433" s="18" t="str">
        <f t="shared" si="56"/>
        <v/>
      </c>
      <c r="Z433" s="15" t="str">
        <f>IF(S433=1,IFERROR(INDEX(Settings!$E$12:$E$41,MATCH($B433,Settings!$A$12:$A$41,0)),"N"),"")</f>
        <v/>
      </c>
      <c r="AA433" s="17">
        <f>IF(S433=1,IFERROR(INDEX(Settings!$F$12:$F$41,MATCH($B433,Settings!$A$12:$A$41,0)),0),0)</f>
        <v>0</v>
      </c>
      <c r="AB433" s="15">
        <f>IF(S433=1,IFERROR(INDEX(Settings!$G$12:$G$41,MATCH($B433,Settings!$A$12:$A$41,0)),0),0)</f>
        <v>0</v>
      </c>
      <c r="AC433" s="18" t="str">
        <f t="shared" si="57"/>
        <v/>
      </c>
      <c r="AD433" s="15" t="str">
        <f t="shared" si="58"/>
        <v/>
      </c>
      <c r="AE433" s="15" t="str">
        <f t="shared" si="59"/>
        <v/>
      </c>
      <c r="AF433" s="15" t="str">
        <f t="shared" si="60"/>
        <v/>
      </c>
      <c r="AG433" s="18">
        <f>IF(AND(S433=1,Z433="Y"),IF(Settings!$B$6="Percentage",IF(AD433=0,0,AC433*AA433*(N433/AD433)),IF(Settings!$B$6="Points",IF(AF433=0,0,AC433*(N433*AB433)/AF433),IF(Settings!$B$6="Equally",IF(AE433=0,0,AC433*N433/AE433),0))),0)</f>
        <v>0</v>
      </c>
      <c r="AH433" s="18" t="str">
        <f t="shared" si="61"/>
        <v/>
      </c>
      <c r="AI433" s="15">
        <f>IF(S433=1,IF(COUNTIFS($R$2:R433,R433,$S$2:S433,1)=1,1,0),0)</f>
        <v>0</v>
      </c>
      <c r="AJ433" s="15">
        <f>SUM($AI$2:AI433)</f>
        <v>12</v>
      </c>
    </row>
    <row r="434" spans="18:36">
      <c r="R434" s="15" t="str">
        <f t="shared" si="62"/>
        <v/>
      </c>
      <c r="S434" s="15">
        <f t="shared" si="54"/>
        <v>0</v>
      </c>
      <c r="T434" s="16" t="str">
        <f>IF(S434=1, DATE(YEAR(Settings!$B$3), MONTH(D434), DAY(D434)), "")</f>
        <v/>
      </c>
      <c r="U434" s="15" t="str">
        <f>IF(S434=1,IFERROR(INDEX(Settings!$B$12:$B$41,MATCH($B434,Settings!$A$12:$A$41,0)),"N"),"")</f>
        <v/>
      </c>
      <c r="V434" s="15" t="str">
        <f>IF(S434=1,IFERROR(INDEX(Settings!$C$12:$C$41,MATCH($B434,Settings!$A$12:$A$41,0)),""),"")</f>
        <v/>
      </c>
      <c r="W434" s="17">
        <f>IF(S434=1,IFERROR(INDEX(Settings!$D$12:$D$41,MATCH($B434,Settings!$A$12:$A$41,0)),0),0)</f>
        <v>0</v>
      </c>
      <c r="X434" s="18">
        <f t="shared" si="55"/>
        <v>0</v>
      </c>
      <c r="Y434" s="18" t="str">
        <f t="shared" si="56"/>
        <v/>
      </c>
      <c r="Z434" s="15" t="str">
        <f>IF(S434=1,IFERROR(INDEX(Settings!$E$12:$E$41,MATCH($B434,Settings!$A$12:$A$41,0)),"N"),"")</f>
        <v/>
      </c>
      <c r="AA434" s="17">
        <f>IF(S434=1,IFERROR(INDEX(Settings!$F$12:$F$41,MATCH($B434,Settings!$A$12:$A$41,0)),0),0)</f>
        <v>0</v>
      </c>
      <c r="AB434" s="15">
        <f>IF(S434=1,IFERROR(INDEX(Settings!$G$12:$G$41,MATCH($B434,Settings!$A$12:$A$41,0)),0),0)</f>
        <v>0</v>
      </c>
      <c r="AC434" s="18" t="str">
        <f t="shared" si="57"/>
        <v/>
      </c>
      <c r="AD434" s="15" t="str">
        <f t="shared" si="58"/>
        <v/>
      </c>
      <c r="AE434" s="15" t="str">
        <f t="shared" si="59"/>
        <v/>
      </c>
      <c r="AF434" s="15" t="str">
        <f t="shared" si="60"/>
        <v/>
      </c>
      <c r="AG434" s="18">
        <f>IF(AND(S434=1,Z434="Y"),IF(Settings!$B$6="Percentage",IF(AD434=0,0,AC434*AA434*(N434/AD434)),IF(Settings!$B$6="Points",IF(AF434=0,0,AC434*(N434*AB434)/AF434),IF(Settings!$B$6="Equally",IF(AE434=0,0,AC434*N434/AE434),0))),0)</f>
        <v>0</v>
      </c>
      <c r="AH434" s="18" t="str">
        <f t="shared" si="61"/>
        <v/>
      </c>
      <c r="AI434" s="15">
        <f>IF(S434=1,IF(COUNTIFS($R$2:R434,R434,$S$2:S434,1)=1,1,0),0)</f>
        <v>0</v>
      </c>
      <c r="AJ434" s="15">
        <f>SUM($AI$2:AI434)</f>
        <v>12</v>
      </c>
    </row>
    <row r="435" spans="18:36">
      <c r="R435" s="15" t="str">
        <f t="shared" si="62"/>
        <v/>
      </c>
      <c r="S435" s="15">
        <f t="shared" si="54"/>
        <v>0</v>
      </c>
      <c r="T435" s="16" t="str">
        <f>IF(S435=1, DATE(YEAR(Settings!$B$3), MONTH(D435), DAY(D435)), "")</f>
        <v/>
      </c>
      <c r="U435" s="15" t="str">
        <f>IF(S435=1,IFERROR(INDEX(Settings!$B$12:$B$41,MATCH($B435,Settings!$A$12:$A$41,0)),"N"),"")</f>
        <v/>
      </c>
      <c r="V435" s="15" t="str">
        <f>IF(S435=1,IFERROR(INDEX(Settings!$C$12:$C$41,MATCH($B435,Settings!$A$12:$A$41,0)),""),"")</f>
        <v/>
      </c>
      <c r="W435" s="17">
        <f>IF(S435=1,IFERROR(INDEX(Settings!$D$12:$D$41,MATCH($B435,Settings!$A$12:$A$41,0)),0),0)</f>
        <v>0</v>
      </c>
      <c r="X435" s="18">
        <f t="shared" si="55"/>
        <v>0</v>
      </c>
      <c r="Y435" s="18" t="str">
        <f t="shared" si="56"/>
        <v/>
      </c>
      <c r="Z435" s="15" t="str">
        <f>IF(S435=1,IFERROR(INDEX(Settings!$E$12:$E$41,MATCH($B435,Settings!$A$12:$A$41,0)),"N"),"")</f>
        <v/>
      </c>
      <c r="AA435" s="17">
        <f>IF(S435=1,IFERROR(INDEX(Settings!$F$12:$F$41,MATCH($B435,Settings!$A$12:$A$41,0)),0),0)</f>
        <v>0</v>
      </c>
      <c r="AB435" s="15">
        <f>IF(S435=1,IFERROR(INDEX(Settings!$G$12:$G$41,MATCH($B435,Settings!$A$12:$A$41,0)),0),0)</f>
        <v>0</v>
      </c>
      <c r="AC435" s="18" t="str">
        <f t="shared" si="57"/>
        <v/>
      </c>
      <c r="AD435" s="15" t="str">
        <f t="shared" si="58"/>
        <v/>
      </c>
      <c r="AE435" s="15" t="str">
        <f t="shared" si="59"/>
        <v/>
      </c>
      <c r="AF435" s="15" t="str">
        <f t="shared" si="60"/>
        <v/>
      </c>
      <c r="AG435" s="18">
        <f>IF(AND(S435=1,Z435="Y"),IF(Settings!$B$6="Percentage",IF(AD435=0,0,AC435*AA435*(N435/AD435)),IF(Settings!$B$6="Points",IF(AF435=0,0,AC435*(N435*AB435)/AF435),IF(Settings!$B$6="Equally",IF(AE435=0,0,AC435*N435/AE435),0))),0)</f>
        <v>0</v>
      </c>
      <c r="AH435" s="18" t="str">
        <f t="shared" si="61"/>
        <v/>
      </c>
      <c r="AI435" s="15">
        <f>IF(S435=1,IF(COUNTIFS($R$2:R435,R435,$S$2:S435,1)=1,1,0),0)</f>
        <v>0</v>
      </c>
      <c r="AJ435" s="15">
        <f>SUM($AI$2:AI435)</f>
        <v>12</v>
      </c>
    </row>
    <row r="436" spans="18:36">
      <c r="R436" s="15" t="str">
        <f t="shared" si="62"/>
        <v/>
      </c>
      <c r="S436" s="15">
        <f t="shared" si="54"/>
        <v>0</v>
      </c>
      <c r="T436" s="16" t="str">
        <f>IF(S436=1, DATE(YEAR(Settings!$B$3), MONTH(D436), DAY(D436)), "")</f>
        <v/>
      </c>
      <c r="U436" s="15" t="str">
        <f>IF(S436=1,IFERROR(INDEX(Settings!$B$12:$B$41,MATCH($B436,Settings!$A$12:$A$41,0)),"N"),"")</f>
        <v/>
      </c>
      <c r="V436" s="15" t="str">
        <f>IF(S436=1,IFERROR(INDEX(Settings!$C$12:$C$41,MATCH($B436,Settings!$A$12:$A$41,0)),""),"")</f>
        <v/>
      </c>
      <c r="W436" s="17">
        <f>IF(S436=1,IFERROR(INDEX(Settings!$D$12:$D$41,MATCH($B436,Settings!$A$12:$A$41,0)),0),0)</f>
        <v>0</v>
      </c>
      <c r="X436" s="18">
        <f t="shared" si="55"/>
        <v>0</v>
      </c>
      <c r="Y436" s="18" t="str">
        <f t="shared" si="56"/>
        <v/>
      </c>
      <c r="Z436" s="15" t="str">
        <f>IF(S436=1,IFERROR(INDEX(Settings!$E$12:$E$41,MATCH($B436,Settings!$A$12:$A$41,0)),"N"),"")</f>
        <v/>
      </c>
      <c r="AA436" s="17">
        <f>IF(S436=1,IFERROR(INDEX(Settings!$F$12:$F$41,MATCH($B436,Settings!$A$12:$A$41,0)),0),0)</f>
        <v>0</v>
      </c>
      <c r="AB436" s="15">
        <f>IF(S436=1,IFERROR(INDEX(Settings!$G$12:$G$41,MATCH($B436,Settings!$A$12:$A$41,0)),0),0)</f>
        <v>0</v>
      </c>
      <c r="AC436" s="18" t="str">
        <f t="shared" si="57"/>
        <v/>
      </c>
      <c r="AD436" s="15" t="str">
        <f t="shared" si="58"/>
        <v/>
      </c>
      <c r="AE436" s="15" t="str">
        <f t="shared" si="59"/>
        <v/>
      </c>
      <c r="AF436" s="15" t="str">
        <f t="shared" si="60"/>
        <v/>
      </c>
      <c r="AG436" s="18">
        <f>IF(AND(S436=1,Z436="Y"),IF(Settings!$B$6="Percentage",IF(AD436=0,0,AC436*AA436*(N436/AD436)),IF(Settings!$B$6="Points",IF(AF436=0,0,AC436*(N436*AB436)/AF436),IF(Settings!$B$6="Equally",IF(AE436=0,0,AC436*N436/AE436),0))),0)</f>
        <v>0</v>
      </c>
      <c r="AH436" s="18" t="str">
        <f t="shared" si="61"/>
        <v/>
      </c>
      <c r="AI436" s="15">
        <f>IF(S436=1,IF(COUNTIFS($R$2:R436,R436,$S$2:S436,1)=1,1,0),0)</f>
        <v>0</v>
      </c>
      <c r="AJ436" s="15">
        <f>SUM($AI$2:AI436)</f>
        <v>12</v>
      </c>
    </row>
    <row r="437" spans="18:36">
      <c r="R437" s="15" t="str">
        <f t="shared" si="62"/>
        <v/>
      </c>
      <c r="S437" s="15">
        <f t="shared" si="54"/>
        <v>0</v>
      </c>
      <c r="T437" s="16" t="str">
        <f>IF(S437=1, DATE(YEAR(Settings!$B$3), MONTH(D437), DAY(D437)), "")</f>
        <v/>
      </c>
      <c r="U437" s="15" t="str">
        <f>IF(S437=1,IFERROR(INDEX(Settings!$B$12:$B$41,MATCH($B437,Settings!$A$12:$A$41,0)),"N"),"")</f>
        <v/>
      </c>
      <c r="V437" s="15" t="str">
        <f>IF(S437=1,IFERROR(INDEX(Settings!$C$12:$C$41,MATCH($B437,Settings!$A$12:$A$41,0)),""),"")</f>
        <v/>
      </c>
      <c r="W437" s="17">
        <f>IF(S437=1,IFERROR(INDEX(Settings!$D$12:$D$41,MATCH($B437,Settings!$A$12:$A$41,0)),0),0)</f>
        <v>0</v>
      </c>
      <c r="X437" s="18">
        <f t="shared" si="55"/>
        <v>0</v>
      </c>
      <c r="Y437" s="18" t="str">
        <f t="shared" si="56"/>
        <v/>
      </c>
      <c r="Z437" s="15" t="str">
        <f>IF(S437=1,IFERROR(INDEX(Settings!$E$12:$E$41,MATCH($B437,Settings!$A$12:$A$41,0)),"N"),"")</f>
        <v/>
      </c>
      <c r="AA437" s="17">
        <f>IF(S437=1,IFERROR(INDEX(Settings!$F$12:$F$41,MATCH($B437,Settings!$A$12:$A$41,0)),0),0)</f>
        <v>0</v>
      </c>
      <c r="AB437" s="15">
        <f>IF(S437=1,IFERROR(INDEX(Settings!$G$12:$G$41,MATCH($B437,Settings!$A$12:$A$41,0)),0),0)</f>
        <v>0</v>
      </c>
      <c r="AC437" s="18" t="str">
        <f t="shared" si="57"/>
        <v/>
      </c>
      <c r="AD437" s="15" t="str">
        <f t="shared" si="58"/>
        <v/>
      </c>
      <c r="AE437" s="15" t="str">
        <f t="shared" si="59"/>
        <v/>
      </c>
      <c r="AF437" s="15" t="str">
        <f t="shared" si="60"/>
        <v/>
      </c>
      <c r="AG437" s="18">
        <f>IF(AND(S437=1,Z437="Y"),IF(Settings!$B$6="Percentage",IF(AD437=0,0,AC437*AA437*(N437/AD437)),IF(Settings!$B$6="Points",IF(AF437=0,0,AC437*(N437*AB437)/AF437),IF(Settings!$B$6="Equally",IF(AE437=0,0,AC437*N437/AE437),0))),0)</f>
        <v>0</v>
      </c>
      <c r="AH437" s="18" t="str">
        <f t="shared" si="61"/>
        <v/>
      </c>
      <c r="AI437" s="15">
        <f>IF(S437=1,IF(COUNTIFS($R$2:R437,R437,$S$2:S437,1)=1,1,0),0)</f>
        <v>0</v>
      </c>
      <c r="AJ437" s="15">
        <f>SUM($AI$2:AI437)</f>
        <v>12</v>
      </c>
    </row>
    <row r="438" spans="18:36">
      <c r="R438" s="15" t="str">
        <f t="shared" si="62"/>
        <v/>
      </c>
      <c r="S438" s="15">
        <f t="shared" si="54"/>
        <v>0</v>
      </c>
      <c r="T438" s="16" t="str">
        <f>IF(S438=1, DATE(YEAR(Settings!$B$3), MONTH(D438), DAY(D438)), "")</f>
        <v/>
      </c>
      <c r="U438" s="15" t="str">
        <f>IF(S438=1,IFERROR(INDEX(Settings!$B$12:$B$41,MATCH($B438,Settings!$A$12:$A$41,0)),"N"),"")</f>
        <v/>
      </c>
      <c r="V438" s="15" t="str">
        <f>IF(S438=1,IFERROR(INDEX(Settings!$C$12:$C$41,MATCH($B438,Settings!$A$12:$A$41,0)),""),"")</f>
        <v/>
      </c>
      <c r="W438" s="17">
        <f>IF(S438=1,IFERROR(INDEX(Settings!$D$12:$D$41,MATCH($B438,Settings!$A$12:$A$41,0)),0),0)</f>
        <v>0</v>
      </c>
      <c r="X438" s="18">
        <f t="shared" si="55"/>
        <v>0</v>
      </c>
      <c r="Y438" s="18" t="str">
        <f t="shared" si="56"/>
        <v/>
      </c>
      <c r="Z438" s="15" t="str">
        <f>IF(S438=1,IFERROR(INDEX(Settings!$E$12:$E$41,MATCH($B438,Settings!$A$12:$A$41,0)),"N"),"")</f>
        <v/>
      </c>
      <c r="AA438" s="17">
        <f>IF(S438=1,IFERROR(INDEX(Settings!$F$12:$F$41,MATCH($B438,Settings!$A$12:$A$41,0)),0),0)</f>
        <v>0</v>
      </c>
      <c r="AB438" s="15">
        <f>IF(S438=1,IFERROR(INDEX(Settings!$G$12:$G$41,MATCH($B438,Settings!$A$12:$A$41,0)),0),0)</f>
        <v>0</v>
      </c>
      <c r="AC438" s="18" t="str">
        <f t="shared" si="57"/>
        <v/>
      </c>
      <c r="AD438" s="15" t="str">
        <f t="shared" si="58"/>
        <v/>
      </c>
      <c r="AE438" s="15" t="str">
        <f t="shared" si="59"/>
        <v/>
      </c>
      <c r="AF438" s="15" t="str">
        <f t="shared" si="60"/>
        <v/>
      </c>
      <c r="AG438" s="18">
        <f>IF(AND(S438=1,Z438="Y"),IF(Settings!$B$6="Percentage",IF(AD438=0,0,AC438*AA438*(N438/AD438)),IF(Settings!$B$6="Points",IF(AF438=0,0,AC438*(N438*AB438)/AF438),IF(Settings!$B$6="Equally",IF(AE438=0,0,AC438*N438/AE438),0))),0)</f>
        <v>0</v>
      </c>
      <c r="AH438" s="18" t="str">
        <f t="shared" si="61"/>
        <v/>
      </c>
      <c r="AI438" s="15">
        <f>IF(S438=1,IF(COUNTIFS($R$2:R438,R438,$S$2:S438,1)=1,1,0),0)</f>
        <v>0</v>
      </c>
      <c r="AJ438" s="15">
        <f>SUM($AI$2:AI438)</f>
        <v>12</v>
      </c>
    </row>
    <row r="439" spans="18:36">
      <c r="R439" s="15" t="str">
        <f t="shared" si="62"/>
        <v/>
      </c>
      <c r="S439" s="15">
        <f t="shared" si="54"/>
        <v>0</v>
      </c>
      <c r="T439" s="16" t="str">
        <f>IF(S439=1, DATE(YEAR(Settings!$B$3), MONTH(D439), DAY(D439)), "")</f>
        <v/>
      </c>
      <c r="U439" s="15" t="str">
        <f>IF(S439=1,IFERROR(INDEX(Settings!$B$12:$B$41,MATCH($B439,Settings!$A$12:$A$41,0)),"N"),"")</f>
        <v/>
      </c>
      <c r="V439" s="15" t="str">
        <f>IF(S439=1,IFERROR(INDEX(Settings!$C$12:$C$41,MATCH($B439,Settings!$A$12:$A$41,0)),""),"")</f>
        <v/>
      </c>
      <c r="W439" s="17">
        <f>IF(S439=1,IFERROR(INDEX(Settings!$D$12:$D$41,MATCH($B439,Settings!$A$12:$A$41,0)),0),0)</f>
        <v>0</v>
      </c>
      <c r="X439" s="18">
        <f t="shared" si="55"/>
        <v>0</v>
      </c>
      <c r="Y439" s="18" t="str">
        <f t="shared" si="56"/>
        <v/>
      </c>
      <c r="Z439" s="15" t="str">
        <f>IF(S439=1,IFERROR(INDEX(Settings!$E$12:$E$41,MATCH($B439,Settings!$A$12:$A$41,0)),"N"),"")</f>
        <v/>
      </c>
      <c r="AA439" s="17">
        <f>IF(S439=1,IFERROR(INDEX(Settings!$F$12:$F$41,MATCH($B439,Settings!$A$12:$A$41,0)),0),0)</f>
        <v>0</v>
      </c>
      <c r="AB439" s="15">
        <f>IF(S439=1,IFERROR(INDEX(Settings!$G$12:$G$41,MATCH($B439,Settings!$A$12:$A$41,0)),0),0)</f>
        <v>0</v>
      </c>
      <c r="AC439" s="18" t="str">
        <f t="shared" si="57"/>
        <v/>
      </c>
      <c r="AD439" s="15" t="str">
        <f t="shared" si="58"/>
        <v/>
      </c>
      <c r="AE439" s="15" t="str">
        <f t="shared" si="59"/>
        <v/>
      </c>
      <c r="AF439" s="15" t="str">
        <f t="shared" si="60"/>
        <v/>
      </c>
      <c r="AG439" s="18">
        <f>IF(AND(S439=1,Z439="Y"),IF(Settings!$B$6="Percentage",IF(AD439=0,0,AC439*AA439*(N439/AD439)),IF(Settings!$B$6="Points",IF(AF439=0,0,AC439*(N439*AB439)/AF439),IF(Settings!$B$6="Equally",IF(AE439=0,0,AC439*N439/AE439),0))),0)</f>
        <v>0</v>
      </c>
      <c r="AH439" s="18" t="str">
        <f t="shared" si="61"/>
        <v/>
      </c>
      <c r="AI439" s="15">
        <f>IF(S439=1,IF(COUNTIFS($R$2:R439,R439,$S$2:S439,1)=1,1,0),0)</f>
        <v>0</v>
      </c>
      <c r="AJ439" s="15">
        <f>SUM($AI$2:AI439)</f>
        <v>12</v>
      </c>
    </row>
    <row r="440" spans="18:36">
      <c r="R440" s="15" t="str">
        <f t="shared" si="62"/>
        <v/>
      </c>
      <c r="S440" s="15">
        <f t="shared" si="54"/>
        <v>0</v>
      </c>
      <c r="T440" s="16" t="str">
        <f>IF(S440=1, DATE(YEAR(Settings!$B$3), MONTH(D440), DAY(D440)), "")</f>
        <v/>
      </c>
      <c r="U440" s="15" t="str">
        <f>IF(S440=1,IFERROR(INDEX(Settings!$B$12:$B$41,MATCH($B440,Settings!$A$12:$A$41,0)),"N"),"")</f>
        <v/>
      </c>
      <c r="V440" s="15" t="str">
        <f>IF(S440=1,IFERROR(INDEX(Settings!$C$12:$C$41,MATCH($B440,Settings!$A$12:$A$41,0)),""),"")</f>
        <v/>
      </c>
      <c r="W440" s="17">
        <f>IF(S440=1,IFERROR(INDEX(Settings!$D$12:$D$41,MATCH($B440,Settings!$A$12:$A$41,0)),0),0)</f>
        <v>0</v>
      </c>
      <c r="X440" s="18">
        <f t="shared" si="55"/>
        <v>0</v>
      </c>
      <c r="Y440" s="18" t="str">
        <f t="shared" si="56"/>
        <v/>
      </c>
      <c r="Z440" s="15" t="str">
        <f>IF(S440=1,IFERROR(INDEX(Settings!$E$12:$E$41,MATCH($B440,Settings!$A$12:$A$41,0)),"N"),"")</f>
        <v/>
      </c>
      <c r="AA440" s="17">
        <f>IF(S440=1,IFERROR(INDEX(Settings!$F$12:$F$41,MATCH($B440,Settings!$A$12:$A$41,0)),0),0)</f>
        <v>0</v>
      </c>
      <c r="AB440" s="15">
        <f>IF(S440=1,IFERROR(INDEX(Settings!$G$12:$G$41,MATCH($B440,Settings!$A$12:$A$41,0)),0),0)</f>
        <v>0</v>
      </c>
      <c r="AC440" s="18" t="str">
        <f t="shared" si="57"/>
        <v/>
      </c>
      <c r="AD440" s="15" t="str">
        <f t="shared" si="58"/>
        <v/>
      </c>
      <c r="AE440" s="15" t="str">
        <f t="shared" si="59"/>
        <v/>
      </c>
      <c r="AF440" s="15" t="str">
        <f t="shared" si="60"/>
        <v/>
      </c>
      <c r="AG440" s="18">
        <f>IF(AND(S440=1,Z440="Y"),IF(Settings!$B$6="Percentage",IF(AD440=0,0,AC440*AA440*(N440/AD440)),IF(Settings!$B$6="Points",IF(AF440=0,0,AC440*(N440*AB440)/AF440),IF(Settings!$B$6="Equally",IF(AE440=0,0,AC440*N440/AE440),0))),0)</f>
        <v>0</v>
      </c>
      <c r="AH440" s="18" t="str">
        <f t="shared" si="61"/>
        <v/>
      </c>
      <c r="AI440" s="15">
        <f>IF(S440=1,IF(COUNTIFS($R$2:R440,R440,$S$2:S440,1)=1,1,0),0)</f>
        <v>0</v>
      </c>
      <c r="AJ440" s="15">
        <f>SUM($AI$2:AI440)</f>
        <v>12</v>
      </c>
    </row>
    <row r="441" spans="18:36">
      <c r="R441" s="15" t="str">
        <f t="shared" si="62"/>
        <v/>
      </c>
      <c r="S441" s="15">
        <f t="shared" si="54"/>
        <v>0</v>
      </c>
      <c r="T441" s="16" t="str">
        <f>IF(S441=1, DATE(YEAR(Settings!$B$3), MONTH(D441), DAY(D441)), "")</f>
        <v/>
      </c>
      <c r="U441" s="15" t="str">
        <f>IF(S441=1,IFERROR(INDEX(Settings!$B$12:$B$41,MATCH($B441,Settings!$A$12:$A$41,0)),"N"),"")</f>
        <v/>
      </c>
      <c r="V441" s="15" t="str">
        <f>IF(S441=1,IFERROR(INDEX(Settings!$C$12:$C$41,MATCH($B441,Settings!$A$12:$A$41,0)),""),"")</f>
        <v/>
      </c>
      <c r="W441" s="17">
        <f>IF(S441=1,IFERROR(INDEX(Settings!$D$12:$D$41,MATCH($B441,Settings!$A$12:$A$41,0)),0),0)</f>
        <v>0</v>
      </c>
      <c r="X441" s="18">
        <f t="shared" si="55"/>
        <v>0</v>
      </c>
      <c r="Y441" s="18" t="str">
        <f t="shared" si="56"/>
        <v/>
      </c>
      <c r="Z441" s="15" t="str">
        <f>IF(S441=1,IFERROR(INDEX(Settings!$E$12:$E$41,MATCH($B441,Settings!$A$12:$A$41,0)),"N"),"")</f>
        <v/>
      </c>
      <c r="AA441" s="17">
        <f>IF(S441=1,IFERROR(INDEX(Settings!$F$12:$F$41,MATCH($B441,Settings!$A$12:$A$41,0)),0),0)</f>
        <v>0</v>
      </c>
      <c r="AB441" s="15">
        <f>IF(S441=1,IFERROR(INDEX(Settings!$G$12:$G$41,MATCH($B441,Settings!$A$12:$A$41,0)),0),0)</f>
        <v>0</v>
      </c>
      <c r="AC441" s="18" t="str">
        <f t="shared" si="57"/>
        <v/>
      </c>
      <c r="AD441" s="15" t="str">
        <f t="shared" si="58"/>
        <v/>
      </c>
      <c r="AE441" s="15" t="str">
        <f t="shared" si="59"/>
        <v/>
      </c>
      <c r="AF441" s="15" t="str">
        <f t="shared" si="60"/>
        <v/>
      </c>
      <c r="AG441" s="18">
        <f>IF(AND(S441=1,Z441="Y"),IF(Settings!$B$6="Percentage",IF(AD441=0,0,AC441*AA441*(N441/AD441)),IF(Settings!$B$6="Points",IF(AF441=0,0,AC441*(N441*AB441)/AF441),IF(Settings!$B$6="Equally",IF(AE441=0,0,AC441*N441/AE441),0))),0)</f>
        <v>0</v>
      </c>
      <c r="AH441" s="18" t="str">
        <f t="shared" si="61"/>
        <v/>
      </c>
      <c r="AI441" s="15">
        <f>IF(S441=1,IF(COUNTIFS($R$2:R441,R441,$S$2:S441,1)=1,1,0),0)</f>
        <v>0</v>
      </c>
      <c r="AJ441" s="15">
        <f>SUM($AI$2:AI441)</f>
        <v>12</v>
      </c>
    </row>
    <row r="442" spans="18:36">
      <c r="R442" s="15" t="str">
        <f t="shared" si="62"/>
        <v/>
      </c>
      <c r="S442" s="15">
        <f t="shared" si="54"/>
        <v>0</v>
      </c>
      <c r="T442" s="16" t="str">
        <f>IF(S442=1, DATE(YEAR(Settings!$B$3), MONTH(D442), DAY(D442)), "")</f>
        <v/>
      </c>
      <c r="U442" s="15" t="str">
        <f>IF(S442=1,IFERROR(INDEX(Settings!$B$12:$B$41,MATCH($B442,Settings!$A$12:$A$41,0)),"N"),"")</f>
        <v/>
      </c>
      <c r="V442" s="15" t="str">
        <f>IF(S442=1,IFERROR(INDEX(Settings!$C$12:$C$41,MATCH($B442,Settings!$A$12:$A$41,0)),""),"")</f>
        <v/>
      </c>
      <c r="W442" s="17">
        <f>IF(S442=1,IFERROR(INDEX(Settings!$D$12:$D$41,MATCH($B442,Settings!$A$12:$A$41,0)),0),0)</f>
        <v>0</v>
      </c>
      <c r="X442" s="18">
        <f t="shared" si="55"/>
        <v>0</v>
      </c>
      <c r="Y442" s="18" t="str">
        <f t="shared" si="56"/>
        <v/>
      </c>
      <c r="Z442" s="15" t="str">
        <f>IF(S442=1,IFERROR(INDEX(Settings!$E$12:$E$41,MATCH($B442,Settings!$A$12:$A$41,0)),"N"),"")</f>
        <v/>
      </c>
      <c r="AA442" s="17">
        <f>IF(S442=1,IFERROR(INDEX(Settings!$F$12:$F$41,MATCH($B442,Settings!$A$12:$A$41,0)),0),0)</f>
        <v>0</v>
      </c>
      <c r="AB442" s="15">
        <f>IF(S442=1,IFERROR(INDEX(Settings!$G$12:$G$41,MATCH($B442,Settings!$A$12:$A$41,0)),0),0)</f>
        <v>0</v>
      </c>
      <c r="AC442" s="18" t="str">
        <f t="shared" si="57"/>
        <v/>
      </c>
      <c r="AD442" s="15" t="str">
        <f t="shared" si="58"/>
        <v/>
      </c>
      <c r="AE442" s="15" t="str">
        <f t="shared" si="59"/>
        <v/>
      </c>
      <c r="AF442" s="15" t="str">
        <f t="shared" si="60"/>
        <v/>
      </c>
      <c r="AG442" s="18">
        <f>IF(AND(S442=1,Z442="Y"),IF(Settings!$B$6="Percentage",IF(AD442=0,0,AC442*AA442*(N442/AD442)),IF(Settings!$B$6="Points",IF(AF442=0,0,AC442*(N442*AB442)/AF442),IF(Settings!$B$6="Equally",IF(AE442=0,0,AC442*N442/AE442),0))),0)</f>
        <v>0</v>
      </c>
      <c r="AH442" s="18" t="str">
        <f t="shared" si="61"/>
        <v/>
      </c>
      <c r="AI442" s="15">
        <f>IF(S442=1,IF(COUNTIFS($R$2:R442,R442,$S$2:S442,1)=1,1,0),0)</f>
        <v>0</v>
      </c>
      <c r="AJ442" s="15">
        <f>SUM($AI$2:AI442)</f>
        <v>12</v>
      </c>
    </row>
    <row r="443" spans="18:36">
      <c r="R443" s="15" t="str">
        <f t="shared" si="62"/>
        <v/>
      </c>
      <c r="S443" s="15">
        <f t="shared" si="54"/>
        <v>0</v>
      </c>
      <c r="T443" s="16" t="str">
        <f>IF(S443=1, DATE(YEAR(Settings!$B$3), MONTH(D443), DAY(D443)), "")</f>
        <v/>
      </c>
      <c r="U443" s="15" t="str">
        <f>IF(S443=1,IFERROR(INDEX(Settings!$B$12:$B$41,MATCH($B443,Settings!$A$12:$A$41,0)),"N"),"")</f>
        <v/>
      </c>
      <c r="V443" s="15" t="str">
        <f>IF(S443=1,IFERROR(INDEX(Settings!$C$12:$C$41,MATCH($B443,Settings!$A$12:$A$41,0)),""),"")</f>
        <v/>
      </c>
      <c r="W443" s="17">
        <f>IF(S443=1,IFERROR(INDEX(Settings!$D$12:$D$41,MATCH($B443,Settings!$A$12:$A$41,0)),0),0)</f>
        <v>0</v>
      </c>
      <c r="X443" s="18">
        <f t="shared" si="55"/>
        <v>0</v>
      </c>
      <c r="Y443" s="18" t="str">
        <f t="shared" si="56"/>
        <v/>
      </c>
      <c r="Z443" s="15" t="str">
        <f>IF(S443=1,IFERROR(INDEX(Settings!$E$12:$E$41,MATCH($B443,Settings!$A$12:$A$41,0)),"N"),"")</f>
        <v/>
      </c>
      <c r="AA443" s="17">
        <f>IF(S443=1,IFERROR(INDEX(Settings!$F$12:$F$41,MATCH($B443,Settings!$A$12:$A$41,0)),0),0)</f>
        <v>0</v>
      </c>
      <c r="AB443" s="15">
        <f>IF(S443=1,IFERROR(INDEX(Settings!$G$12:$G$41,MATCH($B443,Settings!$A$12:$A$41,0)),0),0)</f>
        <v>0</v>
      </c>
      <c r="AC443" s="18" t="str">
        <f t="shared" si="57"/>
        <v/>
      </c>
      <c r="AD443" s="15" t="str">
        <f t="shared" si="58"/>
        <v/>
      </c>
      <c r="AE443" s="15" t="str">
        <f t="shared" si="59"/>
        <v/>
      </c>
      <c r="AF443" s="15" t="str">
        <f t="shared" si="60"/>
        <v/>
      </c>
      <c r="AG443" s="18">
        <f>IF(AND(S443=1,Z443="Y"),IF(Settings!$B$6="Percentage",IF(AD443=0,0,AC443*AA443*(N443/AD443)),IF(Settings!$B$6="Points",IF(AF443=0,0,AC443*(N443*AB443)/AF443),IF(Settings!$B$6="Equally",IF(AE443=0,0,AC443*N443/AE443),0))),0)</f>
        <v>0</v>
      </c>
      <c r="AH443" s="18" t="str">
        <f t="shared" si="61"/>
        <v/>
      </c>
      <c r="AI443" s="15">
        <f>IF(S443=1,IF(COUNTIFS($R$2:R443,R443,$S$2:S443,1)=1,1,0),0)</f>
        <v>0</v>
      </c>
      <c r="AJ443" s="15">
        <f>SUM($AI$2:AI443)</f>
        <v>12</v>
      </c>
    </row>
    <row r="444" spans="18:36">
      <c r="R444" s="15" t="str">
        <f t="shared" si="62"/>
        <v/>
      </c>
      <c r="S444" s="15">
        <f t="shared" si="54"/>
        <v>0</v>
      </c>
      <c r="T444" s="16" t="str">
        <f>IF(S444=1, DATE(YEAR(Settings!$B$3), MONTH(D444), DAY(D444)), "")</f>
        <v/>
      </c>
      <c r="U444" s="15" t="str">
        <f>IF(S444=1,IFERROR(INDEX(Settings!$B$12:$B$41,MATCH($B444,Settings!$A$12:$A$41,0)),"N"),"")</f>
        <v/>
      </c>
      <c r="V444" s="15" t="str">
        <f>IF(S444=1,IFERROR(INDEX(Settings!$C$12:$C$41,MATCH($B444,Settings!$A$12:$A$41,0)),""),"")</f>
        <v/>
      </c>
      <c r="W444" s="17">
        <f>IF(S444=1,IFERROR(INDEX(Settings!$D$12:$D$41,MATCH($B444,Settings!$A$12:$A$41,0)),0),0)</f>
        <v>0</v>
      </c>
      <c r="X444" s="18">
        <f t="shared" si="55"/>
        <v>0</v>
      </c>
      <c r="Y444" s="18" t="str">
        <f t="shared" si="56"/>
        <v/>
      </c>
      <c r="Z444" s="15" t="str">
        <f>IF(S444=1,IFERROR(INDEX(Settings!$E$12:$E$41,MATCH($B444,Settings!$A$12:$A$41,0)),"N"),"")</f>
        <v/>
      </c>
      <c r="AA444" s="17">
        <f>IF(S444=1,IFERROR(INDEX(Settings!$F$12:$F$41,MATCH($B444,Settings!$A$12:$A$41,0)),0),0)</f>
        <v>0</v>
      </c>
      <c r="AB444" s="15">
        <f>IF(S444=1,IFERROR(INDEX(Settings!$G$12:$G$41,MATCH($B444,Settings!$A$12:$A$41,0)),0),0)</f>
        <v>0</v>
      </c>
      <c r="AC444" s="18" t="str">
        <f t="shared" si="57"/>
        <v/>
      </c>
      <c r="AD444" s="15" t="str">
        <f t="shared" si="58"/>
        <v/>
      </c>
      <c r="AE444" s="15" t="str">
        <f t="shared" si="59"/>
        <v/>
      </c>
      <c r="AF444" s="15" t="str">
        <f t="shared" si="60"/>
        <v/>
      </c>
      <c r="AG444" s="18">
        <f>IF(AND(S444=1,Z444="Y"),IF(Settings!$B$6="Percentage",IF(AD444=0,0,AC444*AA444*(N444/AD444)),IF(Settings!$B$6="Points",IF(AF444=0,0,AC444*(N444*AB444)/AF444),IF(Settings!$B$6="Equally",IF(AE444=0,0,AC444*N444/AE444),0))),0)</f>
        <v>0</v>
      </c>
      <c r="AH444" s="18" t="str">
        <f t="shared" si="61"/>
        <v/>
      </c>
      <c r="AI444" s="15">
        <f>IF(S444=1,IF(COUNTIFS($R$2:R444,R444,$S$2:S444,1)=1,1,0),0)</f>
        <v>0</v>
      </c>
      <c r="AJ444" s="15">
        <f>SUM($AI$2:AI444)</f>
        <v>12</v>
      </c>
    </row>
    <row r="445" spans="18:36">
      <c r="R445" s="15" t="str">
        <f t="shared" si="62"/>
        <v/>
      </c>
      <c r="S445" s="15">
        <f t="shared" si="54"/>
        <v>0</v>
      </c>
      <c r="T445" s="16" t="str">
        <f>IF(S445=1, DATE(YEAR(Settings!$B$3), MONTH(D445), DAY(D445)), "")</f>
        <v/>
      </c>
      <c r="U445" s="15" t="str">
        <f>IF(S445=1,IFERROR(INDEX(Settings!$B$12:$B$41,MATCH($B445,Settings!$A$12:$A$41,0)),"N"),"")</f>
        <v/>
      </c>
      <c r="V445" s="15" t="str">
        <f>IF(S445=1,IFERROR(INDEX(Settings!$C$12:$C$41,MATCH($B445,Settings!$A$12:$A$41,0)),""),"")</f>
        <v/>
      </c>
      <c r="W445" s="17">
        <f>IF(S445=1,IFERROR(INDEX(Settings!$D$12:$D$41,MATCH($B445,Settings!$A$12:$A$41,0)),0),0)</f>
        <v>0</v>
      </c>
      <c r="X445" s="18">
        <f t="shared" si="55"/>
        <v>0</v>
      </c>
      <c r="Y445" s="18" t="str">
        <f t="shared" si="56"/>
        <v/>
      </c>
      <c r="Z445" s="15" t="str">
        <f>IF(S445=1,IFERROR(INDEX(Settings!$E$12:$E$41,MATCH($B445,Settings!$A$12:$A$41,0)),"N"),"")</f>
        <v/>
      </c>
      <c r="AA445" s="17">
        <f>IF(S445=1,IFERROR(INDEX(Settings!$F$12:$F$41,MATCH($B445,Settings!$A$12:$A$41,0)),0),0)</f>
        <v>0</v>
      </c>
      <c r="AB445" s="15">
        <f>IF(S445=1,IFERROR(INDEX(Settings!$G$12:$G$41,MATCH($B445,Settings!$A$12:$A$41,0)),0),0)</f>
        <v>0</v>
      </c>
      <c r="AC445" s="18" t="str">
        <f t="shared" si="57"/>
        <v/>
      </c>
      <c r="AD445" s="15" t="str">
        <f t="shared" si="58"/>
        <v/>
      </c>
      <c r="AE445" s="15" t="str">
        <f t="shared" si="59"/>
        <v/>
      </c>
      <c r="AF445" s="15" t="str">
        <f t="shared" si="60"/>
        <v/>
      </c>
      <c r="AG445" s="18">
        <f>IF(AND(S445=1,Z445="Y"),IF(Settings!$B$6="Percentage",IF(AD445=0,0,AC445*AA445*(N445/AD445)),IF(Settings!$B$6="Points",IF(AF445=0,0,AC445*(N445*AB445)/AF445),IF(Settings!$B$6="Equally",IF(AE445=0,0,AC445*N445/AE445),0))),0)</f>
        <v>0</v>
      </c>
      <c r="AH445" s="18" t="str">
        <f t="shared" si="61"/>
        <v/>
      </c>
      <c r="AI445" s="15">
        <f>IF(S445=1,IF(COUNTIFS($R$2:R445,R445,$S$2:S445,1)=1,1,0),0)</f>
        <v>0</v>
      </c>
      <c r="AJ445" s="15">
        <f>SUM($AI$2:AI445)</f>
        <v>12</v>
      </c>
    </row>
    <row r="446" spans="18:36">
      <c r="R446" s="15" t="str">
        <f t="shared" si="62"/>
        <v/>
      </c>
      <c r="S446" s="15">
        <f t="shared" si="54"/>
        <v>0</v>
      </c>
      <c r="T446" s="16" t="str">
        <f>IF(S446=1, DATE(YEAR(Settings!$B$3), MONTH(D446), DAY(D446)), "")</f>
        <v/>
      </c>
      <c r="U446" s="15" t="str">
        <f>IF(S446=1,IFERROR(INDEX(Settings!$B$12:$B$41,MATCH($B446,Settings!$A$12:$A$41,0)),"N"),"")</f>
        <v/>
      </c>
      <c r="V446" s="15" t="str">
        <f>IF(S446=1,IFERROR(INDEX(Settings!$C$12:$C$41,MATCH($B446,Settings!$A$12:$A$41,0)),""),"")</f>
        <v/>
      </c>
      <c r="W446" s="17">
        <f>IF(S446=1,IFERROR(INDEX(Settings!$D$12:$D$41,MATCH($B446,Settings!$A$12:$A$41,0)),0),0)</f>
        <v>0</v>
      </c>
      <c r="X446" s="18">
        <f t="shared" si="55"/>
        <v>0</v>
      </c>
      <c r="Y446" s="18" t="str">
        <f t="shared" si="56"/>
        <v/>
      </c>
      <c r="Z446" s="15" t="str">
        <f>IF(S446=1,IFERROR(INDEX(Settings!$E$12:$E$41,MATCH($B446,Settings!$A$12:$A$41,0)),"N"),"")</f>
        <v/>
      </c>
      <c r="AA446" s="17">
        <f>IF(S446=1,IFERROR(INDEX(Settings!$F$12:$F$41,MATCH($B446,Settings!$A$12:$A$41,0)),0),0)</f>
        <v>0</v>
      </c>
      <c r="AB446" s="15">
        <f>IF(S446=1,IFERROR(INDEX(Settings!$G$12:$G$41,MATCH($B446,Settings!$A$12:$A$41,0)),0),0)</f>
        <v>0</v>
      </c>
      <c r="AC446" s="18" t="str">
        <f t="shared" si="57"/>
        <v/>
      </c>
      <c r="AD446" s="15" t="str">
        <f t="shared" si="58"/>
        <v/>
      </c>
      <c r="AE446" s="15" t="str">
        <f t="shared" si="59"/>
        <v/>
      </c>
      <c r="AF446" s="15" t="str">
        <f t="shared" si="60"/>
        <v/>
      </c>
      <c r="AG446" s="18">
        <f>IF(AND(S446=1,Z446="Y"),IF(Settings!$B$6="Percentage",IF(AD446=0,0,AC446*AA446*(N446/AD446)),IF(Settings!$B$6="Points",IF(AF446=0,0,AC446*(N446*AB446)/AF446),IF(Settings!$B$6="Equally",IF(AE446=0,0,AC446*N446/AE446),0))),0)</f>
        <v>0</v>
      </c>
      <c r="AH446" s="18" t="str">
        <f t="shared" si="61"/>
        <v/>
      </c>
      <c r="AI446" s="15">
        <f>IF(S446=1,IF(COUNTIFS($R$2:R446,R446,$S$2:S446,1)=1,1,0),0)</f>
        <v>0</v>
      </c>
      <c r="AJ446" s="15">
        <f>SUM($AI$2:AI446)</f>
        <v>12</v>
      </c>
    </row>
    <row r="447" spans="18:36">
      <c r="R447" s="15" t="str">
        <f t="shared" si="62"/>
        <v/>
      </c>
      <c r="S447" s="15">
        <f t="shared" si="54"/>
        <v>0</v>
      </c>
      <c r="T447" s="16" t="str">
        <f>IF(S447=1, DATE(YEAR(Settings!$B$3), MONTH(D447), DAY(D447)), "")</f>
        <v/>
      </c>
      <c r="U447" s="15" t="str">
        <f>IF(S447=1,IFERROR(INDEX(Settings!$B$12:$B$41,MATCH($B447,Settings!$A$12:$A$41,0)),"N"),"")</f>
        <v/>
      </c>
      <c r="V447" s="15" t="str">
        <f>IF(S447=1,IFERROR(INDEX(Settings!$C$12:$C$41,MATCH($B447,Settings!$A$12:$A$41,0)),""),"")</f>
        <v/>
      </c>
      <c r="W447" s="17">
        <f>IF(S447=1,IFERROR(INDEX(Settings!$D$12:$D$41,MATCH($B447,Settings!$A$12:$A$41,0)),0),0)</f>
        <v>0</v>
      </c>
      <c r="X447" s="18">
        <f t="shared" si="55"/>
        <v>0</v>
      </c>
      <c r="Y447" s="18" t="str">
        <f t="shared" si="56"/>
        <v/>
      </c>
      <c r="Z447" s="15" t="str">
        <f>IF(S447=1,IFERROR(INDEX(Settings!$E$12:$E$41,MATCH($B447,Settings!$A$12:$A$41,0)),"N"),"")</f>
        <v/>
      </c>
      <c r="AA447" s="17">
        <f>IF(S447=1,IFERROR(INDEX(Settings!$F$12:$F$41,MATCH($B447,Settings!$A$12:$A$41,0)),0),0)</f>
        <v>0</v>
      </c>
      <c r="AB447" s="15">
        <f>IF(S447=1,IFERROR(INDEX(Settings!$G$12:$G$41,MATCH($B447,Settings!$A$12:$A$41,0)),0),0)</f>
        <v>0</v>
      </c>
      <c r="AC447" s="18" t="str">
        <f t="shared" si="57"/>
        <v/>
      </c>
      <c r="AD447" s="15" t="str">
        <f t="shared" si="58"/>
        <v/>
      </c>
      <c r="AE447" s="15" t="str">
        <f t="shared" si="59"/>
        <v/>
      </c>
      <c r="AF447" s="15" t="str">
        <f t="shared" si="60"/>
        <v/>
      </c>
      <c r="AG447" s="18">
        <f>IF(AND(S447=1,Z447="Y"),IF(Settings!$B$6="Percentage",IF(AD447=0,0,AC447*AA447*(N447/AD447)),IF(Settings!$B$6="Points",IF(AF447=0,0,AC447*(N447*AB447)/AF447),IF(Settings!$B$6="Equally",IF(AE447=0,0,AC447*N447/AE447),0))),0)</f>
        <v>0</v>
      </c>
      <c r="AH447" s="18" t="str">
        <f t="shared" si="61"/>
        <v/>
      </c>
      <c r="AI447" s="15">
        <f>IF(S447=1,IF(COUNTIFS($R$2:R447,R447,$S$2:S447,1)=1,1,0),0)</f>
        <v>0</v>
      </c>
      <c r="AJ447" s="15">
        <f>SUM($AI$2:AI447)</f>
        <v>12</v>
      </c>
    </row>
    <row r="448" spans="18:36">
      <c r="R448" s="15" t="str">
        <f t="shared" si="62"/>
        <v/>
      </c>
      <c r="S448" s="15">
        <f t="shared" si="54"/>
        <v>0</v>
      </c>
      <c r="T448" s="16" t="str">
        <f>IF(S448=1, DATE(YEAR(Settings!$B$3), MONTH(D448), DAY(D448)), "")</f>
        <v/>
      </c>
      <c r="U448" s="15" t="str">
        <f>IF(S448=1,IFERROR(INDEX(Settings!$B$12:$B$41,MATCH($B448,Settings!$A$12:$A$41,0)),"N"),"")</f>
        <v/>
      </c>
      <c r="V448" s="15" t="str">
        <f>IF(S448=1,IFERROR(INDEX(Settings!$C$12:$C$41,MATCH($B448,Settings!$A$12:$A$41,0)),""),"")</f>
        <v/>
      </c>
      <c r="W448" s="17">
        <f>IF(S448=1,IFERROR(INDEX(Settings!$D$12:$D$41,MATCH($B448,Settings!$A$12:$A$41,0)),0),0)</f>
        <v>0</v>
      </c>
      <c r="X448" s="18">
        <f t="shared" si="55"/>
        <v>0</v>
      </c>
      <c r="Y448" s="18" t="str">
        <f t="shared" si="56"/>
        <v/>
      </c>
      <c r="Z448" s="15" t="str">
        <f>IF(S448=1,IFERROR(INDEX(Settings!$E$12:$E$41,MATCH($B448,Settings!$A$12:$A$41,0)),"N"),"")</f>
        <v/>
      </c>
      <c r="AA448" s="17">
        <f>IF(S448=1,IFERROR(INDEX(Settings!$F$12:$F$41,MATCH($B448,Settings!$A$12:$A$41,0)),0),0)</f>
        <v>0</v>
      </c>
      <c r="AB448" s="15">
        <f>IF(S448=1,IFERROR(INDEX(Settings!$G$12:$G$41,MATCH($B448,Settings!$A$12:$A$41,0)),0),0)</f>
        <v>0</v>
      </c>
      <c r="AC448" s="18" t="str">
        <f t="shared" si="57"/>
        <v/>
      </c>
      <c r="AD448" s="15" t="str">
        <f t="shared" si="58"/>
        <v/>
      </c>
      <c r="AE448" s="15" t="str">
        <f t="shared" si="59"/>
        <v/>
      </c>
      <c r="AF448" s="15" t="str">
        <f t="shared" si="60"/>
        <v/>
      </c>
      <c r="AG448" s="18">
        <f>IF(AND(S448=1,Z448="Y"),IF(Settings!$B$6="Percentage",IF(AD448=0,0,AC448*AA448*(N448/AD448)),IF(Settings!$B$6="Points",IF(AF448=0,0,AC448*(N448*AB448)/AF448),IF(Settings!$B$6="Equally",IF(AE448=0,0,AC448*N448/AE448),0))),0)</f>
        <v>0</v>
      </c>
      <c r="AH448" s="18" t="str">
        <f t="shared" si="61"/>
        <v/>
      </c>
      <c r="AI448" s="15">
        <f>IF(S448=1,IF(COUNTIFS($R$2:R448,R448,$S$2:S448,1)=1,1,0),0)</f>
        <v>0</v>
      </c>
      <c r="AJ448" s="15">
        <f>SUM($AI$2:AI448)</f>
        <v>12</v>
      </c>
    </row>
    <row r="449" spans="18:36">
      <c r="R449" s="15" t="str">
        <f t="shared" si="62"/>
        <v/>
      </c>
      <c r="S449" s="15">
        <f t="shared" si="54"/>
        <v>0</v>
      </c>
      <c r="T449" s="16" t="str">
        <f>IF(S449=1, DATE(YEAR(Settings!$B$3), MONTH(D449), DAY(D449)), "")</f>
        <v/>
      </c>
      <c r="U449" s="15" t="str">
        <f>IF(S449=1,IFERROR(INDEX(Settings!$B$12:$B$41,MATCH($B449,Settings!$A$12:$A$41,0)),"N"),"")</f>
        <v/>
      </c>
      <c r="V449" s="15" t="str">
        <f>IF(S449=1,IFERROR(INDEX(Settings!$C$12:$C$41,MATCH($B449,Settings!$A$12:$A$41,0)),""),"")</f>
        <v/>
      </c>
      <c r="W449" s="17">
        <f>IF(S449=1,IFERROR(INDEX(Settings!$D$12:$D$41,MATCH($B449,Settings!$A$12:$A$41,0)),0),0)</f>
        <v>0</v>
      </c>
      <c r="X449" s="18">
        <f t="shared" si="55"/>
        <v>0</v>
      </c>
      <c r="Y449" s="18" t="str">
        <f t="shared" si="56"/>
        <v/>
      </c>
      <c r="Z449" s="15" t="str">
        <f>IF(S449=1,IFERROR(INDEX(Settings!$E$12:$E$41,MATCH($B449,Settings!$A$12:$A$41,0)),"N"),"")</f>
        <v/>
      </c>
      <c r="AA449" s="17">
        <f>IF(S449=1,IFERROR(INDEX(Settings!$F$12:$F$41,MATCH($B449,Settings!$A$12:$A$41,0)),0),0)</f>
        <v>0</v>
      </c>
      <c r="AB449" s="15">
        <f>IF(S449=1,IFERROR(INDEX(Settings!$G$12:$G$41,MATCH($B449,Settings!$A$12:$A$41,0)),0),0)</f>
        <v>0</v>
      </c>
      <c r="AC449" s="18" t="str">
        <f t="shared" si="57"/>
        <v/>
      </c>
      <c r="AD449" s="15" t="str">
        <f t="shared" si="58"/>
        <v/>
      </c>
      <c r="AE449" s="15" t="str">
        <f t="shared" si="59"/>
        <v/>
      </c>
      <c r="AF449" s="15" t="str">
        <f t="shared" si="60"/>
        <v/>
      </c>
      <c r="AG449" s="18">
        <f>IF(AND(S449=1,Z449="Y"),IF(Settings!$B$6="Percentage",IF(AD449=0,0,AC449*AA449*(N449/AD449)),IF(Settings!$B$6="Points",IF(AF449=0,0,AC449*(N449*AB449)/AF449),IF(Settings!$B$6="Equally",IF(AE449=0,0,AC449*N449/AE449),0))),0)</f>
        <v>0</v>
      </c>
      <c r="AH449" s="18" t="str">
        <f t="shared" si="61"/>
        <v/>
      </c>
      <c r="AI449" s="15">
        <f>IF(S449=1,IF(COUNTIFS($R$2:R449,R449,$S$2:S449,1)=1,1,0),0)</f>
        <v>0</v>
      </c>
      <c r="AJ449" s="15">
        <f>SUM($AI$2:AI449)</f>
        <v>12</v>
      </c>
    </row>
    <row r="450" spans="18:36">
      <c r="R450" s="15" t="str">
        <f t="shared" si="62"/>
        <v/>
      </c>
      <c r="S450" s="15">
        <f t="shared" ref="S450:S513" si="63">IF(AND(D450&lt;&gt;"",A450&lt;&gt;"Total"),1,0)</f>
        <v>0</v>
      </c>
      <c r="T450" s="16" t="str">
        <f>IF(S450=1, DATE(YEAR(Settings!$B$3), MONTH(D450), DAY(D450)), "")</f>
        <v/>
      </c>
      <c r="U450" s="15" t="str">
        <f>IF(S450=1,IFERROR(INDEX(Settings!$B$12:$B$41,MATCH($B450,Settings!$A$12:$A$41,0)),"N"),"")</f>
        <v/>
      </c>
      <c r="V450" s="15" t="str">
        <f>IF(S450=1,IFERROR(INDEX(Settings!$C$12:$C$41,MATCH($B450,Settings!$A$12:$A$41,0)),""),"")</f>
        <v/>
      </c>
      <c r="W450" s="17">
        <f>IF(S450=1,IFERROR(INDEX(Settings!$D$12:$D$41,MATCH($B450,Settings!$A$12:$A$41,0)),0),0)</f>
        <v>0</v>
      </c>
      <c r="X450" s="18">
        <f t="shared" ref="X450:X513" si="64">IF(AND(S450=1,U450="Y"),IF(V450="% of Sales",O450*W450,IF(V450="% of Tips",P450*W450,0)),0)</f>
        <v>0</v>
      </c>
      <c r="Y450" s="18" t="str">
        <f t="shared" ref="Y450:Y513" si="65">IF(S450=1,P450-X450,"")</f>
        <v/>
      </c>
      <c r="Z450" s="15" t="str">
        <f>IF(S450=1,IFERROR(INDEX(Settings!$E$12:$E$41,MATCH($B450,Settings!$A$12:$A$41,0)),"N"),"")</f>
        <v/>
      </c>
      <c r="AA450" s="17">
        <f>IF(S450=1,IFERROR(INDEX(Settings!$F$12:$F$41,MATCH($B450,Settings!$A$12:$A$41,0)),0),0)</f>
        <v>0</v>
      </c>
      <c r="AB450" s="15">
        <f>IF(S450=1,IFERROR(INDEX(Settings!$G$12:$G$41,MATCH($B450,Settings!$A$12:$A$41,0)),0),0)</f>
        <v>0</v>
      </c>
      <c r="AC450" s="18" t="str">
        <f t="shared" ref="AC450:AC513" si="66">IF(S450=1,SUMIFS($X$2:$X$601,$S$2:$S$601,1,$T$2:$T$601,T450),"")</f>
        <v/>
      </c>
      <c r="AD450" s="15" t="str">
        <f t="shared" ref="AD450:AD513" si="67">IF(S450=1,SUMIFS($N$2:$N$601,$S$2:$S$601,1,$T$2:$T$601,T450,$B$2:$B$601,B450),"")</f>
        <v/>
      </c>
      <c r="AE450" s="15" t="str">
        <f t="shared" ref="AE450:AE513" si="68">IF(S450=1,SUMIFS($N$2:$N$601,$S$2:$S$601,1,$T$2:$T$601,T450,$Z$2:$Z$601,"Y"),"")</f>
        <v/>
      </c>
      <c r="AF450" s="15" t="str">
        <f t="shared" ref="AF450:AF513" si="69">IF(S450=1,SUMPRODUCT(($S$2:$S$601=1)*($T$2:$T$601=T450)*($Z$2:$Z$601="Y")*($N$2:$N$601)*($AB$2:$AB$601)),"")</f>
        <v/>
      </c>
      <c r="AG450" s="18">
        <f>IF(AND(S450=1,Z450="Y"),IF(Settings!$B$6="Percentage",IF(AD450=0,0,AC450*AA450*(N450/AD450)),IF(Settings!$B$6="Points",IF(AF450=0,0,AC450*(N450*AB450)/AF450),IF(Settings!$B$6="Equally",IF(AE450=0,0,AC450*N450/AE450),0))),0)</f>
        <v>0</v>
      </c>
      <c r="AH450" s="18" t="str">
        <f t="shared" ref="AH450:AH513" si="70">IF(S450=1,Y450+AG450,"")</f>
        <v/>
      </c>
      <c r="AI450" s="15">
        <f>IF(S450=1,IF(COUNTIFS($R$2:R450,R450,$S$2:S450,1)=1,1,0),0)</f>
        <v>0</v>
      </c>
      <c r="AJ450" s="15">
        <f>SUM($AI$2:AI450)</f>
        <v>12</v>
      </c>
    </row>
    <row r="451" spans="18:36">
      <c r="R451" s="15" t="str">
        <f t="shared" ref="R451:R514" si="71">IF(A451&lt;&gt;"",IF(A451="Total","",A451),IF(D451&lt;&gt;"",R450,""))</f>
        <v/>
      </c>
      <c r="S451" s="15">
        <f t="shared" si="63"/>
        <v>0</v>
      </c>
      <c r="T451" s="16" t="str">
        <f>IF(S451=1, DATE(YEAR(Settings!$B$3), MONTH(D451), DAY(D451)), "")</f>
        <v/>
      </c>
      <c r="U451" s="15" t="str">
        <f>IF(S451=1,IFERROR(INDEX(Settings!$B$12:$B$41,MATCH($B451,Settings!$A$12:$A$41,0)),"N"),"")</f>
        <v/>
      </c>
      <c r="V451" s="15" t="str">
        <f>IF(S451=1,IFERROR(INDEX(Settings!$C$12:$C$41,MATCH($B451,Settings!$A$12:$A$41,0)),""),"")</f>
        <v/>
      </c>
      <c r="W451" s="17">
        <f>IF(S451=1,IFERROR(INDEX(Settings!$D$12:$D$41,MATCH($B451,Settings!$A$12:$A$41,0)),0),0)</f>
        <v>0</v>
      </c>
      <c r="X451" s="18">
        <f t="shared" si="64"/>
        <v>0</v>
      </c>
      <c r="Y451" s="18" t="str">
        <f t="shared" si="65"/>
        <v/>
      </c>
      <c r="Z451" s="15" t="str">
        <f>IF(S451=1,IFERROR(INDEX(Settings!$E$12:$E$41,MATCH($B451,Settings!$A$12:$A$41,0)),"N"),"")</f>
        <v/>
      </c>
      <c r="AA451" s="17">
        <f>IF(S451=1,IFERROR(INDEX(Settings!$F$12:$F$41,MATCH($B451,Settings!$A$12:$A$41,0)),0),0)</f>
        <v>0</v>
      </c>
      <c r="AB451" s="15">
        <f>IF(S451=1,IFERROR(INDEX(Settings!$G$12:$G$41,MATCH($B451,Settings!$A$12:$A$41,0)),0),0)</f>
        <v>0</v>
      </c>
      <c r="AC451" s="18" t="str">
        <f t="shared" si="66"/>
        <v/>
      </c>
      <c r="AD451" s="15" t="str">
        <f t="shared" si="67"/>
        <v/>
      </c>
      <c r="AE451" s="15" t="str">
        <f t="shared" si="68"/>
        <v/>
      </c>
      <c r="AF451" s="15" t="str">
        <f t="shared" si="69"/>
        <v/>
      </c>
      <c r="AG451" s="18">
        <f>IF(AND(S451=1,Z451="Y"),IF(Settings!$B$6="Percentage",IF(AD451=0,0,AC451*AA451*(N451/AD451)),IF(Settings!$B$6="Points",IF(AF451=0,0,AC451*(N451*AB451)/AF451),IF(Settings!$B$6="Equally",IF(AE451=0,0,AC451*N451/AE451),0))),0)</f>
        <v>0</v>
      </c>
      <c r="AH451" s="18" t="str">
        <f t="shared" si="70"/>
        <v/>
      </c>
      <c r="AI451" s="15">
        <f>IF(S451=1,IF(COUNTIFS($R$2:R451,R451,$S$2:S451,1)=1,1,0),0)</f>
        <v>0</v>
      </c>
      <c r="AJ451" s="15">
        <f>SUM($AI$2:AI451)</f>
        <v>12</v>
      </c>
    </row>
    <row r="452" spans="18:36">
      <c r="R452" s="15" t="str">
        <f t="shared" si="71"/>
        <v/>
      </c>
      <c r="S452" s="15">
        <f t="shared" si="63"/>
        <v>0</v>
      </c>
      <c r="T452" s="16" t="str">
        <f>IF(S452=1, DATE(YEAR(Settings!$B$3), MONTH(D452), DAY(D452)), "")</f>
        <v/>
      </c>
      <c r="U452" s="15" t="str">
        <f>IF(S452=1,IFERROR(INDEX(Settings!$B$12:$B$41,MATCH($B452,Settings!$A$12:$A$41,0)),"N"),"")</f>
        <v/>
      </c>
      <c r="V452" s="15" t="str">
        <f>IF(S452=1,IFERROR(INDEX(Settings!$C$12:$C$41,MATCH($B452,Settings!$A$12:$A$41,0)),""),"")</f>
        <v/>
      </c>
      <c r="W452" s="17">
        <f>IF(S452=1,IFERROR(INDEX(Settings!$D$12:$D$41,MATCH($B452,Settings!$A$12:$A$41,0)),0),0)</f>
        <v>0</v>
      </c>
      <c r="X452" s="18">
        <f t="shared" si="64"/>
        <v>0</v>
      </c>
      <c r="Y452" s="18" t="str">
        <f t="shared" si="65"/>
        <v/>
      </c>
      <c r="Z452" s="15" t="str">
        <f>IF(S452=1,IFERROR(INDEX(Settings!$E$12:$E$41,MATCH($B452,Settings!$A$12:$A$41,0)),"N"),"")</f>
        <v/>
      </c>
      <c r="AA452" s="17">
        <f>IF(S452=1,IFERROR(INDEX(Settings!$F$12:$F$41,MATCH($B452,Settings!$A$12:$A$41,0)),0),0)</f>
        <v>0</v>
      </c>
      <c r="AB452" s="15">
        <f>IF(S452=1,IFERROR(INDEX(Settings!$G$12:$G$41,MATCH($B452,Settings!$A$12:$A$41,0)),0),0)</f>
        <v>0</v>
      </c>
      <c r="AC452" s="18" t="str">
        <f t="shared" si="66"/>
        <v/>
      </c>
      <c r="AD452" s="15" t="str">
        <f t="shared" si="67"/>
        <v/>
      </c>
      <c r="AE452" s="15" t="str">
        <f t="shared" si="68"/>
        <v/>
      </c>
      <c r="AF452" s="15" t="str">
        <f t="shared" si="69"/>
        <v/>
      </c>
      <c r="AG452" s="18">
        <f>IF(AND(S452=1,Z452="Y"),IF(Settings!$B$6="Percentage",IF(AD452=0,0,AC452*AA452*(N452/AD452)),IF(Settings!$B$6="Points",IF(AF452=0,0,AC452*(N452*AB452)/AF452),IF(Settings!$B$6="Equally",IF(AE452=0,0,AC452*N452/AE452),0))),0)</f>
        <v>0</v>
      </c>
      <c r="AH452" s="18" t="str">
        <f t="shared" si="70"/>
        <v/>
      </c>
      <c r="AI452" s="15">
        <f>IF(S452=1,IF(COUNTIFS($R$2:R452,R452,$S$2:S452,1)=1,1,0),0)</f>
        <v>0</v>
      </c>
      <c r="AJ452" s="15">
        <f>SUM($AI$2:AI452)</f>
        <v>12</v>
      </c>
    </row>
    <row r="453" spans="18:36">
      <c r="R453" s="15" t="str">
        <f t="shared" si="71"/>
        <v/>
      </c>
      <c r="S453" s="15">
        <f t="shared" si="63"/>
        <v>0</v>
      </c>
      <c r="T453" s="16" t="str">
        <f>IF(S453=1, DATE(YEAR(Settings!$B$3), MONTH(D453), DAY(D453)), "")</f>
        <v/>
      </c>
      <c r="U453" s="15" t="str">
        <f>IF(S453=1,IFERROR(INDEX(Settings!$B$12:$B$41,MATCH($B453,Settings!$A$12:$A$41,0)),"N"),"")</f>
        <v/>
      </c>
      <c r="V453" s="15" t="str">
        <f>IF(S453=1,IFERROR(INDEX(Settings!$C$12:$C$41,MATCH($B453,Settings!$A$12:$A$41,0)),""),"")</f>
        <v/>
      </c>
      <c r="W453" s="17">
        <f>IF(S453=1,IFERROR(INDEX(Settings!$D$12:$D$41,MATCH($B453,Settings!$A$12:$A$41,0)),0),0)</f>
        <v>0</v>
      </c>
      <c r="X453" s="18">
        <f t="shared" si="64"/>
        <v>0</v>
      </c>
      <c r="Y453" s="18" t="str">
        <f t="shared" si="65"/>
        <v/>
      </c>
      <c r="Z453" s="15" t="str">
        <f>IF(S453=1,IFERROR(INDEX(Settings!$E$12:$E$41,MATCH($B453,Settings!$A$12:$A$41,0)),"N"),"")</f>
        <v/>
      </c>
      <c r="AA453" s="17">
        <f>IF(S453=1,IFERROR(INDEX(Settings!$F$12:$F$41,MATCH($B453,Settings!$A$12:$A$41,0)),0),0)</f>
        <v>0</v>
      </c>
      <c r="AB453" s="15">
        <f>IF(S453=1,IFERROR(INDEX(Settings!$G$12:$G$41,MATCH($B453,Settings!$A$12:$A$41,0)),0),0)</f>
        <v>0</v>
      </c>
      <c r="AC453" s="18" t="str">
        <f t="shared" si="66"/>
        <v/>
      </c>
      <c r="AD453" s="15" t="str">
        <f t="shared" si="67"/>
        <v/>
      </c>
      <c r="AE453" s="15" t="str">
        <f t="shared" si="68"/>
        <v/>
      </c>
      <c r="AF453" s="15" t="str">
        <f t="shared" si="69"/>
        <v/>
      </c>
      <c r="AG453" s="18">
        <f>IF(AND(S453=1,Z453="Y"),IF(Settings!$B$6="Percentage",IF(AD453=0,0,AC453*AA453*(N453/AD453)),IF(Settings!$B$6="Points",IF(AF453=0,0,AC453*(N453*AB453)/AF453),IF(Settings!$B$6="Equally",IF(AE453=0,0,AC453*N453/AE453),0))),0)</f>
        <v>0</v>
      </c>
      <c r="AH453" s="18" t="str">
        <f t="shared" si="70"/>
        <v/>
      </c>
      <c r="AI453" s="15">
        <f>IF(S453=1,IF(COUNTIFS($R$2:R453,R453,$S$2:S453,1)=1,1,0),0)</f>
        <v>0</v>
      </c>
      <c r="AJ453" s="15">
        <f>SUM($AI$2:AI453)</f>
        <v>12</v>
      </c>
    </row>
    <row r="454" spans="18:36">
      <c r="R454" s="15" t="str">
        <f t="shared" si="71"/>
        <v/>
      </c>
      <c r="S454" s="15">
        <f t="shared" si="63"/>
        <v>0</v>
      </c>
      <c r="T454" s="16" t="str">
        <f>IF(S454=1, DATE(YEAR(Settings!$B$3), MONTH(D454), DAY(D454)), "")</f>
        <v/>
      </c>
      <c r="U454" s="15" t="str">
        <f>IF(S454=1,IFERROR(INDEX(Settings!$B$12:$B$41,MATCH($B454,Settings!$A$12:$A$41,0)),"N"),"")</f>
        <v/>
      </c>
      <c r="V454" s="15" t="str">
        <f>IF(S454=1,IFERROR(INDEX(Settings!$C$12:$C$41,MATCH($B454,Settings!$A$12:$A$41,0)),""),"")</f>
        <v/>
      </c>
      <c r="W454" s="17">
        <f>IF(S454=1,IFERROR(INDEX(Settings!$D$12:$D$41,MATCH($B454,Settings!$A$12:$A$41,0)),0),0)</f>
        <v>0</v>
      </c>
      <c r="X454" s="18">
        <f t="shared" si="64"/>
        <v>0</v>
      </c>
      <c r="Y454" s="18" t="str">
        <f t="shared" si="65"/>
        <v/>
      </c>
      <c r="Z454" s="15" t="str">
        <f>IF(S454=1,IFERROR(INDEX(Settings!$E$12:$E$41,MATCH($B454,Settings!$A$12:$A$41,0)),"N"),"")</f>
        <v/>
      </c>
      <c r="AA454" s="17">
        <f>IF(S454=1,IFERROR(INDEX(Settings!$F$12:$F$41,MATCH($B454,Settings!$A$12:$A$41,0)),0),0)</f>
        <v>0</v>
      </c>
      <c r="AB454" s="15">
        <f>IF(S454=1,IFERROR(INDEX(Settings!$G$12:$G$41,MATCH($B454,Settings!$A$12:$A$41,0)),0),0)</f>
        <v>0</v>
      </c>
      <c r="AC454" s="18" t="str">
        <f t="shared" si="66"/>
        <v/>
      </c>
      <c r="AD454" s="15" t="str">
        <f t="shared" si="67"/>
        <v/>
      </c>
      <c r="AE454" s="15" t="str">
        <f t="shared" si="68"/>
        <v/>
      </c>
      <c r="AF454" s="15" t="str">
        <f t="shared" si="69"/>
        <v/>
      </c>
      <c r="AG454" s="18">
        <f>IF(AND(S454=1,Z454="Y"),IF(Settings!$B$6="Percentage",IF(AD454=0,0,AC454*AA454*(N454/AD454)),IF(Settings!$B$6="Points",IF(AF454=0,0,AC454*(N454*AB454)/AF454),IF(Settings!$B$6="Equally",IF(AE454=0,0,AC454*N454/AE454),0))),0)</f>
        <v>0</v>
      </c>
      <c r="AH454" s="18" t="str">
        <f t="shared" si="70"/>
        <v/>
      </c>
      <c r="AI454" s="15">
        <f>IF(S454=1,IF(COUNTIFS($R$2:R454,R454,$S$2:S454,1)=1,1,0),0)</f>
        <v>0</v>
      </c>
      <c r="AJ454" s="15">
        <f>SUM($AI$2:AI454)</f>
        <v>12</v>
      </c>
    </row>
    <row r="455" spans="18:36">
      <c r="R455" s="15" t="str">
        <f t="shared" si="71"/>
        <v/>
      </c>
      <c r="S455" s="15">
        <f t="shared" si="63"/>
        <v>0</v>
      </c>
      <c r="T455" s="16" t="str">
        <f>IF(S455=1, DATE(YEAR(Settings!$B$3), MONTH(D455), DAY(D455)), "")</f>
        <v/>
      </c>
      <c r="U455" s="15" t="str">
        <f>IF(S455=1,IFERROR(INDEX(Settings!$B$12:$B$41,MATCH($B455,Settings!$A$12:$A$41,0)),"N"),"")</f>
        <v/>
      </c>
      <c r="V455" s="15" t="str">
        <f>IF(S455=1,IFERROR(INDEX(Settings!$C$12:$C$41,MATCH($B455,Settings!$A$12:$A$41,0)),""),"")</f>
        <v/>
      </c>
      <c r="W455" s="17">
        <f>IF(S455=1,IFERROR(INDEX(Settings!$D$12:$D$41,MATCH($B455,Settings!$A$12:$A$41,0)),0),0)</f>
        <v>0</v>
      </c>
      <c r="X455" s="18">
        <f t="shared" si="64"/>
        <v>0</v>
      </c>
      <c r="Y455" s="18" t="str">
        <f t="shared" si="65"/>
        <v/>
      </c>
      <c r="Z455" s="15" t="str">
        <f>IF(S455=1,IFERROR(INDEX(Settings!$E$12:$E$41,MATCH($B455,Settings!$A$12:$A$41,0)),"N"),"")</f>
        <v/>
      </c>
      <c r="AA455" s="17">
        <f>IF(S455=1,IFERROR(INDEX(Settings!$F$12:$F$41,MATCH($B455,Settings!$A$12:$A$41,0)),0),0)</f>
        <v>0</v>
      </c>
      <c r="AB455" s="15">
        <f>IF(S455=1,IFERROR(INDEX(Settings!$G$12:$G$41,MATCH($B455,Settings!$A$12:$A$41,0)),0),0)</f>
        <v>0</v>
      </c>
      <c r="AC455" s="18" t="str">
        <f t="shared" si="66"/>
        <v/>
      </c>
      <c r="AD455" s="15" t="str">
        <f t="shared" si="67"/>
        <v/>
      </c>
      <c r="AE455" s="15" t="str">
        <f t="shared" si="68"/>
        <v/>
      </c>
      <c r="AF455" s="15" t="str">
        <f t="shared" si="69"/>
        <v/>
      </c>
      <c r="AG455" s="18">
        <f>IF(AND(S455=1,Z455="Y"),IF(Settings!$B$6="Percentage",IF(AD455=0,0,AC455*AA455*(N455/AD455)),IF(Settings!$B$6="Points",IF(AF455=0,0,AC455*(N455*AB455)/AF455),IF(Settings!$B$6="Equally",IF(AE455=0,0,AC455*N455/AE455),0))),0)</f>
        <v>0</v>
      </c>
      <c r="AH455" s="18" t="str">
        <f t="shared" si="70"/>
        <v/>
      </c>
      <c r="AI455" s="15">
        <f>IF(S455=1,IF(COUNTIFS($R$2:R455,R455,$S$2:S455,1)=1,1,0),0)</f>
        <v>0</v>
      </c>
      <c r="AJ455" s="15">
        <f>SUM($AI$2:AI455)</f>
        <v>12</v>
      </c>
    </row>
    <row r="456" spans="18:36">
      <c r="R456" s="15" t="str">
        <f t="shared" si="71"/>
        <v/>
      </c>
      <c r="S456" s="15">
        <f t="shared" si="63"/>
        <v>0</v>
      </c>
      <c r="T456" s="16" t="str">
        <f>IF(S456=1, DATE(YEAR(Settings!$B$3), MONTH(D456), DAY(D456)), "")</f>
        <v/>
      </c>
      <c r="U456" s="15" t="str">
        <f>IF(S456=1,IFERROR(INDEX(Settings!$B$12:$B$41,MATCH($B456,Settings!$A$12:$A$41,0)),"N"),"")</f>
        <v/>
      </c>
      <c r="V456" s="15" t="str">
        <f>IF(S456=1,IFERROR(INDEX(Settings!$C$12:$C$41,MATCH($B456,Settings!$A$12:$A$41,0)),""),"")</f>
        <v/>
      </c>
      <c r="W456" s="17">
        <f>IF(S456=1,IFERROR(INDEX(Settings!$D$12:$D$41,MATCH($B456,Settings!$A$12:$A$41,0)),0),0)</f>
        <v>0</v>
      </c>
      <c r="X456" s="18">
        <f t="shared" si="64"/>
        <v>0</v>
      </c>
      <c r="Y456" s="18" t="str">
        <f t="shared" si="65"/>
        <v/>
      </c>
      <c r="Z456" s="15" t="str">
        <f>IF(S456=1,IFERROR(INDEX(Settings!$E$12:$E$41,MATCH($B456,Settings!$A$12:$A$41,0)),"N"),"")</f>
        <v/>
      </c>
      <c r="AA456" s="17">
        <f>IF(S456=1,IFERROR(INDEX(Settings!$F$12:$F$41,MATCH($B456,Settings!$A$12:$A$41,0)),0),0)</f>
        <v>0</v>
      </c>
      <c r="AB456" s="15">
        <f>IF(S456=1,IFERROR(INDEX(Settings!$G$12:$G$41,MATCH($B456,Settings!$A$12:$A$41,0)),0),0)</f>
        <v>0</v>
      </c>
      <c r="AC456" s="18" t="str">
        <f t="shared" si="66"/>
        <v/>
      </c>
      <c r="AD456" s="15" t="str">
        <f t="shared" si="67"/>
        <v/>
      </c>
      <c r="AE456" s="15" t="str">
        <f t="shared" si="68"/>
        <v/>
      </c>
      <c r="AF456" s="15" t="str">
        <f t="shared" si="69"/>
        <v/>
      </c>
      <c r="AG456" s="18">
        <f>IF(AND(S456=1,Z456="Y"),IF(Settings!$B$6="Percentage",IF(AD456=0,0,AC456*AA456*(N456/AD456)),IF(Settings!$B$6="Points",IF(AF456=0,0,AC456*(N456*AB456)/AF456),IF(Settings!$B$6="Equally",IF(AE456=0,0,AC456*N456/AE456),0))),0)</f>
        <v>0</v>
      </c>
      <c r="AH456" s="18" t="str">
        <f t="shared" si="70"/>
        <v/>
      </c>
      <c r="AI456" s="15">
        <f>IF(S456=1,IF(COUNTIFS($R$2:R456,R456,$S$2:S456,1)=1,1,0),0)</f>
        <v>0</v>
      </c>
      <c r="AJ456" s="15">
        <f>SUM($AI$2:AI456)</f>
        <v>12</v>
      </c>
    </row>
    <row r="457" spans="18:36">
      <c r="R457" s="15" t="str">
        <f t="shared" si="71"/>
        <v/>
      </c>
      <c r="S457" s="15">
        <f t="shared" si="63"/>
        <v>0</v>
      </c>
      <c r="T457" s="16" t="str">
        <f>IF(S457=1, DATE(YEAR(Settings!$B$3), MONTH(D457), DAY(D457)), "")</f>
        <v/>
      </c>
      <c r="U457" s="15" t="str">
        <f>IF(S457=1,IFERROR(INDEX(Settings!$B$12:$B$41,MATCH($B457,Settings!$A$12:$A$41,0)),"N"),"")</f>
        <v/>
      </c>
      <c r="V457" s="15" t="str">
        <f>IF(S457=1,IFERROR(INDEX(Settings!$C$12:$C$41,MATCH($B457,Settings!$A$12:$A$41,0)),""),"")</f>
        <v/>
      </c>
      <c r="W457" s="17">
        <f>IF(S457=1,IFERROR(INDEX(Settings!$D$12:$D$41,MATCH($B457,Settings!$A$12:$A$41,0)),0),0)</f>
        <v>0</v>
      </c>
      <c r="X457" s="18">
        <f t="shared" si="64"/>
        <v>0</v>
      </c>
      <c r="Y457" s="18" t="str">
        <f t="shared" si="65"/>
        <v/>
      </c>
      <c r="Z457" s="15" t="str">
        <f>IF(S457=1,IFERROR(INDEX(Settings!$E$12:$E$41,MATCH($B457,Settings!$A$12:$A$41,0)),"N"),"")</f>
        <v/>
      </c>
      <c r="AA457" s="17">
        <f>IF(S457=1,IFERROR(INDEX(Settings!$F$12:$F$41,MATCH($B457,Settings!$A$12:$A$41,0)),0),0)</f>
        <v>0</v>
      </c>
      <c r="AB457" s="15">
        <f>IF(S457=1,IFERROR(INDEX(Settings!$G$12:$G$41,MATCH($B457,Settings!$A$12:$A$41,0)),0),0)</f>
        <v>0</v>
      </c>
      <c r="AC457" s="18" t="str">
        <f t="shared" si="66"/>
        <v/>
      </c>
      <c r="AD457" s="15" t="str">
        <f t="shared" si="67"/>
        <v/>
      </c>
      <c r="AE457" s="15" t="str">
        <f t="shared" si="68"/>
        <v/>
      </c>
      <c r="AF457" s="15" t="str">
        <f t="shared" si="69"/>
        <v/>
      </c>
      <c r="AG457" s="18">
        <f>IF(AND(S457=1,Z457="Y"),IF(Settings!$B$6="Percentage",IF(AD457=0,0,AC457*AA457*(N457/AD457)),IF(Settings!$B$6="Points",IF(AF457=0,0,AC457*(N457*AB457)/AF457),IF(Settings!$B$6="Equally",IF(AE457=0,0,AC457*N457/AE457),0))),0)</f>
        <v>0</v>
      </c>
      <c r="AH457" s="18" t="str">
        <f t="shared" si="70"/>
        <v/>
      </c>
      <c r="AI457" s="15">
        <f>IF(S457=1,IF(COUNTIFS($R$2:R457,R457,$S$2:S457,1)=1,1,0),0)</f>
        <v>0</v>
      </c>
      <c r="AJ457" s="15">
        <f>SUM($AI$2:AI457)</f>
        <v>12</v>
      </c>
    </row>
    <row r="458" spans="18:36">
      <c r="R458" s="15" t="str">
        <f t="shared" si="71"/>
        <v/>
      </c>
      <c r="S458" s="15">
        <f t="shared" si="63"/>
        <v>0</v>
      </c>
      <c r="T458" s="16" t="str">
        <f>IF(S458=1, DATE(YEAR(Settings!$B$3), MONTH(D458), DAY(D458)), "")</f>
        <v/>
      </c>
      <c r="U458" s="15" t="str">
        <f>IF(S458=1,IFERROR(INDEX(Settings!$B$12:$B$41,MATCH($B458,Settings!$A$12:$A$41,0)),"N"),"")</f>
        <v/>
      </c>
      <c r="V458" s="15" t="str">
        <f>IF(S458=1,IFERROR(INDEX(Settings!$C$12:$C$41,MATCH($B458,Settings!$A$12:$A$41,0)),""),"")</f>
        <v/>
      </c>
      <c r="W458" s="17">
        <f>IF(S458=1,IFERROR(INDEX(Settings!$D$12:$D$41,MATCH($B458,Settings!$A$12:$A$41,0)),0),0)</f>
        <v>0</v>
      </c>
      <c r="X458" s="18">
        <f t="shared" si="64"/>
        <v>0</v>
      </c>
      <c r="Y458" s="18" t="str">
        <f t="shared" si="65"/>
        <v/>
      </c>
      <c r="Z458" s="15" t="str">
        <f>IF(S458=1,IFERROR(INDEX(Settings!$E$12:$E$41,MATCH($B458,Settings!$A$12:$A$41,0)),"N"),"")</f>
        <v/>
      </c>
      <c r="AA458" s="17">
        <f>IF(S458=1,IFERROR(INDEX(Settings!$F$12:$F$41,MATCH($B458,Settings!$A$12:$A$41,0)),0),0)</f>
        <v>0</v>
      </c>
      <c r="AB458" s="15">
        <f>IF(S458=1,IFERROR(INDEX(Settings!$G$12:$G$41,MATCH($B458,Settings!$A$12:$A$41,0)),0),0)</f>
        <v>0</v>
      </c>
      <c r="AC458" s="18" t="str">
        <f t="shared" si="66"/>
        <v/>
      </c>
      <c r="AD458" s="15" t="str">
        <f t="shared" si="67"/>
        <v/>
      </c>
      <c r="AE458" s="15" t="str">
        <f t="shared" si="68"/>
        <v/>
      </c>
      <c r="AF458" s="15" t="str">
        <f t="shared" si="69"/>
        <v/>
      </c>
      <c r="AG458" s="18">
        <f>IF(AND(S458=1,Z458="Y"),IF(Settings!$B$6="Percentage",IF(AD458=0,0,AC458*AA458*(N458/AD458)),IF(Settings!$B$6="Points",IF(AF458=0,0,AC458*(N458*AB458)/AF458),IF(Settings!$B$6="Equally",IF(AE458=0,0,AC458*N458/AE458),0))),0)</f>
        <v>0</v>
      </c>
      <c r="AH458" s="18" t="str">
        <f t="shared" si="70"/>
        <v/>
      </c>
      <c r="AI458" s="15">
        <f>IF(S458=1,IF(COUNTIFS($R$2:R458,R458,$S$2:S458,1)=1,1,0),0)</f>
        <v>0</v>
      </c>
      <c r="AJ458" s="15">
        <f>SUM($AI$2:AI458)</f>
        <v>12</v>
      </c>
    </row>
    <row r="459" spans="18:36">
      <c r="R459" s="15" t="str">
        <f t="shared" si="71"/>
        <v/>
      </c>
      <c r="S459" s="15">
        <f t="shared" si="63"/>
        <v>0</v>
      </c>
      <c r="T459" s="16" t="str">
        <f>IF(S459=1, DATE(YEAR(Settings!$B$3), MONTH(D459), DAY(D459)), "")</f>
        <v/>
      </c>
      <c r="U459" s="15" t="str">
        <f>IF(S459=1,IFERROR(INDEX(Settings!$B$12:$B$41,MATCH($B459,Settings!$A$12:$A$41,0)),"N"),"")</f>
        <v/>
      </c>
      <c r="V459" s="15" t="str">
        <f>IF(S459=1,IFERROR(INDEX(Settings!$C$12:$C$41,MATCH($B459,Settings!$A$12:$A$41,0)),""),"")</f>
        <v/>
      </c>
      <c r="W459" s="17">
        <f>IF(S459=1,IFERROR(INDEX(Settings!$D$12:$D$41,MATCH($B459,Settings!$A$12:$A$41,0)),0),0)</f>
        <v>0</v>
      </c>
      <c r="X459" s="18">
        <f t="shared" si="64"/>
        <v>0</v>
      </c>
      <c r="Y459" s="18" t="str">
        <f t="shared" si="65"/>
        <v/>
      </c>
      <c r="Z459" s="15" t="str">
        <f>IF(S459=1,IFERROR(INDEX(Settings!$E$12:$E$41,MATCH($B459,Settings!$A$12:$A$41,0)),"N"),"")</f>
        <v/>
      </c>
      <c r="AA459" s="17">
        <f>IF(S459=1,IFERROR(INDEX(Settings!$F$12:$F$41,MATCH($B459,Settings!$A$12:$A$41,0)),0),0)</f>
        <v>0</v>
      </c>
      <c r="AB459" s="15">
        <f>IF(S459=1,IFERROR(INDEX(Settings!$G$12:$G$41,MATCH($B459,Settings!$A$12:$A$41,0)),0),0)</f>
        <v>0</v>
      </c>
      <c r="AC459" s="18" t="str">
        <f t="shared" si="66"/>
        <v/>
      </c>
      <c r="AD459" s="15" t="str">
        <f t="shared" si="67"/>
        <v/>
      </c>
      <c r="AE459" s="15" t="str">
        <f t="shared" si="68"/>
        <v/>
      </c>
      <c r="AF459" s="15" t="str">
        <f t="shared" si="69"/>
        <v/>
      </c>
      <c r="AG459" s="18">
        <f>IF(AND(S459=1,Z459="Y"),IF(Settings!$B$6="Percentage",IF(AD459=0,0,AC459*AA459*(N459/AD459)),IF(Settings!$B$6="Points",IF(AF459=0,0,AC459*(N459*AB459)/AF459),IF(Settings!$B$6="Equally",IF(AE459=0,0,AC459*N459/AE459),0))),0)</f>
        <v>0</v>
      </c>
      <c r="AH459" s="18" t="str">
        <f t="shared" si="70"/>
        <v/>
      </c>
      <c r="AI459" s="15">
        <f>IF(S459=1,IF(COUNTIFS($R$2:R459,R459,$S$2:S459,1)=1,1,0),0)</f>
        <v>0</v>
      </c>
      <c r="AJ459" s="15">
        <f>SUM($AI$2:AI459)</f>
        <v>12</v>
      </c>
    </row>
    <row r="460" spans="18:36">
      <c r="R460" s="15" t="str">
        <f t="shared" si="71"/>
        <v/>
      </c>
      <c r="S460" s="15">
        <f t="shared" si="63"/>
        <v>0</v>
      </c>
      <c r="T460" s="16" t="str">
        <f>IF(S460=1, DATE(YEAR(Settings!$B$3), MONTH(D460), DAY(D460)), "")</f>
        <v/>
      </c>
      <c r="U460" s="15" t="str">
        <f>IF(S460=1,IFERROR(INDEX(Settings!$B$12:$B$41,MATCH($B460,Settings!$A$12:$A$41,0)),"N"),"")</f>
        <v/>
      </c>
      <c r="V460" s="15" t="str">
        <f>IF(S460=1,IFERROR(INDEX(Settings!$C$12:$C$41,MATCH($B460,Settings!$A$12:$A$41,0)),""),"")</f>
        <v/>
      </c>
      <c r="W460" s="17">
        <f>IF(S460=1,IFERROR(INDEX(Settings!$D$12:$D$41,MATCH($B460,Settings!$A$12:$A$41,0)),0),0)</f>
        <v>0</v>
      </c>
      <c r="X460" s="18">
        <f t="shared" si="64"/>
        <v>0</v>
      </c>
      <c r="Y460" s="18" t="str">
        <f t="shared" si="65"/>
        <v/>
      </c>
      <c r="Z460" s="15" t="str">
        <f>IF(S460=1,IFERROR(INDEX(Settings!$E$12:$E$41,MATCH($B460,Settings!$A$12:$A$41,0)),"N"),"")</f>
        <v/>
      </c>
      <c r="AA460" s="17">
        <f>IF(S460=1,IFERROR(INDEX(Settings!$F$12:$F$41,MATCH($B460,Settings!$A$12:$A$41,0)),0),0)</f>
        <v>0</v>
      </c>
      <c r="AB460" s="15">
        <f>IF(S460=1,IFERROR(INDEX(Settings!$G$12:$G$41,MATCH($B460,Settings!$A$12:$A$41,0)),0),0)</f>
        <v>0</v>
      </c>
      <c r="AC460" s="18" t="str">
        <f t="shared" si="66"/>
        <v/>
      </c>
      <c r="AD460" s="15" t="str">
        <f t="shared" si="67"/>
        <v/>
      </c>
      <c r="AE460" s="15" t="str">
        <f t="shared" si="68"/>
        <v/>
      </c>
      <c r="AF460" s="15" t="str">
        <f t="shared" si="69"/>
        <v/>
      </c>
      <c r="AG460" s="18">
        <f>IF(AND(S460=1,Z460="Y"),IF(Settings!$B$6="Percentage",IF(AD460=0,0,AC460*AA460*(N460/AD460)),IF(Settings!$B$6="Points",IF(AF460=0,0,AC460*(N460*AB460)/AF460),IF(Settings!$B$6="Equally",IF(AE460=0,0,AC460*N460/AE460),0))),0)</f>
        <v>0</v>
      </c>
      <c r="AH460" s="18" t="str">
        <f t="shared" si="70"/>
        <v/>
      </c>
      <c r="AI460" s="15">
        <f>IF(S460=1,IF(COUNTIFS($R$2:R460,R460,$S$2:S460,1)=1,1,0),0)</f>
        <v>0</v>
      </c>
      <c r="AJ460" s="15">
        <f>SUM($AI$2:AI460)</f>
        <v>12</v>
      </c>
    </row>
    <row r="461" spans="18:36">
      <c r="R461" s="15" t="str">
        <f t="shared" si="71"/>
        <v/>
      </c>
      <c r="S461" s="15">
        <f t="shared" si="63"/>
        <v>0</v>
      </c>
      <c r="T461" s="16" t="str">
        <f>IF(S461=1, DATE(YEAR(Settings!$B$3), MONTH(D461), DAY(D461)), "")</f>
        <v/>
      </c>
      <c r="U461" s="15" t="str">
        <f>IF(S461=1,IFERROR(INDEX(Settings!$B$12:$B$41,MATCH($B461,Settings!$A$12:$A$41,0)),"N"),"")</f>
        <v/>
      </c>
      <c r="V461" s="15" t="str">
        <f>IF(S461=1,IFERROR(INDEX(Settings!$C$12:$C$41,MATCH($B461,Settings!$A$12:$A$41,0)),""),"")</f>
        <v/>
      </c>
      <c r="W461" s="17">
        <f>IF(S461=1,IFERROR(INDEX(Settings!$D$12:$D$41,MATCH($B461,Settings!$A$12:$A$41,0)),0),0)</f>
        <v>0</v>
      </c>
      <c r="X461" s="18">
        <f t="shared" si="64"/>
        <v>0</v>
      </c>
      <c r="Y461" s="18" t="str">
        <f t="shared" si="65"/>
        <v/>
      </c>
      <c r="Z461" s="15" t="str">
        <f>IF(S461=1,IFERROR(INDEX(Settings!$E$12:$E$41,MATCH($B461,Settings!$A$12:$A$41,0)),"N"),"")</f>
        <v/>
      </c>
      <c r="AA461" s="17">
        <f>IF(S461=1,IFERROR(INDEX(Settings!$F$12:$F$41,MATCH($B461,Settings!$A$12:$A$41,0)),0),0)</f>
        <v>0</v>
      </c>
      <c r="AB461" s="15">
        <f>IF(S461=1,IFERROR(INDEX(Settings!$G$12:$G$41,MATCH($B461,Settings!$A$12:$A$41,0)),0),0)</f>
        <v>0</v>
      </c>
      <c r="AC461" s="18" t="str">
        <f t="shared" si="66"/>
        <v/>
      </c>
      <c r="AD461" s="15" t="str">
        <f t="shared" si="67"/>
        <v/>
      </c>
      <c r="AE461" s="15" t="str">
        <f t="shared" si="68"/>
        <v/>
      </c>
      <c r="AF461" s="15" t="str">
        <f t="shared" si="69"/>
        <v/>
      </c>
      <c r="AG461" s="18">
        <f>IF(AND(S461=1,Z461="Y"),IF(Settings!$B$6="Percentage",IF(AD461=0,0,AC461*AA461*(N461/AD461)),IF(Settings!$B$6="Points",IF(AF461=0,0,AC461*(N461*AB461)/AF461),IF(Settings!$B$6="Equally",IF(AE461=0,0,AC461*N461/AE461),0))),0)</f>
        <v>0</v>
      </c>
      <c r="AH461" s="18" t="str">
        <f t="shared" si="70"/>
        <v/>
      </c>
      <c r="AI461" s="15">
        <f>IF(S461=1,IF(COUNTIFS($R$2:R461,R461,$S$2:S461,1)=1,1,0),0)</f>
        <v>0</v>
      </c>
      <c r="AJ461" s="15">
        <f>SUM($AI$2:AI461)</f>
        <v>12</v>
      </c>
    </row>
    <row r="462" spans="18:36">
      <c r="R462" s="15" t="str">
        <f t="shared" si="71"/>
        <v/>
      </c>
      <c r="S462" s="15">
        <f t="shared" si="63"/>
        <v>0</v>
      </c>
      <c r="T462" s="16" t="str">
        <f>IF(S462=1, DATE(YEAR(Settings!$B$3), MONTH(D462), DAY(D462)), "")</f>
        <v/>
      </c>
      <c r="U462" s="15" t="str">
        <f>IF(S462=1,IFERROR(INDEX(Settings!$B$12:$B$41,MATCH($B462,Settings!$A$12:$A$41,0)),"N"),"")</f>
        <v/>
      </c>
      <c r="V462" s="15" t="str">
        <f>IF(S462=1,IFERROR(INDEX(Settings!$C$12:$C$41,MATCH($B462,Settings!$A$12:$A$41,0)),""),"")</f>
        <v/>
      </c>
      <c r="W462" s="17">
        <f>IF(S462=1,IFERROR(INDEX(Settings!$D$12:$D$41,MATCH($B462,Settings!$A$12:$A$41,0)),0),0)</f>
        <v>0</v>
      </c>
      <c r="X462" s="18">
        <f t="shared" si="64"/>
        <v>0</v>
      </c>
      <c r="Y462" s="18" t="str">
        <f t="shared" si="65"/>
        <v/>
      </c>
      <c r="Z462" s="15" t="str">
        <f>IF(S462=1,IFERROR(INDEX(Settings!$E$12:$E$41,MATCH($B462,Settings!$A$12:$A$41,0)),"N"),"")</f>
        <v/>
      </c>
      <c r="AA462" s="17">
        <f>IF(S462=1,IFERROR(INDEX(Settings!$F$12:$F$41,MATCH($B462,Settings!$A$12:$A$41,0)),0),0)</f>
        <v>0</v>
      </c>
      <c r="AB462" s="15">
        <f>IF(S462=1,IFERROR(INDEX(Settings!$G$12:$G$41,MATCH($B462,Settings!$A$12:$A$41,0)),0),0)</f>
        <v>0</v>
      </c>
      <c r="AC462" s="18" t="str">
        <f t="shared" si="66"/>
        <v/>
      </c>
      <c r="AD462" s="15" t="str">
        <f t="shared" si="67"/>
        <v/>
      </c>
      <c r="AE462" s="15" t="str">
        <f t="shared" si="68"/>
        <v/>
      </c>
      <c r="AF462" s="15" t="str">
        <f t="shared" si="69"/>
        <v/>
      </c>
      <c r="AG462" s="18">
        <f>IF(AND(S462=1,Z462="Y"),IF(Settings!$B$6="Percentage",IF(AD462=0,0,AC462*AA462*(N462/AD462)),IF(Settings!$B$6="Points",IF(AF462=0,0,AC462*(N462*AB462)/AF462),IF(Settings!$B$6="Equally",IF(AE462=0,0,AC462*N462/AE462),0))),0)</f>
        <v>0</v>
      </c>
      <c r="AH462" s="18" t="str">
        <f t="shared" si="70"/>
        <v/>
      </c>
      <c r="AI462" s="15">
        <f>IF(S462=1,IF(COUNTIFS($R$2:R462,R462,$S$2:S462,1)=1,1,0),0)</f>
        <v>0</v>
      </c>
      <c r="AJ462" s="15">
        <f>SUM($AI$2:AI462)</f>
        <v>12</v>
      </c>
    </row>
    <row r="463" spans="18:36">
      <c r="R463" s="15" t="str">
        <f t="shared" si="71"/>
        <v/>
      </c>
      <c r="S463" s="15">
        <f t="shared" si="63"/>
        <v>0</v>
      </c>
      <c r="T463" s="16" t="str">
        <f>IF(S463=1, DATE(YEAR(Settings!$B$3), MONTH(D463), DAY(D463)), "")</f>
        <v/>
      </c>
      <c r="U463" s="15" t="str">
        <f>IF(S463=1,IFERROR(INDEX(Settings!$B$12:$B$41,MATCH($B463,Settings!$A$12:$A$41,0)),"N"),"")</f>
        <v/>
      </c>
      <c r="V463" s="15" t="str">
        <f>IF(S463=1,IFERROR(INDEX(Settings!$C$12:$C$41,MATCH($B463,Settings!$A$12:$A$41,0)),""),"")</f>
        <v/>
      </c>
      <c r="W463" s="17">
        <f>IF(S463=1,IFERROR(INDEX(Settings!$D$12:$D$41,MATCH($B463,Settings!$A$12:$A$41,0)),0),0)</f>
        <v>0</v>
      </c>
      <c r="X463" s="18">
        <f t="shared" si="64"/>
        <v>0</v>
      </c>
      <c r="Y463" s="18" t="str">
        <f t="shared" si="65"/>
        <v/>
      </c>
      <c r="Z463" s="15" t="str">
        <f>IF(S463=1,IFERROR(INDEX(Settings!$E$12:$E$41,MATCH($B463,Settings!$A$12:$A$41,0)),"N"),"")</f>
        <v/>
      </c>
      <c r="AA463" s="17">
        <f>IF(S463=1,IFERROR(INDEX(Settings!$F$12:$F$41,MATCH($B463,Settings!$A$12:$A$41,0)),0),0)</f>
        <v>0</v>
      </c>
      <c r="AB463" s="15">
        <f>IF(S463=1,IFERROR(INDEX(Settings!$G$12:$G$41,MATCH($B463,Settings!$A$12:$A$41,0)),0),0)</f>
        <v>0</v>
      </c>
      <c r="AC463" s="18" t="str">
        <f t="shared" si="66"/>
        <v/>
      </c>
      <c r="AD463" s="15" t="str">
        <f t="shared" si="67"/>
        <v/>
      </c>
      <c r="AE463" s="15" t="str">
        <f t="shared" si="68"/>
        <v/>
      </c>
      <c r="AF463" s="15" t="str">
        <f t="shared" si="69"/>
        <v/>
      </c>
      <c r="AG463" s="18">
        <f>IF(AND(S463=1,Z463="Y"),IF(Settings!$B$6="Percentage",IF(AD463=0,0,AC463*AA463*(N463/AD463)),IF(Settings!$B$6="Points",IF(AF463=0,0,AC463*(N463*AB463)/AF463),IF(Settings!$B$6="Equally",IF(AE463=0,0,AC463*N463/AE463),0))),0)</f>
        <v>0</v>
      </c>
      <c r="AH463" s="18" t="str">
        <f t="shared" si="70"/>
        <v/>
      </c>
      <c r="AI463" s="15">
        <f>IF(S463=1,IF(COUNTIFS($R$2:R463,R463,$S$2:S463,1)=1,1,0),0)</f>
        <v>0</v>
      </c>
      <c r="AJ463" s="15">
        <f>SUM($AI$2:AI463)</f>
        <v>12</v>
      </c>
    </row>
    <row r="464" spans="18:36">
      <c r="R464" s="15" t="str">
        <f t="shared" si="71"/>
        <v/>
      </c>
      <c r="S464" s="15">
        <f t="shared" si="63"/>
        <v>0</v>
      </c>
      <c r="T464" s="16" t="str">
        <f>IF(S464=1, DATE(YEAR(Settings!$B$3), MONTH(D464), DAY(D464)), "")</f>
        <v/>
      </c>
      <c r="U464" s="15" t="str">
        <f>IF(S464=1,IFERROR(INDEX(Settings!$B$12:$B$41,MATCH($B464,Settings!$A$12:$A$41,0)),"N"),"")</f>
        <v/>
      </c>
      <c r="V464" s="15" t="str">
        <f>IF(S464=1,IFERROR(INDEX(Settings!$C$12:$C$41,MATCH($B464,Settings!$A$12:$A$41,0)),""),"")</f>
        <v/>
      </c>
      <c r="W464" s="17">
        <f>IF(S464=1,IFERROR(INDEX(Settings!$D$12:$D$41,MATCH($B464,Settings!$A$12:$A$41,0)),0),0)</f>
        <v>0</v>
      </c>
      <c r="X464" s="18">
        <f t="shared" si="64"/>
        <v>0</v>
      </c>
      <c r="Y464" s="18" t="str">
        <f t="shared" si="65"/>
        <v/>
      </c>
      <c r="Z464" s="15" t="str">
        <f>IF(S464=1,IFERROR(INDEX(Settings!$E$12:$E$41,MATCH($B464,Settings!$A$12:$A$41,0)),"N"),"")</f>
        <v/>
      </c>
      <c r="AA464" s="17">
        <f>IF(S464=1,IFERROR(INDEX(Settings!$F$12:$F$41,MATCH($B464,Settings!$A$12:$A$41,0)),0),0)</f>
        <v>0</v>
      </c>
      <c r="AB464" s="15">
        <f>IF(S464=1,IFERROR(INDEX(Settings!$G$12:$G$41,MATCH($B464,Settings!$A$12:$A$41,0)),0),0)</f>
        <v>0</v>
      </c>
      <c r="AC464" s="18" t="str">
        <f t="shared" si="66"/>
        <v/>
      </c>
      <c r="AD464" s="15" t="str">
        <f t="shared" si="67"/>
        <v/>
      </c>
      <c r="AE464" s="15" t="str">
        <f t="shared" si="68"/>
        <v/>
      </c>
      <c r="AF464" s="15" t="str">
        <f t="shared" si="69"/>
        <v/>
      </c>
      <c r="AG464" s="18">
        <f>IF(AND(S464=1,Z464="Y"),IF(Settings!$B$6="Percentage",IF(AD464=0,0,AC464*AA464*(N464/AD464)),IF(Settings!$B$6="Points",IF(AF464=0,0,AC464*(N464*AB464)/AF464),IF(Settings!$B$6="Equally",IF(AE464=0,0,AC464*N464/AE464),0))),0)</f>
        <v>0</v>
      </c>
      <c r="AH464" s="18" t="str">
        <f t="shared" si="70"/>
        <v/>
      </c>
      <c r="AI464" s="15">
        <f>IF(S464=1,IF(COUNTIFS($R$2:R464,R464,$S$2:S464,1)=1,1,0),0)</f>
        <v>0</v>
      </c>
      <c r="AJ464" s="15">
        <f>SUM($AI$2:AI464)</f>
        <v>12</v>
      </c>
    </row>
    <row r="465" spans="18:36">
      <c r="R465" s="15" t="str">
        <f t="shared" si="71"/>
        <v/>
      </c>
      <c r="S465" s="15">
        <f t="shared" si="63"/>
        <v>0</v>
      </c>
      <c r="T465" s="16" t="str">
        <f>IF(S465=1, DATE(YEAR(Settings!$B$3), MONTH(D465), DAY(D465)), "")</f>
        <v/>
      </c>
      <c r="U465" s="15" t="str">
        <f>IF(S465=1,IFERROR(INDEX(Settings!$B$12:$B$41,MATCH($B465,Settings!$A$12:$A$41,0)),"N"),"")</f>
        <v/>
      </c>
      <c r="V465" s="15" t="str">
        <f>IF(S465=1,IFERROR(INDEX(Settings!$C$12:$C$41,MATCH($B465,Settings!$A$12:$A$41,0)),""),"")</f>
        <v/>
      </c>
      <c r="W465" s="17">
        <f>IF(S465=1,IFERROR(INDEX(Settings!$D$12:$D$41,MATCH($B465,Settings!$A$12:$A$41,0)),0),0)</f>
        <v>0</v>
      </c>
      <c r="X465" s="18">
        <f t="shared" si="64"/>
        <v>0</v>
      </c>
      <c r="Y465" s="18" t="str">
        <f t="shared" si="65"/>
        <v/>
      </c>
      <c r="Z465" s="15" t="str">
        <f>IF(S465=1,IFERROR(INDEX(Settings!$E$12:$E$41,MATCH($B465,Settings!$A$12:$A$41,0)),"N"),"")</f>
        <v/>
      </c>
      <c r="AA465" s="17">
        <f>IF(S465=1,IFERROR(INDEX(Settings!$F$12:$F$41,MATCH($B465,Settings!$A$12:$A$41,0)),0),0)</f>
        <v>0</v>
      </c>
      <c r="AB465" s="15">
        <f>IF(S465=1,IFERROR(INDEX(Settings!$G$12:$G$41,MATCH($B465,Settings!$A$12:$A$41,0)),0),0)</f>
        <v>0</v>
      </c>
      <c r="AC465" s="18" t="str">
        <f t="shared" si="66"/>
        <v/>
      </c>
      <c r="AD465" s="15" t="str">
        <f t="shared" si="67"/>
        <v/>
      </c>
      <c r="AE465" s="15" t="str">
        <f t="shared" si="68"/>
        <v/>
      </c>
      <c r="AF465" s="15" t="str">
        <f t="shared" si="69"/>
        <v/>
      </c>
      <c r="AG465" s="18">
        <f>IF(AND(S465=1,Z465="Y"),IF(Settings!$B$6="Percentage",IF(AD465=0,0,AC465*AA465*(N465/AD465)),IF(Settings!$B$6="Points",IF(AF465=0,0,AC465*(N465*AB465)/AF465),IF(Settings!$B$6="Equally",IF(AE465=0,0,AC465*N465/AE465),0))),0)</f>
        <v>0</v>
      </c>
      <c r="AH465" s="18" t="str">
        <f t="shared" si="70"/>
        <v/>
      </c>
      <c r="AI465" s="15">
        <f>IF(S465=1,IF(COUNTIFS($R$2:R465,R465,$S$2:S465,1)=1,1,0),0)</f>
        <v>0</v>
      </c>
      <c r="AJ465" s="15">
        <f>SUM($AI$2:AI465)</f>
        <v>12</v>
      </c>
    </row>
    <row r="466" spans="18:36">
      <c r="R466" s="15" t="str">
        <f t="shared" si="71"/>
        <v/>
      </c>
      <c r="S466" s="15">
        <f t="shared" si="63"/>
        <v>0</v>
      </c>
      <c r="T466" s="16" t="str">
        <f>IF(S466=1, DATE(YEAR(Settings!$B$3), MONTH(D466), DAY(D466)), "")</f>
        <v/>
      </c>
      <c r="U466" s="15" t="str">
        <f>IF(S466=1,IFERROR(INDEX(Settings!$B$12:$B$41,MATCH($B466,Settings!$A$12:$A$41,0)),"N"),"")</f>
        <v/>
      </c>
      <c r="V466" s="15" t="str">
        <f>IF(S466=1,IFERROR(INDEX(Settings!$C$12:$C$41,MATCH($B466,Settings!$A$12:$A$41,0)),""),"")</f>
        <v/>
      </c>
      <c r="W466" s="17">
        <f>IF(S466=1,IFERROR(INDEX(Settings!$D$12:$D$41,MATCH($B466,Settings!$A$12:$A$41,0)),0),0)</f>
        <v>0</v>
      </c>
      <c r="X466" s="18">
        <f t="shared" si="64"/>
        <v>0</v>
      </c>
      <c r="Y466" s="18" t="str">
        <f t="shared" si="65"/>
        <v/>
      </c>
      <c r="Z466" s="15" t="str">
        <f>IF(S466=1,IFERROR(INDEX(Settings!$E$12:$E$41,MATCH($B466,Settings!$A$12:$A$41,0)),"N"),"")</f>
        <v/>
      </c>
      <c r="AA466" s="17">
        <f>IF(S466=1,IFERROR(INDEX(Settings!$F$12:$F$41,MATCH($B466,Settings!$A$12:$A$41,0)),0),0)</f>
        <v>0</v>
      </c>
      <c r="AB466" s="15">
        <f>IF(S466=1,IFERROR(INDEX(Settings!$G$12:$G$41,MATCH($B466,Settings!$A$12:$A$41,0)),0),0)</f>
        <v>0</v>
      </c>
      <c r="AC466" s="18" t="str">
        <f t="shared" si="66"/>
        <v/>
      </c>
      <c r="AD466" s="15" t="str">
        <f t="shared" si="67"/>
        <v/>
      </c>
      <c r="AE466" s="15" t="str">
        <f t="shared" si="68"/>
        <v/>
      </c>
      <c r="AF466" s="15" t="str">
        <f t="shared" si="69"/>
        <v/>
      </c>
      <c r="AG466" s="18">
        <f>IF(AND(S466=1,Z466="Y"),IF(Settings!$B$6="Percentage",IF(AD466=0,0,AC466*AA466*(N466/AD466)),IF(Settings!$B$6="Points",IF(AF466=0,0,AC466*(N466*AB466)/AF466),IF(Settings!$B$6="Equally",IF(AE466=0,0,AC466*N466/AE466),0))),0)</f>
        <v>0</v>
      </c>
      <c r="AH466" s="18" t="str">
        <f t="shared" si="70"/>
        <v/>
      </c>
      <c r="AI466" s="15">
        <f>IF(S466=1,IF(COUNTIFS($R$2:R466,R466,$S$2:S466,1)=1,1,0),0)</f>
        <v>0</v>
      </c>
      <c r="AJ466" s="15">
        <f>SUM($AI$2:AI466)</f>
        <v>12</v>
      </c>
    </row>
    <row r="467" spans="18:36">
      <c r="R467" s="15" t="str">
        <f t="shared" si="71"/>
        <v/>
      </c>
      <c r="S467" s="15">
        <f t="shared" si="63"/>
        <v>0</v>
      </c>
      <c r="T467" s="16" t="str">
        <f>IF(S467=1, DATE(YEAR(Settings!$B$3), MONTH(D467), DAY(D467)), "")</f>
        <v/>
      </c>
      <c r="U467" s="15" t="str">
        <f>IF(S467=1,IFERROR(INDEX(Settings!$B$12:$B$41,MATCH($B467,Settings!$A$12:$A$41,0)),"N"),"")</f>
        <v/>
      </c>
      <c r="V467" s="15" t="str">
        <f>IF(S467=1,IFERROR(INDEX(Settings!$C$12:$C$41,MATCH($B467,Settings!$A$12:$A$41,0)),""),"")</f>
        <v/>
      </c>
      <c r="W467" s="17">
        <f>IF(S467=1,IFERROR(INDEX(Settings!$D$12:$D$41,MATCH($B467,Settings!$A$12:$A$41,0)),0),0)</f>
        <v>0</v>
      </c>
      <c r="X467" s="18">
        <f t="shared" si="64"/>
        <v>0</v>
      </c>
      <c r="Y467" s="18" t="str">
        <f t="shared" si="65"/>
        <v/>
      </c>
      <c r="Z467" s="15" t="str">
        <f>IF(S467=1,IFERROR(INDEX(Settings!$E$12:$E$41,MATCH($B467,Settings!$A$12:$A$41,0)),"N"),"")</f>
        <v/>
      </c>
      <c r="AA467" s="17">
        <f>IF(S467=1,IFERROR(INDEX(Settings!$F$12:$F$41,MATCH($B467,Settings!$A$12:$A$41,0)),0),0)</f>
        <v>0</v>
      </c>
      <c r="AB467" s="15">
        <f>IF(S467=1,IFERROR(INDEX(Settings!$G$12:$G$41,MATCH($B467,Settings!$A$12:$A$41,0)),0),0)</f>
        <v>0</v>
      </c>
      <c r="AC467" s="18" t="str">
        <f t="shared" si="66"/>
        <v/>
      </c>
      <c r="AD467" s="15" t="str">
        <f t="shared" si="67"/>
        <v/>
      </c>
      <c r="AE467" s="15" t="str">
        <f t="shared" si="68"/>
        <v/>
      </c>
      <c r="AF467" s="15" t="str">
        <f t="shared" si="69"/>
        <v/>
      </c>
      <c r="AG467" s="18">
        <f>IF(AND(S467=1,Z467="Y"),IF(Settings!$B$6="Percentage",IF(AD467=0,0,AC467*AA467*(N467/AD467)),IF(Settings!$B$6="Points",IF(AF467=0,0,AC467*(N467*AB467)/AF467),IF(Settings!$B$6="Equally",IF(AE467=0,0,AC467*N467/AE467),0))),0)</f>
        <v>0</v>
      </c>
      <c r="AH467" s="18" t="str">
        <f t="shared" si="70"/>
        <v/>
      </c>
      <c r="AI467" s="15">
        <f>IF(S467=1,IF(COUNTIFS($R$2:R467,R467,$S$2:S467,1)=1,1,0),0)</f>
        <v>0</v>
      </c>
      <c r="AJ467" s="15">
        <f>SUM($AI$2:AI467)</f>
        <v>12</v>
      </c>
    </row>
    <row r="468" spans="18:36">
      <c r="R468" s="15" t="str">
        <f t="shared" si="71"/>
        <v/>
      </c>
      <c r="S468" s="15">
        <f t="shared" si="63"/>
        <v>0</v>
      </c>
      <c r="T468" s="16" t="str">
        <f>IF(S468=1, DATE(YEAR(Settings!$B$3), MONTH(D468), DAY(D468)), "")</f>
        <v/>
      </c>
      <c r="U468" s="15" t="str">
        <f>IF(S468=1,IFERROR(INDEX(Settings!$B$12:$B$41,MATCH($B468,Settings!$A$12:$A$41,0)),"N"),"")</f>
        <v/>
      </c>
      <c r="V468" s="15" t="str">
        <f>IF(S468=1,IFERROR(INDEX(Settings!$C$12:$C$41,MATCH($B468,Settings!$A$12:$A$41,0)),""),"")</f>
        <v/>
      </c>
      <c r="W468" s="17">
        <f>IF(S468=1,IFERROR(INDEX(Settings!$D$12:$D$41,MATCH($B468,Settings!$A$12:$A$41,0)),0),0)</f>
        <v>0</v>
      </c>
      <c r="X468" s="18">
        <f t="shared" si="64"/>
        <v>0</v>
      </c>
      <c r="Y468" s="18" t="str">
        <f t="shared" si="65"/>
        <v/>
      </c>
      <c r="Z468" s="15" t="str">
        <f>IF(S468=1,IFERROR(INDEX(Settings!$E$12:$E$41,MATCH($B468,Settings!$A$12:$A$41,0)),"N"),"")</f>
        <v/>
      </c>
      <c r="AA468" s="17">
        <f>IF(S468=1,IFERROR(INDEX(Settings!$F$12:$F$41,MATCH($B468,Settings!$A$12:$A$41,0)),0),0)</f>
        <v>0</v>
      </c>
      <c r="AB468" s="15">
        <f>IF(S468=1,IFERROR(INDEX(Settings!$G$12:$G$41,MATCH($B468,Settings!$A$12:$A$41,0)),0),0)</f>
        <v>0</v>
      </c>
      <c r="AC468" s="18" t="str">
        <f t="shared" si="66"/>
        <v/>
      </c>
      <c r="AD468" s="15" t="str">
        <f t="shared" si="67"/>
        <v/>
      </c>
      <c r="AE468" s="15" t="str">
        <f t="shared" si="68"/>
        <v/>
      </c>
      <c r="AF468" s="15" t="str">
        <f t="shared" si="69"/>
        <v/>
      </c>
      <c r="AG468" s="18">
        <f>IF(AND(S468=1,Z468="Y"),IF(Settings!$B$6="Percentage",IF(AD468=0,0,AC468*AA468*(N468/AD468)),IF(Settings!$B$6="Points",IF(AF468=0,0,AC468*(N468*AB468)/AF468),IF(Settings!$B$6="Equally",IF(AE468=0,0,AC468*N468/AE468),0))),0)</f>
        <v>0</v>
      </c>
      <c r="AH468" s="18" t="str">
        <f t="shared" si="70"/>
        <v/>
      </c>
      <c r="AI468" s="15">
        <f>IF(S468=1,IF(COUNTIFS($R$2:R468,R468,$S$2:S468,1)=1,1,0),0)</f>
        <v>0</v>
      </c>
      <c r="AJ468" s="15">
        <f>SUM($AI$2:AI468)</f>
        <v>12</v>
      </c>
    </row>
    <row r="469" spans="18:36">
      <c r="R469" s="15" t="str">
        <f t="shared" si="71"/>
        <v/>
      </c>
      <c r="S469" s="15">
        <f t="shared" si="63"/>
        <v>0</v>
      </c>
      <c r="T469" s="16" t="str">
        <f>IF(S469=1, DATE(YEAR(Settings!$B$3), MONTH(D469), DAY(D469)), "")</f>
        <v/>
      </c>
      <c r="U469" s="15" t="str">
        <f>IF(S469=1,IFERROR(INDEX(Settings!$B$12:$B$41,MATCH($B469,Settings!$A$12:$A$41,0)),"N"),"")</f>
        <v/>
      </c>
      <c r="V469" s="15" t="str">
        <f>IF(S469=1,IFERROR(INDEX(Settings!$C$12:$C$41,MATCH($B469,Settings!$A$12:$A$41,0)),""),"")</f>
        <v/>
      </c>
      <c r="W469" s="17">
        <f>IF(S469=1,IFERROR(INDEX(Settings!$D$12:$D$41,MATCH($B469,Settings!$A$12:$A$41,0)),0),0)</f>
        <v>0</v>
      </c>
      <c r="X469" s="18">
        <f t="shared" si="64"/>
        <v>0</v>
      </c>
      <c r="Y469" s="18" t="str">
        <f t="shared" si="65"/>
        <v/>
      </c>
      <c r="Z469" s="15" t="str">
        <f>IF(S469=1,IFERROR(INDEX(Settings!$E$12:$E$41,MATCH($B469,Settings!$A$12:$A$41,0)),"N"),"")</f>
        <v/>
      </c>
      <c r="AA469" s="17">
        <f>IF(S469=1,IFERROR(INDEX(Settings!$F$12:$F$41,MATCH($B469,Settings!$A$12:$A$41,0)),0),0)</f>
        <v>0</v>
      </c>
      <c r="AB469" s="15">
        <f>IF(S469=1,IFERROR(INDEX(Settings!$G$12:$G$41,MATCH($B469,Settings!$A$12:$A$41,0)),0),0)</f>
        <v>0</v>
      </c>
      <c r="AC469" s="18" t="str">
        <f t="shared" si="66"/>
        <v/>
      </c>
      <c r="AD469" s="15" t="str">
        <f t="shared" si="67"/>
        <v/>
      </c>
      <c r="AE469" s="15" t="str">
        <f t="shared" si="68"/>
        <v/>
      </c>
      <c r="AF469" s="15" t="str">
        <f t="shared" si="69"/>
        <v/>
      </c>
      <c r="AG469" s="18">
        <f>IF(AND(S469=1,Z469="Y"),IF(Settings!$B$6="Percentage",IF(AD469=0,0,AC469*AA469*(N469/AD469)),IF(Settings!$B$6="Points",IF(AF469=0,0,AC469*(N469*AB469)/AF469),IF(Settings!$B$6="Equally",IF(AE469=0,0,AC469*N469/AE469),0))),0)</f>
        <v>0</v>
      </c>
      <c r="AH469" s="18" t="str">
        <f t="shared" si="70"/>
        <v/>
      </c>
      <c r="AI469" s="15">
        <f>IF(S469=1,IF(COUNTIFS($R$2:R469,R469,$S$2:S469,1)=1,1,0),0)</f>
        <v>0</v>
      </c>
      <c r="AJ469" s="15">
        <f>SUM($AI$2:AI469)</f>
        <v>12</v>
      </c>
    </row>
    <row r="470" spans="18:36">
      <c r="R470" s="15" t="str">
        <f t="shared" si="71"/>
        <v/>
      </c>
      <c r="S470" s="15">
        <f t="shared" si="63"/>
        <v>0</v>
      </c>
      <c r="T470" s="16" t="str">
        <f>IF(S470=1, DATE(YEAR(Settings!$B$3), MONTH(D470), DAY(D470)), "")</f>
        <v/>
      </c>
      <c r="U470" s="15" t="str">
        <f>IF(S470=1,IFERROR(INDEX(Settings!$B$12:$B$41,MATCH($B470,Settings!$A$12:$A$41,0)),"N"),"")</f>
        <v/>
      </c>
      <c r="V470" s="15" t="str">
        <f>IF(S470=1,IFERROR(INDEX(Settings!$C$12:$C$41,MATCH($B470,Settings!$A$12:$A$41,0)),""),"")</f>
        <v/>
      </c>
      <c r="W470" s="17">
        <f>IF(S470=1,IFERROR(INDEX(Settings!$D$12:$D$41,MATCH($B470,Settings!$A$12:$A$41,0)),0),0)</f>
        <v>0</v>
      </c>
      <c r="X470" s="18">
        <f t="shared" si="64"/>
        <v>0</v>
      </c>
      <c r="Y470" s="18" t="str">
        <f t="shared" si="65"/>
        <v/>
      </c>
      <c r="Z470" s="15" t="str">
        <f>IF(S470=1,IFERROR(INDEX(Settings!$E$12:$E$41,MATCH($B470,Settings!$A$12:$A$41,0)),"N"),"")</f>
        <v/>
      </c>
      <c r="AA470" s="17">
        <f>IF(S470=1,IFERROR(INDEX(Settings!$F$12:$F$41,MATCH($B470,Settings!$A$12:$A$41,0)),0),0)</f>
        <v>0</v>
      </c>
      <c r="AB470" s="15">
        <f>IF(S470=1,IFERROR(INDEX(Settings!$G$12:$G$41,MATCH($B470,Settings!$A$12:$A$41,0)),0),0)</f>
        <v>0</v>
      </c>
      <c r="AC470" s="18" t="str">
        <f t="shared" si="66"/>
        <v/>
      </c>
      <c r="AD470" s="15" t="str">
        <f t="shared" si="67"/>
        <v/>
      </c>
      <c r="AE470" s="15" t="str">
        <f t="shared" si="68"/>
        <v/>
      </c>
      <c r="AF470" s="15" t="str">
        <f t="shared" si="69"/>
        <v/>
      </c>
      <c r="AG470" s="18">
        <f>IF(AND(S470=1,Z470="Y"),IF(Settings!$B$6="Percentage",IF(AD470=0,0,AC470*AA470*(N470/AD470)),IF(Settings!$B$6="Points",IF(AF470=0,0,AC470*(N470*AB470)/AF470),IF(Settings!$B$6="Equally",IF(AE470=0,0,AC470*N470/AE470),0))),0)</f>
        <v>0</v>
      </c>
      <c r="AH470" s="18" t="str">
        <f t="shared" si="70"/>
        <v/>
      </c>
      <c r="AI470" s="15">
        <f>IF(S470=1,IF(COUNTIFS($R$2:R470,R470,$S$2:S470,1)=1,1,0),0)</f>
        <v>0</v>
      </c>
      <c r="AJ470" s="15">
        <f>SUM($AI$2:AI470)</f>
        <v>12</v>
      </c>
    </row>
    <row r="471" spans="18:36">
      <c r="R471" s="15" t="str">
        <f t="shared" si="71"/>
        <v/>
      </c>
      <c r="S471" s="15">
        <f t="shared" si="63"/>
        <v>0</v>
      </c>
      <c r="T471" s="16" t="str">
        <f>IF(S471=1, DATE(YEAR(Settings!$B$3), MONTH(D471), DAY(D471)), "")</f>
        <v/>
      </c>
      <c r="U471" s="15" t="str">
        <f>IF(S471=1,IFERROR(INDEX(Settings!$B$12:$B$41,MATCH($B471,Settings!$A$12:$A$41,0)),"N"),"")</f>
        <v/>
      </c>
      <c r="V471" s="15" t="str">
        <f>IF(S471=1,IFERROR(INDEX(Settings!$C$12:$C$41,MATCH($B471,Settings!$A$12:$A$41,0)),""),"")</f>
        <v/>
      </c>
      <c r="W471" s="17">
        <f>IF(S471=1,IFERROR(INDEX(Settings!$D$12:$D$41,MATCH($B471,Settings!$A$12:$A$41,0)),0),0)</f>
        <v>0</v>
      </c>
      <c r="X471" s="18">
        <f t="shared" si="64"/>
        <v>0</v>
      </c>
      <c r="Y471" s="18" t="str">
        <f t="shared" si="65"/>
        <v/>
      </c>
      <c r="Z471" s="15" t="str">
        <f>IF(S471=1,IFERROR(INDEX(Settings!$E$12:$E$41,MATCH($B471,Settings!$A$12:$A$41,0)),"N"),"")</f>
        <v/>
      </c>
      <c r="AA471" s="17">
        <f>IF(S471=1,IFERROR(INDEX(Settings!$F$12:$F$41,MATCH($B471,Settings!$A$12:$A$41,0)),0),0)</f>
        <v>0</v>
      </c>
      <c r="AB471" s="15">
        <f>IF(S471=1,IFERROR(INDEX(Settings!$G$12:$G$41,MATCH($B471,Settings!$A$12:$A$41,0)),0),0)</f>
        <v>0</v>
      </c>
      <c r="AC471" s="18" t="str">
        <f t="shared" si="66"/>
        <v/>
      </c>
      <c r="AD471" s="15" t="str">
        <f t="shared" si="67"/>
        <v/>
      </c>
      <c r="AE471" s="15" t="str">
        <f t="shared" si="68"/>
        <v/>
      </c>
      <c r="AF471" s="15" t="str">
        <f t="shared" si="69"/>
        <v/>
      </c>
      <c r="AG471" s="18">
        <f>IF(AND(S471=1,Z471="Y"),IF(Settings!$B$6="Percentage",IF(AD471=0,0,AC471*AA471*(N471/AD471)),IF(Settings!$B$6="Points",IF(AF471=0,0,AC471*(N471*AB471)/AF471),IF(Settings!$B$6="Equally",IF(AE471=0,0,AC471*N471/AE471),0))),0)</f>
        <v>0</v>
      </c>
      <c r="AH471" s="18" t="str">
        <f t="shared" si="70"/>
        <v/>
      </c>
      <c r="AI471" s="15">
        <f>IF(S471=1,IF(COUNTIFS($R$2:R471,R471,$S$2:S471,1)=1,1,0),0)</f>
        <v>0</v>
      </c>
      <c r="AJ471" s="15">
        <f>SUM($AI$2:AI471)</f>
        <v>12</v>
      </c>
    </row>
    <row r="472" spans="18:36">
      <c r="R472" s="15" t="str">
        <f t="shared" si="71"/>
        <v/>
      </c>
      <c r="S472" s="15">
        <f t="shared" si="63"/>
        <v>0</v>
      </c>
      <c r="T472" s="16" t="str">
        <f>IF(S472=1, DATE(YEAR(Settings!$B$3), MONTH(D472), DAY(D472)), "")</f>
        <v/>
      </c>
      <c r="U472" s="15" t="str">
        <f>IF(S472=1,IFERROR(INDEX(Settings!$B$12:$B$41,MATCH($B472,Settings!$A$12:$A$41,0)),"N"),"")</f>
        <v/>
      </c>
      <c r="V472" s="15" t="str">
        <f>IF(S472=1,IFERROR(INDEX(Settings!$C$12:$C$41,MATCH($B472,Settings!$A$12:$A$41,0)),""),"")</f>
        <v/>
      </c>
      <c r="W472" s="17">
        <f>IF(S472=1,IFERROR(INDEX(Settings!$D$12:$D$41,MATCH($B472,Settings!$A$12:$A$41,0)),0),0)</f>
        <v>0</v>
      </c>
      <c r="X472" s="18">
        <f t="shared" si="64"/>
        <v>0</v>
      </c>
      <c r="Y472" s="18" t="str">
        <f t="shared" si="65"/>
        <v/>
      </c>
      <c r="Z472" s="15" t="str">
        <f>IF(S472=1,IFERROR(INDEX(Settings!$E$12:$E$41,MATCH($B472,Settings!$A$12:$A$41,0)),"N"),"")</f>
        <v/>
      </c>
      <c r="AA472" s="17">
        <f>IF(S472=1,IFERROR(INDEX(Settings!$F$12:$F$41,MATCH($B472,Settings!$A$12:$A$41,0)),0),0)</f>
        <v>0</v>
      </c>
      <c r="AB472" s="15">
        <f>IF(S472=1,IFERROR(INDEX(Settings!$G$12:$G$41,MATCH($B472,Settings!$A$12:$A$41,0)),0),0)</f>
        <v>0</v>
      </c>
      <c r="AC472" s="18" t="str">
        <f t="shared" si="66"/>
        <v/>
      </c>
      <c r="AD472" s="15" t="str">
        <f t="shared" si="67"/>
        <v/>
      </c>
      <c r="AE472" s="15" t="str">
        <f t="shared" si="68"/>
        <v/>
      </c>
      <c r="AF472" s="15" t="str">
        <f t="shared" si="69"/>
        <v/>
      </c>
      <c r="AG472" s="18">
        <f>IF(AND(S472=1,Z472="Y"),IF(Settings!$B$6="Percentage",IF(AD472=0,0,AC472*AA472*(N472/AD472)),IF(Settings!$B$6="Points",IF(AF472=0,0,AC472*(N472*AB472)/AF472),IF(Settings!$B$6="Equally",IF(AE472=0,0,AC472*N472/AE472),0))),0)</f>
        <v>0</v>
      </c>
      <c r="AH472" s="18" t="str">
        <f t="shared" si="70"/>
        <v/>
      </c>
      <c r="AI472" s="15">
        <f>IF(S472=1,IF(COUNTIFS($R$2:R472,R472,$S$2:S472,1)=1,1,0),0)</f>
        <v>0</v>
      </c>
      <c r="AJ472" s="15">
        <f>SUM($AI$2:AI472)</f>
        <v>12</v>
      </c>
    </row>
    <row r="473" spans="18:36">
      <c r="R473" s="15" t="str">
        <f t="shared" si="71"/>
        <v/>
      </c>
      <c r="S473" s="15">
        <f t="shared" si="63"/>
        <v>0</v>
      </c>
      <c r="T473" s="16" t="str">
        <f>IF(S473=1, DATE(YEAR(Settings!$B$3), MONTH(D473), DAY(D473)), "")</f>
        <v/>
      </c>
      <c r="U473" s="15" t="str">
        <f>IF(S473=1,IFERROR(INDEX(Settings!$B$12:$B$41,MATCH($B473,Settings!$A$12:$A$41,0)),"N"),"")</f>
        <v/>
      </c>
      <c r="V473" s="15" t="str">
        <f>IF(S473=1,IFERROR(INDEX(Settings!$C$12:$C$41,MATCH($B473,Settings!$A$12:$A$41,0)),""),"")</f>
        <v/>
      </c>
      <c r="W473" s="17">
        <f>IF(S473=1,IFERROR(INDEX(Settings!$D$12:$D$41,MATCH($B473,Settings!$A$12:$A$41,0)),0),0)</f>
        <v>0</v>
      </c>
      <c r="X473" s="18">
        <f t="shared" si="64"/>
        <v>0</v>
      </c>
      <c r="Y473" s="18" t="str">
        <f t="shared" si="65"/>
        <v/>
      </c>
      <c r="Z473" s="15" t="str">
        <f>IF(S473=1,IFERROR(INDEX(Settings!$E$12:$E$41,MATCH($B473,Settings!$A$12:$A$41,0)),"N"),"")</f>
        <v/>
      </c>
      <c r="AA473" s="17">
        <f>IF(S473=1,IFERROR(INDEX(Settings!$F$12:$F$41,MATCH($B473,Settings!$A$12:$A$41,0)),0),0)</f>
        <v>0</v>
      </c>
      <c r="AB473" s="15">
        <f>IF(S473=1,IFERROR(INDEX(Settings!$G$12:$G$41,MATCH($B473,Settings!$A$12:$A$41,0)),0),0)</f>
        <v>0</v>
      </c>
      <c r="AC473" s="18" t="str">
        <f t="shared" si="66"/>
        <v/>
      </c>
      <c r="AD473" s="15" t="str">
        <f t="shared" si="67"/>
        <v/>
      </c>
      <c r="AE473" s="15" t="str">
        <f t="shared" si="68"/>
        <v/>
      </c>
      <c r="AF473" s="15" t="str">
        <f t="shared" si="69"/>
        <v/>
      </c>
      <c r="AG473" s="18">
        <f>IF(AND(S473=1,Z473="Y"),IF(Settings!$B$6="Percentage",IF(AD473=0,0,AC473*AA473*(N473/AD473)),IF(Settings!$B$6="Points",IF(AF473=0,0,AC473*(N473*AB473)/AF473),IF(Settings!$B$6="Equally",IF(AE473=0,0,AC473*N473/AE473),0))),0)</f>
        <v>0</v>
      </c>
      <c r="AH473" s="18" t="str">
        <f t="shared" si="70"/>
        <v/>
      </c>
      <c r="AI473" s="15">
        <f>IF(S473=1,IF(COUNTIFS($R$2:R473,R473,$S$2:S473,1)=1,1,0),0)</f>
        <v>0</v>
      </c>
      <c r="AJ473" s="15">
        <f>SUM($AI$2:AI473)</f>
        <v>12</v>
      </c>
    </row>
    <row r="474" spans="18:36">
      <c r="R474" s="15" t="str">
        <f t="shared" si="71"/>
        <v/>
      </c>
      <c r="S474" s="15">
        <f t="shared" si="63"/>
        <v>0</v>
      </c>
      <c r="T474" s="16" t="str">
        <f>IF(S474=1, DATE(YEAR(Settings!$B$3), MONTH(D474), DAY(D474)), "")</f>
        <v/>
      </c>
      <c r="U474" s="15" t="str">
        <f>IF(S474=1,IFERROR(INDEX(Settings!$B$12:$B$41,MATCH($B474,Settings!$A$12:$A$41,0)),"N"),"")</f>
        <v/>
      </c>
      <c r="V474" s="15" t="str">
        <f>IF(S474=1,IFERROR(INDEX(Settings!$C$12:$C$41,MATCH($B474,Settings!$A$12:$A$41,0)),""),"")</f>
        <v/>
      </c>
      <c r="W474" s="17">
        <f>IF(S474=1,IFERROR(INDEX(Settings!$D$12:$D$41,MATCH($B474,Settings!$A$12:$A$41,0)),0),0)</f>
        <v>0</v>
      </c>
      <c r="X474" s="18">
        <f t="shared" si="64"/>
        <v>0</v>
      </c>
      <c r="Y474" s="18" t="str">
        <f t="shared" si="65"/>
        <v/>
      </c>
      <c r="Z474" s="15" t="str">
        <f>IF(S474=1,IFERROR(INDEX(Settings!$E$12:$E$41,MATCH($B474,Settings!$A$12:$A$41,0)),"N"),"")</f>
        <v/>
      </c>
      <c r="AA474" s="17">
        <f>IF(S474=1,IFERROR(INDEX(Settings!$F$12:$F$41,MATCH($B474,Settings!$A$12:$A$41,0)),0),0)</f>
        <v>0</v>
      </c>
      <c r="AB474" s="15">
        <f>IF(S474=1,IFERROR(INDEX(Settings!$G$12:$G$41,MATCH($B474,Settings!$A$12:$A$41,0)),0),0)</f>
        <v>0</v>
      </c>
      <c r="AC474" s="18" t="str">
        <f t="shared" si="66"/>
        <v/>
      </c>
      <c r="AD474" s="15" t="str">
        <f t="shared" si="67"/>
        <v/>
      </c>
      <c r="AE474" s="15" t="str">
        <f t="shared" si="68"/>
        <v/>
      </c>
      <c r="AF474" s="15" t="str">
        <f t="shared" si="69"/>
        <v/>
      </c>
      <c r="AG474" s="18">
        <f>IF(AND(S474=1,Z474="Y"),IF(Settings!$B$6="Percentage",IF(AD474=0,0,AC474*AA474*(N474/AD474)),IF(Settings!$B$6="Points",IF(AF474=0,0,AC474*(N474*AB474)/AF474),IF(Settings!$B$6="Equally",IF(AE474=0,0,AC474*N474/AE474),0))),0)</f>
        <v>0</v>
      </c>
      <c r="AH474" s="18" t="str">
        <f t="shared" si="70"/>
        <v/>
      </c>
      <c r="AI474" s="15">
        <f>IF(S474=1,IF(COUNTIFS($R$2:R474,R474,$S$2:S474,1)=1,1,0),0)</f>
        <v>0</v>
      </c>
      <c r="AJ474" s="15">
        <f>SUM($AI$2:AI474)</f>
        <v>12</v>
      </c>
    </row>
    <row r="475" spans="18:36">
      <c r="R475" s="15" t="str">
        <f t="shared" si="71"/>
        <v/>
      </c>
      <c r="S475" s="15">
        <f t="shared" si="63"/>
        <v>0</v>
      </c>
      <c r="T475" s="16" t="str">
        <f>IF(S475=1, DATE(YEAR(Settings!$B$3), MONTH(D475), DAY(D475)), "")</f>
        <v/>
      </c>
      <c r="U475" s="15" t="str">
        <f>IF(S475=1,IFERROR(INDEX(Settings!$B$12:$B$41,MATCH($B475,Settings!$A$12:$A$41,0)),"N"),"")</f>
        <v/>
      </c>
      <c r="V475" s="15" t="str">
        <f>IF(S475=1,IFERROR(INDEX(Settings!$C$12:$C$41,MATCH($B475,Settings!$A$12:$A$41,0)),""),"")</f>
        <v/>
      </c>
      <c r="W475" s="17">
        <f>IF(S475=1,IFERROR(INDEX(Settings!$D$12:$D$41,MATCH($B475,Settings!$A$12:$A$41,0)),0),0)</f>
        <v>0</v>
      </c>
      <c r="X475" s="18">
        <f t="shared" si="64"/>
        <v>0</v>
      </c>
      <c r="Y475" s="18" t="str">
        <f t="shared" si="65"/>
        <v/>
      </c>
      <c r="Z475" s="15" t="str">
        <f>IF(S475=1,IFERROR(INDEX(Settings!$E$12:$E$41,MATCH($B475,Settings!$A$12:$A$41,0)),"N"),"")</f>
        <v/>
      </c>
      <c r="AA475" s="17">
        <f>IF(S475=1,IFERROR(INDEX(Settings!$F$12:$F$41,MATCH($B475,Settings!$A$12:$A$41,0)),0),0)</f>
        <v>0</v>
      </c>
      <c r="AB475" s="15">
        <f>IF(S475=1,IFERROR(INDEX(Settings!$G$12:$G$41,MATCH($B475,Settings!$A$12:$A$41,0)),0),0)</f>
        <v>0</v>
      </c>
      <c r="AC475" s="18" t="str">
        <f t="shared" si="66"/>
        <v/>
      </c>
      <c r="AD475" s="15" t="str">
        <f t="shared" si="67"/>
        <v/>
      </c>
      <c r="AE475" s="15" t="str">
        <f t="shared" si="68"/>
        <v/>
      </c>
      <c r="AF475" s="15" t="str">
        <f t="shared" si="69"/>
        <v/>
      </c>
      <c r="AG475" s="18">
        <f>IF(AND(S475=1,Z475="Y"),IF(Settings!$B$6="Percentage",IF(AD475=0,0,AC475*AA475*(N475/AD475)),IF(Settings!$B$6="Points",IF(AF475=0,0,AC475*(N475*AB475)/AF475),IF(Settings!$B$6="Equally",IF(AE475=0,0,AC475*N475/AE475),0))),0)</f>
        <v>0</v>
      </c>
      <c r="AH475" s="18" t="str">
        <f t="shared" si="70"/>
        <v/>
      </c>
      <c r="AI475" s="15">
        <f>IF(S475=1,IF(COUNTIFS($R$2:R475,R475,$S$2:S475,1)=1,1,0),0)</f>
        <v>0</v>
      </c>
      <c r="AJ475" s="15">
        <f>SUM($AI$2:AI475)</f>
        <v>12</v>
      </c>
    </row>
    <row r="476" spans="18:36">
      <c r="R476" s="15" t="str">
        <f t="shared" si="71"/>
        <v/>
      </c>
      <c r="S476" s="15">
        <f t="shared" si="63"/>
        <v>0</v>
      </c>
      <c r="T476" s="16" t="str">
        <f>IF(S476=1, DATE(YEAR(Settings!$B$3), MONTH(D476), DAY(D476)), "")</f>
        <v/>
      </c>
      <c r="U476" s="15" t="str">
        <f>IF(S476=1,IFERROR(INDEX(Settings!$B$12:$B$41,MATCH($B476,Settings!$A$12:$A$41,0)),"N"),"")</f>
        <v/>
      </c>
      <c r="V476" s="15" t="str">
        <f>IF(S476=1,IFERROR(INDEX(Settings!$C$12:$C$41,MATCH($B476,Settings!$A$12:$A$41,0)),""),"")</f>
        <v/>
      </c>
      <c r="W476" s="17">
        <f>IF(S476=1,IFERROR(INDEX(Settings!$D$12:$D$41,MATCH($B476,Settings!$A$12:$A$41,0)),0),0)</f>
        <v>0</v>
      </c>
      <c r="X476" s="18">
        <f t="shared" si="64"/>
        <v>0</v>
      </c>
      <c r="Y476" s="18" t="str">
        <f t="shared" si="65"/>
        <v/>
      </c>
      <c r="Z476" s="15" t="str">
        <f>IF(S476=1,IFERROR(INDEX(Settings!$E$12:$E$41,MATCH($B476,Settings!$A$12:$A$41,0)),"N"),"")</f>
        <v/>
      </c>
      <c r="AA476" s="17">
        <f>IF(S476=1,IFERROR(INDEX(Settings!$F$12:$F$41,MATCH($B476,Settings!$A$12:$A$41,0)),0),0)</f>
        <v>0</v>
      </c>
      <c r="AB476" s="15">
        <f>IF(S476=1,IFERROR(INDEX(Settings!$G$12:$G$41,MATCH($B476,Settings!$A$12:$A$41,0)),0),0)</f>
        <v>0</v>
      </c>
      <c r="AC476" s="18" t="str">
        <f t="shared" si="66"/>
        <v/>
      </c>
      <c r="AD476" s="15" t="str">
        <f t="shared" si="67"/>
        <v/>
      </c>
      <c r="AE476" s="15" t="str">
        <f t="shared" si="68"/>
        <v/>
      </c>
      <c r="AF476" s="15" t="str">
        <f t="shared" si="69"/>
        <v/>
      </c>
      <c r="AG476" s="18">
        <f>IF(AND(S476=1,Z476="Y"),IF(Settings!$B$6="Percentage",IF(AD476=0,0,AC476*AA476*(N476/AD476)),IF(Settings!$B$6="Points",IF(AF476=0,0,AC476*(N476*AB476)/AF476),IF(Settings!$B$6="Equally",IF(AE476=0,0,AC476*N476/AE476),0))),0)</f>
        <v>0</v>
      </c>
      <c r="AH476" s="18" t="str">
        <f t="shared" si="70"/>
        <v/>
      </c>
      <c r="AI476" s="15">
        <f>IF(S476=1,IF(COUNTIFS($R$2:R476,R476,$S$2:S476,1)=1,1,0),0)</f>
        <v>0</v>
      </c>
      <c r="AJ476" s="15">
        <f>SUM($AI$2:AI476)</f>
        <v>12</v>
      </c>
    </row>
    <row r="477" spans="18:36">
      <c r="R477" s="15" t="str">
        <f t="shared" si="71"/>
        <v/>
      </c>
      <c r="S477" s="15">
        <f t="shared" si="63"/>
        <v>0</v>
      </c>
      <c r="T477" s="16" t="str">
        <f>IF(S477=1, DATE(YEAR(Settings!$B$3), MONTH(D477), DAY(D477)), "")</f>
        <v/>
      </c>
      <c r="U477" s="15" t="str">
        <f>IF(S477=1,IFERROR(INDEX(Settings!$B$12:$B$41,MATCH($B477,Settings!$A$12:$A$41,0)),"N"),"")</f>
        <v/>
      </c>
      <c r="V477" s="15" t="str">
        <f>IF(S477=1,IFERROR(INDEX(Settings!$C$12:$C$41,MATCH($B477,Settings!$A$12:$A$41,0)),""),"")</f>
        <v/>
      </c>
      <c r="W477" s="17">
        <f>IF(S477=1,IFERROR(INDEX(Settings!$D$12:$D$41,MATCH($B477,Settings!$A$12:$A$41,0)),0),0)</f>
        <v>0</v>
      </c>
      <c r="X477" s="18">
        <f t="shared" si="64"/>
        <v>0</v>
      </c>
      <c r="Y477" s="18" t="str">
        <f t="shared" si="65"/>
        <v/>
      </c>
      <c r="Z477" s="15" t="str">
        <f>IF(S477=1,IFERROR(INDEX(Settings!$E$12:$E$41,MATCH($B477,Settings!$A$12:$A$41,0)),"N"),"")</f>
        <v/>
      </c>
      <c r="AA477" s="17">
        <f>IF(S477=1,IFERROR(INDEX(Settings!$F$12:$F$41,MATCH($B477,Settings!$A$12:$A$41,0)),0),0)</f>
        <v>0</v>
      </c>
      <c r="AB477" s="15">
        <f>IF(S477=1,IFERROR(INDEX(Settings!$G$12:$G$41,MATCH($B477,Settings!$A$12:$A$41,0)),0),0)</f>
        <v>0</v>
      </c>
      <c r="AC477" s="18" t="str">
        <f t="shared" si="66"/>
        <v/>
      </c>
      <c r="AD477" s="15" t="str">
        <f t="shared" si="67"/>
        <v/>
      </c>
      <c r="AE477" s="15" t="str">
        <f t="shared" si="68"/>
        <v/>
      </c>
      <c r="AF477" s="15" t="str">
        <f t="shared" si="69"/>
        <v/>
      </c>
      <c r="AG477" s="18">
        <f>IF(AND(S477=1,Z477="Y"),IF(Settings!$B$6="Percentage",IF(AD477=0,0,AC477*AA477*(N477/AD477)),IF(Settings!$B$6="Points",IF(AF477=0,0,AC477*(N477*AB477)/AF477),IF(Settings!$B$6="Equally",IF(AE477=0,0,AC477*N477/AE477),0))),0)</f>
        <v>0</v>
      </c>
      <c r="AH477" s="18" t="str">
        <f t="shared" si="70"/>
        <v/>
      </c>
      <c r="AI477" s="15">
        <f>IF(S477=1,IF(COUNTIFS($R$2:R477,R477,$S$2:S477,1)=1,1,0),0)</f>
        <v>0</v>
      </c>
      <c r="AJ477" s="15">
        <f>SUM($AI$2:AI477)</f>
        <v>12</v>
      </c>
    </row>
    <row r="478" spans="18:36">
      <c r="R478" s="15" t="str">
        <f t="shared" si="71"/>
        <v/>
      </c>
      <c r="S478" s="15">
        <f t="shared" si="63"/>
        <v>0</v>
      </c>
      <c r="T478" s="16" t="str">
        <f>IF(S478=1, DATE(YEAR(Settings!$B$3), MONTH(D478), DAY(D478)), "")</f>
        <v/>
      </c>
      <c r="U478" s="15" t="str">
        <f>IF(S478=1,IFERROR(INDEX(Settings!$B$12:$B$41,MATCH($B478,Settings!$A$12:$A$41,0)),"N"),"")</f>
        <v/>
      </c>
      <c r="V478" s="15" t="str">
        <f>IF(S478=1,IFERROR(INDEX(Settings!$C$12:$C$41,MATCH($B478,Settings!$A$12:$A$41,0)),""),"")</f>
        <v/>
      </c>
      <c r="W478" s="17">
        <f>IF(S478=1,IFERROR(INDEX(Settings!$D$12:$D$41,MATCH($B478,Settings!$A$12:$A$41,0)),0),0)</f>
        <v>0</v>
      </c>
      <c r="X478" s="18">
        <f t="shared" si="64"/>
        <v>0</v>
      </c>
      <c r="Y478" s="18" t="str">
        <f t="shared" si="65"/>
        <v/>
      </c>
      <c r="Z478" s="15" t="str">
        <f>IF(S478=1,IFERROR(INDEX(Settings!$E$12:$E$41,MATCH($B478,Settings!$A$12:$A$41,0)),"N"),"")</f>
        <v/>
      </c>
      <c r="AA478" s="17">
        <f>IF(S478=1,IFERROR(INDEX(Settings!$F$12:$F$41,MATCH($B478,Settings!$A$12:$A$41,0)),0),0)</f>
        <v>0</v>
      </c>
      <c r="AB478" s="15">
        <f>IF(S478=1,IFERROR(INDEX(Settings!$G$12:$G$41,MATCH($B478,Settings!$A$12:$A$41,0)),0),0)</f>
        <v>0</v>
      </c>
      <c r="AC478" s="18" t="str">
        <f t="shared" si="66"/>
        <v/>
      </c>
      <c r="AD478" s="15" t="str">
        <f t="shared" si="67"/>
        <v/>
      </c>
      <c r="AE478" s="15" t="str">
        <f t="shared" si="68"/>
        <v/>
      </c>
      <c r="AF478" s="15" t="str">
        <f t="shared" si="69"/>
        <v/>
      </c>
      <c r="AG478" s="18">
        <f>IF(AND(S478=1,Z478="Y"),IF(Settings!$B$6="Percentage",IF(AD478=0,0,AC478*AA478*(N478/AD478)),IF(Settings!$B$6="Points",IF(AF478=0,0,AC478*(N478*AB478)/AF478),IF(Settings!$B$6="Equally",IF(AE478=0,0,AC478*N478/AE478),0))),0)</f>
        <v>0</v>
      </c>
      <c r="AH478" s="18" t="str">
        <f t="shared" si="70"/>
        <v/>
      </c>
      <c r="AI478" s="15">
        <f>IF(S478=1,IF(COUNTIFS($R$2:R478,R478,$S$2:S478,1)=1,1,0),0)</f>
        <v>0</v>
      </c>
      <c r="AJ478" s="15">
        <f>SUM($AI$2:AI478)</f>
        <v>12</v>
      </c>
    </row>
    <row r="479" spans="18:36">
      <c r="R479" s="15" t="str">
        <f t="shared" si="71"/>
        <v/>
      </c>
      <c r="S479" s="15">
        <f t="shared" si="63"/>
        <v>0</v>
      </c>
      <c r="T479" s="16" t="str">
        <f>IF(S479=1, DATE(YEAR(Settings!$B$3), MONTH(D479), DAY(D479)), "")</f>
        <v/>
      </c>
      <c r="U479" s="15" t="str">
        <f>IF(S479=1,IFERROR(INDEX(Settings!$B$12:$B$41,MATCH($B479,Settings!$A$12:$A$41,0)),"N"),"")</f>
        <v/>
      </c>
      <c r="V479" s="15" t="str">
        <f>IF(S479=1,IFERROR(INDEX(Settings!$C$12:$C$41,MATCH($B479,Settings!$A$12:$A$41,0)),""),"")</f>
        <v/>
      </c>
      <c r="W479" s="17">
        <f>IF(S479=1,IFERROR(INDEX(Settings!$D$12:$D$41,MATCH($B479,Settings!$A$12:$A$41,0)),0),0)</f>
        <v>0</v>
      </c>
      <c r="X479" s="18">
        <f t="shared" si="64"/>
        <v>0</v>
      </c>
      <c r="Y479" s="18" t="str">
        <f t="shared" si="65"/>
        <v/>
      </c>
      <c r="Z479" s="15" t="str">
        <f>IF(S479=1,IFERROR(INDEX(Settings!$E$12:$E$41,MATCH($B479,Settings!$A$12:$A$41,0)),"N"),"")</f>
        <v/>
      </c>
      <c r="AA479" s="17">
        <f>IF(S479=1,IFERROR(INDEX(Settings!$F$12:$F$41,MATCH($B479,Settings!$A$12:$A$41,0)),0),0)</f>
        <v>0</v>
      </c>
      <c r="AB479" s="15">
        <f>IF(S479=1,IFERROR(INDEX(Settings!$G$12:$G$41,MATCH($B479,Settings!$A$12:$A$41,0)),0),0)</f>
        <v>0</v>
      </c>
      <c r="AC479" s="18" t="str">
        <f t="shared" si="66"/>
        <v/>
      </c>
      <c r="AD479" s="15" t="str">
        <f t="shared" si="67"/>
        <v/>
      </c>
      <c r="AE479" s="15" t="str">
        <f t="shared" si="68"/>
        <v/>
      </c>
      <c r="AF479" s="15" t="str">
        <f t="shared" si="69"/>
        <v/>
      </c>
      <c r="AG479" s="18">
        <f>IF(AND(S479=1,Z479="Y"),IF(Settings!$B$6="Percentage",IF(AD479=0,0,AC479*AA479*(N479/AD479)),IF(Settings!$B$6="Points",IF(AF479=0,0,AC479*(N479*AB479)/AF479),IF(Settings!$B$6="Equally",IF(AE479=0,0,AC479*N479/AE479),0))),0)</f>
        <v>0</v>
      </c>
      <c r="AH479" s="18" t="str">
        <f t="shared" si="70"/>
        <v/>
      </c>
      <c r="AI479" s="15">
        <f>IF(S479=1,IF(COUNTIFS($R$2:R479,R479,$S$2:S479,1)=1,1,0),0)</f>
        <v>0</v>
      </c>
      <c r="AJ479" s="15">
        <f>SUM($AI$2:AI479)</f>
        <v>12</v>
      </c>
    </row>
    <row r="480" spans="18:36">
      <c r="R480" s="15" t="str">
        <f t="shared" si="71"/>
        <v/>
      </c>
      <c r="S480" s="15">
        <f t="shared" si="63"/>
        <v>0</v>
      </c>
      <c r="T480" s="16" t="str">
        <f>IF(S480=1, DATE(YEAR(Settings!$B$3), MONTH(D480), DAY(D480)), "")</f>
        <v/>
      </c>
      <c r="U480" s="15" t="str">
        <f>IF(S480=1,IFERROR(INDEX(Settings!$B$12:$B$41,MATCH($B480,Settings!$A$12:$A$41,0)),"N"),"")</f>
        <v/>
      </c>
      <c r="V480" s="15" t="str">
        <f>IF(S480=1,IFERROR(INDEX(Settings!$C$12:$C$41,MATCH($B480,Settings!$A$12:$A$41,0)),""),"")</f>
        <v/>
      </c>
      <c r="W480" s="17">
        <f>IF(S480=1,IFERROR(INDEX(Settings!$D$12:$D$41,MATCH($B480,Settings!$A$12:$A$41,0)),0),0)</f>
        <v>0</v>
      </c>
      <c r="X480" s="18">
        <f t="shared" si="64"/>
        <v>0</v>
      </c>
      <c r="Y480" s="18" t="str">
        <f t="shared" si="65"/>
        <v/>
      </c>
      <c r="Z480" s="15" t="str">
        <f>IF(S480=1,IFERROR(INDEX(Settings!$E$12:$E$41,MATCH($B480,Settings!$A$12:$A$41,0)),"N"),"")</f>
        <v/>
      </c>
      <c r="AA480" s="17">
        <f>IF(S480=1,IFERROR(INDEX(Settings!$F$12:$F$41,MATCH($B480,Settings!$A$12:$A$41,0)),0),0)</f>
        <v>0</v>
      </c>
      <c r="AB480" s="15">
        <f>IF(S480=1,IFERROR(INDEX(Settings!$G$12:$G$41,MATCH($B480,Settings!$A$12:$A$41,0)),0),0)</f>
        <v>0</v>
      </c>
      <c r="AC480" s="18" t="str">
        <f t="shared" si="66"/>
        <v/>
      </c>
      <c r="AD480" s="15" t="str">
        <f t="shared" si="67"/>
        <v/>
      </c>
      <c r="AE480" s="15" t="str">
        <f t="shared" si="68"/>
        <v/>
      </c>
      <c r="AF480" s="15" t="str">
        <f t="shared" si="69"/>
        <v/>
      </c>
      <c r="AG480" s="18">
        <f>IF(AND(S480=1,Z480="Y"),IF(Settings!$B$6="Percentage",IF(AD480=0,0,AC480*AA480*(N480/AD480)),IF(Settings!$B$6="Points",IF(AF480=0,0,AC480*(N480*AB480)/AF480),IF(Settings!$B$6="Equally",IF(AE480=0,0,AC480*N480/AE480),0))),0)</f>
        <v>0</v>
      </c>
      <c r="AH480" s="18" t="str">
        <f t="shared" si="70"/>
        <v/>
      </c>
      <c r="AI480" s="15">
        <f>IF(S480=1,IF(COUNTIFS($R$2:R480,R480,$S$2:S480,1)=1,1,0),0)</f>
        <v>0</v>
      </c>
      <c r="AJ480" s="15">
        <f>SUM($AI$2:AI480)</f>
        <v>12</v>
      </c>
    </row>
    <row r="481" spans="18:36">
      <c r="R481" s="15" t="str">
        <f t="shared" si="71"/>
        <v/>
      </c>
      <c r="S481" s="15">
        <f t="shared" si="63"/>
        <v>0</v>
      </c>
      <c r="T481" s="16" t="str">
        <f>IF(S481=1, DATE(YEAR(Settings!$B$3), MONTH(D481), DAY(D481)), "")</f>
        <v/>
      </c>
      <c r="U481" s="15" t="str">
        <f>IF(S481=1,IFERROR(INDEX(Settings!$B$12:$B$41,MATCH($B481,Settings!$A$12:$A$41,0)),"N"),"")</f>
        <v/>
      </c>
      <c r="V481" s="15" t="str">
        <f>IF(S481=1,IFERROR(INDEX(Settings!$C$12:$C$41,MATCH($B481,Settings!$A$12:$A$41,0)),""),"")</f>
        <v/>
      </c>
      <c r="W481" s="17">
        <f>IF(S481=1,IFERROR(INDEX(Settings!$D$12:$D$41,MATCH($B481,Settings!$A$12:$A$41,0)),0),0)</f>
        <v>0</v>
      </c>
      <c r="X481" s="18">
        <f t="shared" si="64"/>
        <v>0</v>
      </c>
      <c r="Y481" s="18" t="str">
        <f t="shared" si="65"/>
        <v/>
      </c>
      <c r="Z481" s="15" t="str">
        <f>IF(S481=1,IFERROR(INDEX(Settings!$E$12:$E$41,MATCH($B481,Settings!$A$12:$A$41,0)),"N"),"")</f>
        <v/>
      </c>
      <c r="AA481" s="17">
        <f>IF(S481=1,IFERROR(INDEX(Settings!$F$12:$F$41,MATCH($B481,Settings!$A$12:$A$41,0)),0),0)</f>
        <v>0</v>
      </c>
      <c r="AB481" s="15">
        <f>IF(S481=1,IFERROR(INDEX(Settings!$G$12:$G$41,MATCH($B481,Settings!$A$12:$A$41,0)),0),0)</f>
        <v>0</v>
      </c>
      <c r="AC481" s="18" t="str">
        <f t="shared" si="66"/>
        <v/>
      </c>
      <c r="AD481" s="15" t="str">
        <f t="shared" si="67"/>
        <v/>
      </c>
      <c r="AE481" s="15" t="str">
        <f t="shared" si="68"/>
        <v/>
      </c>
      <c r="AF481" s="15" t="str">
        <f t="shared" si="69"/>
        <v/>
      </c>
      <c r="AG481" s="18">
        <f>IF(AND(S481=1,Z481="Y"),IF(Settings!$B$6="Percentage",IF(AD481=0,0,AC481*AA481*(N481/AD481)),IF(Settings!$B$6="Points",IF(AF481=0,0,AC481*(N481*AB481)/AF481),IF(Settings!$B$6="Equally",IF(AE481=0,0,AC481*N481/AE481),0))),0)</f>
        <v>0</v>
      </c>
      <c r="AH481" s="18" t="str">
        <f t="shared" si="70"/>
        <v/>
      </c>
      <c r="AI481" s="15">
        <f>IF(S481=1,IF(COUNTIFS($R$2:R481,R481,$S$2:S481,1)=1,1,0),0)</f>
        <v>0</v>
      </c>
      <c r="AJ481" s="15">
        <f>SUM($AI$2:AI481)</f>
        <v>12</v>
      </c>
    </row>
    <row r="482" spans="18:36">
      <c r="R482" s="15" t="str">
        <f t="shared" si="71"/>
        <v/>
      </c>
      <c r="S482" s="15">
        <f t="shared" si="63"/>
        <v>0</v>
      </c>
      <c r="T482" s="16" t="str">
        <f>IF(S482=1, DATE(YEAR(Settings!$B$3), MONTH(D482), DAY(D482)), "")</f>
        <v/>
      </c>
      <c r="U482" s="15" t="str">
        <f>IF(S482=1,IFERROR(INDEX(Settings!$B$12:$B$41,MATCH($B482,Settings!$A$12:$A$41,0)),"N"),"")</f>
        <v/>
      </c>
      <c r="V482" s="15" t="str">
        <f>IF(S482=1,IFERROR(INDEX(Settings!$C$12:$C$41,MATCH($B482,Settings!$A$12:$A$41,0)),""),"")</f>
        <v/>
      </c>
      <c r="W482" s="17">
        <f>IF(S482=1,IFERROR(INDEX(Settings!$D$12:$D$41,MATCH($B482,Settings!$A$12:$A$41,0)),0),0)</f>
        <v>0</v>
      </c>
      <c r="X482" s="18">
        <f t="shared" si="64"/>
        <v>0</v>
      </c>
      <c r="Y482" s="18" t="str">
        <f t="shared" si="65"/>
        <v/>
      </c>
      <c r="Z482" s="15" t="str">
        <f>IF(S482=1,IFERROR(INDEX(Settings!$E$12:$E$41,MATCH($B482,Settings!$A$12:$A$41,0)),"N"),"")</f>
        <v/>
      </c>
      <c r="AA482" s="17">
        <f>IF(S482=1,IFERROR(INDEX(Settings!$F$12:$F$41,MATCH($B482,Settings!$A$12:$A$41,0)),0),0)</f>
        <v>0</v>
      </c>
      <c r="AB482" s="15">
        <f>IF(S482=1,IFERROR(INDEX(Settings!$G$12:$G$41,MATCH($B482,Settings!$A$12:$A$41,0)),0),0)</f>
        <v>0</v>
      </c>
      <c r="AC482" s="18" t="str">
        <f t="shared" si="66"/>
        <v/>
      </c>
      <c r="AD482" s="15" t="str">
        <f t="shared" si="67"/>
        <v/>
      </c>
      <c r="AE482" s="15" t="str">
        <f t="shared" si="68"/>
        <v/>
      </c>
      <c r="AF482" s="15" t="str">
        <f t="shared" si="69"/>
        <v/>
      </c>
      <c r="AG482" s="18">
        <f>IF(AND(S482=1,Z482="Y"),IF(Settings!$B$6="Percentage",IF(AD482=0,0,AC482*AA482*(N482/AD482)),IF(Settings!$B$6="Points",IF(AF482=0,0,AC482*(N482*AB482)/AF482),IF(Settings!$B$6="Equally",IF(AE482=0,0,AC482*N482/AE482),0))),0)</f>
        <v>0</v>
      </c>
      <c r="AH482" s="18" t="str">
        <f t="shared" si="70"/>
        <v/>
      </c>
      <c r="AI482" s="15">
        <f>IF(S482=1,IF(COUNTIFS($R$2:R482,R482,$S$2:S482,1)=1,1,0),0)</f>
        <v>0</v>
      </c>
      <c r="AJ482" s="15">
        <f>SUM($AI$2:AI482)</f>
        <v>12</v>
      </c>
    </row>
    <row r="483" spans="18:36">
      <c r="R483" s="15" t="str">
        <f t="shared" si="71"/>
        <v/>
      </c>
      <c r="S483" s="15">
        <f t="shared" si="63"/>
        <v>0</v>
      </c>
      <c r="T483" s="16" t="str">
        <f>IF(S483=1, DATE(YEAR(Settings!$B$3), MONTH(D483), DAY(D483)), "")</f>
        <v/>
      </c>
      <c r="U483" s="15" t="str">
        <f>IF(S483=1,IFERROR(INDEX(Settings!$B$12:$B$41,MATCH($B483,Settings!$A$12:$A$41,0)),"N"),"")</f>
        <v/>
      </c>
      <c r="V483" s="15" t="str">
        <f>IF(S483=1,IFERROR(INDEX(Settings!$C$12:$C$41,MATCH($B483,Settings!$A$12:$A$41,0)),""),"")</f>
        <v/>
      </c>
      <c r="W483" s="17">
        <f>IF(S483=1,IFERROR(INDEX(Settings!$D$12:$D$41,MATCH($B483,Settings!$A$12:$A$41,0)),0),0)</f>
        <v>0</v>
      </c>
      <c r="X483" s="18">
        <f t="shared" si="64"/>
        <v>0</v>
      </c>
      <c r="Y483" s="18" t="str">
        <f t="shared" si="65"/>
        <v/>
      </c>
      <c r="Z483" s="15" t="str">
        <f>IF(S483=1,IFERROR(INDEX(Settings!$E$12:$E$41,MATCH($B483,Settings!$A$12:$A$41,0)),"N"),"")</f>
        <v/>
      </c>
      <c r="AA483" s="17">
        <f>IF(S483=1,IFERROR(INDEX(Settings!$F$12:$F$41,MATCH($B483,Settings!$A$12:$A$41,0)),0),0)</f>
        <v>0</v>
      </c>
      <c r="AB483" s="15">
        <f>IF(S483=1,IFERROR(INDEX(Settings!$G$12:$G$41,MATCH($B483,Settings!$A$12:$A$41,0)),0),0)</f>
        <v>0</v>
      </c>
      <c r="AC483" s="18" t="str">
        <f t="shared" si="66"/>
        <v/>
      </c>
      <c r="AD483" s="15" t="str">
        <f t="shared" si="67"/>
        <v/>
      </c>
      <c r="AE483" s="15" t="str">
        <f t="shared" si="68"/>
        <v/>
      </c>
      <c r="AF483" s="15" t="str">
        <f t="shared" si="69"/>
        <v/>
      </c>
      <c r="AG483" s="18">
        <f>IF(AND(S483=1,Z483="Y"),IF(Settings!$B$6="Percentage",IF(AD483=0,0,AC483*AA483*(N483/AD483)),IF(Settings!$B$6="Points",IF(AF483=0,0,AC483*(N483*AB483)/AF483),IF(Settings!$B$6="Equally",IF(AE483=0,0,AC483*N483/AE483),0))),0)</f>
        <v>0</v>
      </c>
      <c r="AH483" s="18" t="str">
        <f t="shared" si="70"/>
        <v/>
      </c>
      <c r="AI483" s="15">
        <f>IF(S483=1,IF(COUNTIFS($R$2:R483,R483,$S$2:S483,1)=1,1,0),0)</f>
        <v>0</v>
      </c>
      <c r="AJ483" s="15">
        <f>SUM($AI$2:AI483)</f>
        <v>12</v>
      </c>
    </row>
    <row r="484" spans="18:36">
      <c r="R484" s="15" t="str">
        <f t="shared" si="71"/>
        <v/>
      </c>
      <c r="S484" s="15">
        <f t="shared" si="63"/>
        <v>0</v>
      </c>
      <c r="T484" s="16" t="str">
        <f>IF(S484=1, DATE(YEAR(Settings!$B$3), MONTH(D484), DAY(D484)), "")</f>
        <v/>
      </c>
      <c r="U484" s="15" t="str">
        <f>IF(S484=1,IFERROR(INDEX(Settings!$B$12:$B$41,MATCH($B484,Settings!$A$12:$A$41,0)),"N"),"")</f>
        <v/>
      </c>
      <c r="V484" s="15" t="str">
        <f>IF(S484=1,IFERROR(INDEX(Settings!$C$12:$C$41,MATCH($B484,Settings!$A$12:$A$41,0)),""),"")</f>
        <v/>
      </c>
      <c r="W484" s="17">
        <f>IF(S484=1,IFERROR(INDEX(Settings!$D$12:$D$41,MATCH($B484,Settings!$A$12:$A$41,0)),0),0)</f>
        <v>0</v>
      </c>
      <c r="X484" s="18">
        <f t="shared" si="64"/>
        <v>0</v>
      </c>
      <c r="Y484" s="18" t="str">
        <f t="shared" si="65"/>
        <v/>
      </c>
      <c r="Z484" s="15" t="str">
        <f>IF(S484=1,IFERROR(INDEX(Settings!$E$12:$E$41,MATCH($B484,Settings!$A$12:$A$41,0)),"N"),"")</f>
        <v/>
      </c>
      <c r="AA484" s="17">
        <f>IF(S484=1,IFERROR(INDEX(Settings!$F$12:$F$41,MATCH($B484,Settings!$A$12:$A$41,0)),0),0)</f>
        <v>0</v>
      </c>
      <c r="AB484" s="15">
        <f>IF(S484=1,IFERROR(INDEX(Settings!$G$12:$G$41,MATCH($B484,Settings!$A$12:$A$41,0)),0),0)</f>
        <v>0</v>
      </c>
      <c r="AC484" s="18" t="str">
        <f t="shared" si="66"/>
        <v/>
      </c>
      <c r="AD484" s="15" t="str">
        <f t="shared" si="67"/>
        <v/>
      </c>
      <c r="AE484" s="15" t="str">
        <f t="shared" si="68"/>
        <v/>
      </c>
      <c r="AF484" s="15" t="str">
        <f t="shared" si="69"/>
        <v/>
      </c>
      <c r="AG484" s="18">
        <f>IF(AND(S484=1,Z484="Y"),IF(Settings!$B$6="Percentage",IF(AD484=0,0,AC484*AA484*(N484/AD484)),IF(Settings!$B$6="Points",IF(AF484=0,0,AC484*(N484*AB484)/AF484),IF(Settings!$B$6="Equally",IF(AE484=0,0,AC484*N484/AE484),0))),0)</f>
        <v>0</v>
      </c>
      <c r="AH484" s="18" t="str">
        <f t="shared" si="70"/>
        <v/>
      </c>
      <c r="AI484" s="15">
        <f>IF(S484=1,IF(COUNTIFS($R$2:R484,R484,$S$2:S484,1)=1,1,0),0)</f>
        <v>0</v>
      </c>
      <c r="AJ484" s="15">
        <f>SUM($AI$2:AI484)</f>
        <v>12</v>
      </c>
    </row>
    <row r="485" spans="18:36">
      <c r="R485" s="15" t="str">
        <f t="shared" si="71"/>
        <v/>
      </c>
      <c r="S485" s="15">
        <f t="shared" si="63"/>
        <v>0</v>
      </c>
      <c r="T485" s="16" t="str">
        <f>IF(S485=1, DATE(YEAR(Settings!$B$3), MONTH(D485), DAY(D485)), "")</f>
        <v/>
      </c>
      <c r="U485" s="15" t="str">
        <f>IF(S485=1,IFERROR(INDEX(Settings!$B$12:$B$41,MATCH($B485,Settings!$A$12:$A$41,0)),"N"),"")</f>
        <v/>
      </c>
      <c r="V485" s="15" t="str">
        <f>IF(S485=1,IFERROR(INDEX(Settings!$C$12:$C$41,MATCH($B485,Settings!$A$12:$A$41,0)),""),"")</f>
        <v/>
      </c>
      <c r="W485" s="17">
        <f>IF(S485=1,IFERROR(INDEX(Settings!$D$12:$D$41,MATCH($B485,Settings!$A$12:$A$41,0)),0),0)</f>
        <v>0</v>
      </c>
      <c r="X485" s="18">
        <f t="shared" si="64"/>
        <v>0</v>
      </c>
      <c r="Y485" s="18" t="str">
        <f t="shared" si="65"/>
        <v/>
      </c>
      <c r="Z485" s="15" t="str">
        <f>IF(S485=1,IFERROR(INDEX(Settings!$E$12:$E$41,MATCH($B485,Settings!$A$12:$A$41,0)),"N"),"")</f>
        <v/>
      </c>
      <c r="AA485" s="17">
        <f>IF(S485=1,IFERROR(INDEX(Settings!$F$12:$F$41,MATCH($B485,Settings!$A$12:$A$41,0)),0),0)</f>
        <v>0</v>
      </c>
      <c r="AB485" s="15">
        <f>IF(S485=1,IFERROR(INDEX(Settings!$G$12:$G$41,MATCH($B485,Settings!$A$12:$A$41,0)),0),0)</f>
        <v>0</v>
      </c>
      <c r="AC485" s="18" t="str">
        <f t="shared" si="66"/>
        <v/>
      </c>
      <c r="AD485" s="15" t="str">
        <f t="shared" si="67"/>
        <v/>
      </c>
      <c r="AE485" s="15" t="str">
        <f t="shared" si="68"/>
        <v/>
      </c>
      <c r="AF485" s="15" t="str">
        <f t="shared" si="69"/>
        <v/>
      </c>
      <c r="AG485" s="18">
        <f>IF(AND(S485=1,Z485="Y"),IF(Settings!$B$6="Percentage",IF(AD485=0,0,AC485*AA485*(N485/AD485)),IF(Settings!$B$6="Points",IF(AF485=0,0,AC485*(N485*AB485)/AF485),IF(Settings!$B$6="Equally",IF(AE485=0,0,AC485*N485/AE485),0))),0)</f>
        <v>0</v>
      </c>
      <c r="AH485" s="18" t="str">
        <f t="shared" si="70"/>
        <v/>
      </c>
      <c r="AI485" s="15">
        <f>IF(S485=1,IF(COUNTIFS($R$2:R485,R485,$S$2:S485,1)=1,1,0),0)</f>
        <v>0</v>
      </c>
      <c r="AJ485" s="15">
        <f>SUM($AI$2:AI485)</f>
        <v>12</v>
      </c>
    </row>
    <row r="486" spans="18:36">
      <c r="R486" s="15" t="str">
        <f t="shared" si="71"/>
        <v/>
      </c>
      <c r="S486" s="15">
        <f t="shared" si="63"/>
        <v>0</v>
      </c>
      <c r="T486" s="16" t="str">
        <f>IF(S486=1, DATE(YEAR(Settings!$B$3), MONTH(D486), DAY(D486)), "")</f>
        <v/>
      </c>
      <c r="U486" s="15" t="str">
        <f>IF(S486=1,IFERROR(INDEX(Settings!$B$12:$B$41,MATCH($B486,Settings!$A$12:$A$41,0)),"N"),"")</f>
        <v/>
      </c>
      <c r="V486" s="15" t="str">
        <f>IF(S486=1,IFERROR(INDEX(Settings!$C$12:$C$41,MATCH($B486,Settings!$A$12:$A$41,0)),""),"")</f>
        <v/>
      </c>
      <c r="W486" s="17">
        <f>IF(S486=1,IFERROR(INDEX(Settings!$D$12:$D$41,MATCH($B486,Settings!$A$12:$A$41,0)),0),0)</f>
        <v>0</v>
      </c>
      <c r="X486" s="18">
        <f t="shared" si="64"/>
        <v>0</v>
      </c>
      <c r="Y486" s="18" t="str">
        <f t="shared" si="65"/>
        <v/>
      </c>
      <c r="Z486" s="15" t="str">
        <f>IF(S486=1,IFERROR(INDEX(Settings!$E$12:$E$41,MATCH($B486,Settings!$A$12:$A$41,0)),"N"),"")</f>
        <v/>
      </c>
      <c r="AA486" s="17">
        <f>IF(S486=1,IFERROR(INDEX(Settings!$F$12:$F$41,MATCH($B486,Settings!$A$12:$A$41,0)),0),0)</f>
        <v>0</v>
      </c>
      <c r="AB486" s="15">
        <f>IF(S486=1,IFERROR(INDEX(Settings!$G$12:$G$41,MATCH($B486,Settings!$A$12:$A$41,0)),0),0)</f>
        <v>0</v>
      </c>
      <c r="AC486" s="18" t="str">
        <f t="shared" si="66"/>
        <v/>
      </c>
      <c r="AD486" s="15" t="str">
        <f t="shared" si="67"/>
        <v/>
      </c>
      <c r="AE486" s="15" t="str">
        <f t="shared" si="68"/>
        <v/>
      </c>
      <c r="AF486" s="15" t="str">
        <f t="shared" si="69"/>
        <v/>
      </c>
      <c r="AG486" s="18">
        <f>IF(AND(S486=1,Z486="Y"),IF(Settings!$B$6="Percentage",IF(AD486=0,0,AC486*AA486*(N486/AD486)),IF(Settings!$B$6="Points",IF(AF486=0,0,AC486*(N486*AB486)/AF486),IF(Settings!$B$6="Equally",IF(AE486=0,0,AC486*N486/AE486),0))),0)</f>
        <v>0</v>
      </c>
      <c r="AH486" s="18" t="str">
        <f t="shared" si="70"/>
        <v/>
      </c>
      <c r="AI486" s="15">
        <f>IF(S486=1,IF(COUNTIFS($R$2:R486,R486,$S$2:S486,1)=1,1,0),0)</f>
        <v>0</v>
      </c>
      <c r="AJ486" s="15">
        <f>SUM($AI$2:AI486)</f>
        <v>12</v>
      </c>
    </row>
    <row r="487" spans="18:36">
      <c r="R487" s="15" t="str">
        <f t="shared" si="71"/>
        <v/>
      </c>
      <c r="S487" s="15">
        <f t="shared" si="63"/>
        <v>0</v>
      </c>
      <c r="T487" s="16" t="str">
        <f>IF(S487=1, DATE(YEAR(Settings!$B$3), MONTH(D487), DAY(D487)), "")</f>
        <v/>
      </c>
      <c r="U487" s="15" t="str">
        <f>IF(S487=1,IFERROR(INDEX(Settings!$B$12:$B$41,MATCH($B487,Settings!$A$12:$A$41,0)),"N"),"")</f>
        <v/>
      </c>
      <c r="V487" s="15" t="str">
        <f>IF(S487=1,IFERROR(INDEX(Settings!$C$12:$C$41,MATCH($B487,Settings!$A$12:$A$41,0)),""),"")</f>
        <v/>
      </c>
      <c r="W487" s="17">
        <f>IF(S487=1,IFERROR(INDEX(Settings!$D$12:$D$41,MATCH($B487,Settings!$A$12:$A$41,0)),0),0)</f>
        <v>0</v>
      </c>
      <c r="X487" s="18">
        <f t="shared" si="64"/>
        <v>0</v>
      </c>
      <c r="Y487" s="18" t="str">
        <f t="shared" si="65"/>
        <v/>
      </c>
      <c r="Z487" s="15" t="str">
        <f>IF(S487=1,IFERROR(INDEX(Settings!$E$12:$E$41,MATCH($B487,Settings!$A$12:$A$41,0)),"N"),"")</f>
        <v/>
      </c>
      <c r="AA487" s="17">
        <f>IF(S487=1,IFERROR(INDEX(Settings!$F$12:$F$41,MATCH($B487,Settings!$A$12:$A$41,0)),0),0)</f>
        <v>0</v>
      </c>
      <c r="AB487" s="15">
        <f>IF(S487=1,IFERROR(INDEX(Settings!$G$12:$G$41,MATCH($B487,Settings!$A$12:$A$41,0)),0),0)</f>
        <v>0</v>
      </c>
      <c r="AC487" s="18" t="str">
        <f t="shared" si="66"/>
        <v/>
      </c>
      <c r="AD487" s="15" t="str">
        <f t="shared" si="67"/>
        <v/>
      </c>
      <c r="AE487" s="15" t="str">
        <f t="shared" si="68"/>
        <v/>
      </c>
      <c r="AF487" s="15" t="str">
        <f t="shared" si="69"/>
        <v/>
      </c>
      <c r="AG487" s="18">
        <f>IF(AND(S487=1,Z487="Y"),IF(Settings!$B$6="Percentage",IF(AD487=0,0,AC487*AA487*(N487/AD487)),IF(Settings!$B$6="Points",IF(AF487=0,0,AC487*(N487*AB487)/AF487),IF(Settings!$B$6="Equally",IF(AE487=0,0,AC487*N487/AE487),0))),0)</f>
        <v>0</v>
      </c>
      <c r="AH487" s="18" t="str">
        <f t="shared" si="70"/>
        <v/>
      </c>
      <c r="AI487" s="15">
        <f>IF(S487=1,IF(COUNTIFS($R$2:R487,R487,$S$2:S487,1)=1,1,0),0)</f>
        <v>0</v>
      </c>
      <c r="AJ487" s="15">
        <f>SUM($AI$2:AI487)</f>
        <v>12</v>
      </c>
    </row>
    <row r="488" spans="18:36">
      <c r="R488" s="15" t="str">
        <f t="shared" si="71"/>
        <v/>
      </c>
      <c r="S488" s="15">
        <f t="shared" si="63"/>
        <v>0</v>
      </c>
      <c r="T488" s="16" t="str">
        <f>IF(S488=1, DATE(YEAR(Settings!$B$3), MONTH(D488), DAY(D488)), "")</f>
        <v/>
      </c>
      <c r="U488" s="15" t="str">
        <f>IF(S488=1,IFERROR(INDEX(Settings!$B$12:$B$41,MATCH($B488,Settings!$A$12:$A$41,0)),"N"),"")</f>
        <v/>
      </c>
      <c r="V488" s="15" t="str">
        <f>IF(S488=1,IFERROR(INDEX(Settings!$C$12:$C$41,MATCH($B488,Settings!$A$12:$A$41,0)),""),"")</f>
        <v/>
      </c>
      <c r="W488" s="17">
        <f>IF(S488=1,IFERROR(INDEX(Settings!$D$12:$D$41,MATCH($B488,Settings!$A$12:$A$41,0)),0),0)</f>
        <v>0</v>
      </c>
      <c r="X488" s="18">
        <f t="shared" si="64"/>
        <v>0</v>
      </c>
      <c r="Y488" s="18" t="str">
        <f t="shared" si="65"/>
        <v/>
      </c>
      <c r="Z488" s="15" t="str">
        <f>IF(S488=1,IFERROR(INDEX(Settings!$E$12:$E$41,MATCH($B488,Settings!$A$12:$A$41,0)),"N"),"")</f>
        <v/>
      </c>
      <c r="AA488" s="17">
        <f>IF(S488=1,IFERROR(INDEX(Settings!$F$12:$F$41,MATCH($B488,Settings!$A$12:$A$41,0)),0),0)</f>
        <v>0</v>
      </c>
      <c r="AB488" s="15">
        <f>IF(S488=1,IFERROR(INDEX(Settings!$G$12:$G$41,MATCH($B488,Settings!$A$12:$A$41,0)),0),0)</f>
        <v>0</v>
      </c>
      <c r="AC488" s="18" t="str">
        <f t="shared" si="66"/>
        <v/>
      </c>
      <c r="AD488" s="15" t="str">
        <f t="shared" si="67"/>
        <v/>
      </c>
      <c r="AE488" s="15" t="str">
        <f t="shared" si="68"/>
        <v/>
      </c>
      <c r="AF488" s="15" t="str">
        <f t="shared" si="69"/>
        <v/>
      </c>
      <c r="AG488" s="18">
        <f>IF(AND(S488=1,Z488="Y"),IF(Settings!$B$6="Percentage",IF(AD488=0,0,AC488*AA488*(N488/AD488)),IF(Settings!$B$6="Points",IF(AF488=0,0,AC488*(N488*AB488)/AF488),IF(Settings!$B$6="Equally",IF(AE488=0,0,AC488*N488/AE488),0))),0)</f>
        <v>0</v>
      </c>
      <c r="AH488" s="18" t="str">
        <f t="shared" si="70"/>
        <v/>
      </c>
      <c r="AI488" s="15">
        <f>IF(S488=1,IF(COUNTIFS($R$2:R488,R488,$S$2:S488,1)=1,1,0),0)</f>
        <v>0</v>
      </c>
      <c r="AJ488" s="15">
        <f>SUM($AI$2:AI488)</f>
        <v>12</v>
      </c>
    </row>
    <row r="489" spans="18:36">
      <c r="R489" s="15" t="str">
        <f t="shared" si="71"/>
        <v/>
      </c>
      <c r="S489" s="15">
        <f t="shared" si="63"/>
        <v>0</v>
      </c>
      <c r="T489" s="16" t="str">
        <f>IF(S489=1, DATE(YEAR(Settings!$B$3), MONTH(D489), DAY(D489)), "")</f>
        <v/>
      </c>
      <c r="U489" s="15" t="str">
        <f>IF(S489=1,IFERROR(INDEX(Settings!$B$12:$B$41,MATCH($B489,Settings!$A$12:$A$41,0)),"N"),"")</f>
        <v/>
      </c>
      <c r="V489" s="15" t="str">
        <f>IF(S489=1,IFERROR(INDEX(Settings!$C$12:$C$41,MATCH($B489,Settings!$A$12:$A$41,0)),""),"")</f>
        <v/>
      </c>
      <c r="W489" s="17">
        <f>IF(S489=1,IFERROR(INDEX(Settings!$D$12:$D$41,MATCH($B489,Settings!$A$12:$A$41,0)),0),0)</f>
        <v>0</v>
      </c>
      <c r="X489" s="18">
        <f t="shared" si="64"/>
        <v>0</v>
      </c>
      <c r="Y489" s="18" t="str">
        <f t="shared" si="65"/>
        <v/>
      </c>
      <c r="Z489" s="15" t="str">
        <f>IF(S489=1,IFERROR(INDEX(Settings!$E$12:$E$41,MATCH($B489,Settings!$A$12:$A$41,0)),"N"),"")</f>
        <v/>
      </c>
      <c r="AA489" s="17">
        <f>IF(S489=1,IFERROR(INDEX(Settings!$F$12:$F$41,MATCH($B489,Settings!$A$12:$A$41,0)),0),0)</f>
        <v>0</v>
      </c>
      <c r="AB489" s="15">
        <f>IF(S489=1,IFERROR(INDEX(Settings!$G$12:$G$41,MATCH($B489,Settings!$A$12:$A$41,0)),0),0)</f>
        <v>0</v>
      </c>
      <c r="AC489" s="18" t="str">
        <f t="shared" si="66"/>
        <v/>
      </c>
      <c r="AD489" s="15" t="str">
        <f t="shared" si="67"/>
        <v/>
      </c>
      <c r="AE489" s="15" t="str">
        <f t="shared" si="68"/>
        <v/>
      </c>
      <c r="AF489" s="15" t="str">
        <f t="shared" si="69"/>
        <v/>
      </c>
      <c r="AG489" s="18">
        <f>IF(AND(S489=1,Z489="Y"),IF(Settings!$B$6="Percentage",IF(AD489=0,0,AC489*AA489*(N489/AD489)),IF(Settings!$B$6="Points",IF(AF489=0,0,AC489*(N489*AB489)/AF489),IF(Settings!$B$6="Equally",IF(AE489=0,0,AC489*N489/AE489),0))),0)</f>
        <v>0</v>
      </c>
      <c r="AH489" s="18" t="str">
        <f t="shared" si="70"/>
        <v/>
      </c>
      <c r="AI489" s="15">
        <f>IF(S489=1,IF(COUNTIFS($R$2:R489,R489,$S$2:S489,1)=1,1,0),0)</f>
        <v>0</v>
      </c>
      <c r="AJ489" s="15">
        <f>SUM($AI$2:AI489)</f>
        <v>12</v>
      </c>
    </row>
    <row r="490" spans="18:36">
      <c r="R490" s="15" t="str">
        <f t="shared" si="71"/>
        <v/>
      </c>
      <c r="S490" s="15">
        <f t="shared" si="63"/>
        <v>0</v>
      </c>
      <c r="T490" s="16" t="str">
        <f>IF(S490=1, DATE(YEAR(Settings!$B$3), MONTH(D490), DAY(D490)), "")</f>
        <v/>
      </c>
      <c r="U490" s="15" t="str">
        <f>IF(S490=1,IFERROR(INDEX(Settings!$B$12:$B$41,MATCH($B490,Settings!$A$12:$A$41,0)),"N"),"")</f>
        <v/>
      </c>
      <c r="V490" s="15" t="str">
        <f>IF(S490=1,IFERROR(INDEX(Settings!$C$12:$C$41,MATCH($B490,Settings!$A$12:$A$41,0)),""),"")</f>
        <v/>
      </c>
      <c r="W490" s="17">
        <f>IF(S490=1,IFERROR(INDEX(Settings!$D$12:$D$41,MATCH($B490,Settings!$A$12:$A$41,0)),0),0)</f>
        <v>0</v>
      </c>
      <c r="X490" s="18">
        <f t="shared" si="64"/>
        <v>0</v>
      </c>
      <c r="Y490" s="18" t="str">
        <f t="shared" si="65"/>
        <v/>
      </c>
      <c r="Z490" s="15" t="str">
        <f>IF(S490=1,IFERROR(INDEX(Settings!$E$12:$E$41,MATCH($B490,Settings!$A$12:$A$41,0)),"N"),"")</f>
        <v/>
      </c>
      <c r="AA490" s="17">
        <f>IF(S490=1,IFERROR(INDEX(Settings!$F$12:$F$41,MATCH($B490,Settings!$A$12:$A$41,0)),0),0)</f>
        <v>0</v>
      </c>
      <c r="AB490" s="15">
        <f>IF(S490=1,IFERROR(INDEX(Settings!$G$12:$G$41,MATCH($B490,Settings!$A$12:$A$41,0)),0),0)</f>
        <v>0</v>
      </c>
      <c r="AC490" s="18" t="str">
        <f t="shared" si="66"/>
        <v/>
      </c>
      <c r="AD490" s="15" t="str">
        <f t="shared" si="67"/>
        <v/>
      </c>
      <c r="AE490" s="15" t="str">
        <f t="shared" si="68"/>
        <v/>
      </c>
      <c r="AF490" s="15" t="str">
        <f t="shared" si="69"/>
        <v/>
      </c>
      <c r="AG490" s="18">
        <f>IF(AND(S490=1,Z490="Y"),IF(Settings!$B$6="Percentage",IF(AD490=0,0,AC490*AA490*(N490/AD490)),IF(Settings!$B$6="Points",IF(AF490=0,0,AC490*(N490*AB490)/AF490),IF(Settings!$B$6="Equally",IF(AE490=0,0,AC490*N490/AE490),0))),0)</f>
        <v>0</v>
      </c>
      <c r="AH490" s="18" t="str">
        <f t="shared" si="70"/>
        <v/>
      </c>
      <c r="AI490" s="15">
        <f>IF(S490=1,IF(COUNTIFS($R$2:R490,R490,$S$2:S490,1)=1,1,0),0)</f>
        <v>0</v>
      </c>
      <c r="AJ490" s="15">
        <f>SUM($AI$2:AI490)</f>
        <v>12</v>
      </c>
    </row>
    <row r="491" spans="18:36">
      <c r="R491" s="15" t="str">
        <f t="shared" si="71"/>
        <v/>
      </c>
      <c r="S491" s="15">
        <f t="shared" si="63"/>
        <v>0</v>
      </c>
      <c r="T491" s="16" t="str">
        <f>IF(S491=1, DATE(YEAR(Settings!$B$3), MONTH(D491), DAY(D491)), "")</f>
        <v/>
      </c>
      <c r="U491" s="15" t="str">
        <f>IF(S491=1,IFERROR(INDEX(Settings!$B$12:$B$41,MATCH($B491,Settings!$A$12:$A$41,0)),"N"),"")</f>
        <v/>
      </c>
      <c r="V491" s="15" t="str">
        <f>IF(S491=1,IFERROR(INDEX(Settings!$C$12:$C$41,MATCH($B491,Settings!$A$12:$A$41,0)),""),"")</f>
        <v/>
      </c>
      <c r="W491" s="17">
        <f>IF(S491=1,IFERROR(INDEX(Settings!$D$12:$D$41,MATCH($B491,Settings!$A$12:$A$41,0)),0),0)</f>
        <v>0</v>
      </c>
      <c r="X491" s="18">
        <f t="shared" si="64"/>
        <v>0</v>
      </c>
      <c r="Y491" s="18" t="str">
        <f t="shared" si="65"/>
        <v/>
      </c>
      <c r="Z491" s="15" t="str">
        <f>IF(S491=1,IFERROR(INDEX(Settings!$E$12:$E$41,MATCH($B491,Settings!$A$12:$A$41,0)),"N"),"")</f>
        <v/>
      </c>
      <c r="AA491" s="17">
        <f>IF(S491=1,IFERROR(INDEX(Settings!$F$12:$F$41,MATCH($B491,Settings!$A$12:$A$41,0)),0),0)</f>
        <v>0</v>
      </c>
      <c r="AB491" s="15">
        <f>IF(S491=1,IFERROR(INDEX(Settings!$G$12:$G$41,MATCH($B491,Settings!$A$12:$A$41,0)),0),0)</f>
        <v>0</v>
      </c>
      <c r="AC491" s="18" t="str">
        <f t="shared" si="66"/>
        <v/>
      </c>
      <c r="AD491" s="15" t="str">
        <f t="shared" si="67"/>
        <v/>
      </c>
      <c r="AE491" s="15" t="str">
        <f t="shared" si="68"/>
        <v/>
      </c>
      <c r="AF491" s="15" t="str">
        <f t="shared" si="69"/>
        <v/>
      </c>
      <c r="AG491" s="18">
        <f>IF(AND(S491=1,Z491="Y"),IF(Settings!$B$6="Percentage",IF(AD491=0,0,AC491*AA491*(N491/AD491)),IF(Settings!$B$6="Points",IF(AF491=0,0,AC491*(N491*AB491)/AF491),IF(Settings!$B$6="Equally",IF(AE491=0,0,AC491*N491/AE491),0))),0)</f>
        <v>0</v>
      </c>
      <c r="AH491" s="18" t="str">
        <f t="shared" si="70"/>
        <v/>
      </c>
      <c r="AI491" s="15">
        <f>IF(S491=1,IF(COUNTIFS($R$2:R491,R491,$S$2:S491,1)=1,1,0),0)</f>
        <v>0</v>
      </c>
      <c r="AJ491" s="15">
        <f>SUM($AI$2:AI491)</f>
        <v>12</v>
      </c>
    </row>
    <row r="492" spans="18:36">
      <c r="R492" s="15" t="str">
        <f t="shared" si="71"/>
        <v/>
      </c>
      <c r="S492" s="15">
        <f t="shared" si="63"/>
        <v>0</v>
      </c>
      <c r="T492" s="16" t="str">
        <f>IF(S492=1, DATE(YEAR(Settings!$B$3), MONTH(D492), DAY(D492)), "")</f>
        <v/>
      </c>
      <c r="U492" s="15" t="str">
        <f>IF(S492=1,IFERROR(INDEX(Settings!$B$12:$B$41,MATCH($B492,Settings!$A$12:$A$41,0)),"N"),"")</f>
        <v/>
      </c>
      <c r="V492" s="15" t="str">
        <f>IF(S492=1,IFERROR(INDEX(Settings!$C$12:$C$41,MATCH($B492,Settings!$A$12:$A$41,0)),""),"")</f>
        <v/>
      </c>
      <c r="W492" s="17">
        <f>IF(S492=1,IFERROR(INDEX(Settings!$D$12:$D$41,MATCH($B492,Settings!$A$12:$A$41,0)),0),0)</f>
        <v>0</v>
      </c>
      <c r="X492" s="18">
        <f t="shared" si="64"/>
        <v>0</v>
      </c>
      <c r="Y492" s="18" t="str">
        <f t="shared" si="65"/>
        <v/>
      </c>
      <c r="Z492" s="15" t="str">
        <f>IF(S492=1,IFERROR(INDEX(Settings!$E$12:$E$41,MATCH($B492,Settings!$A$12:$A$41,0)),"N"),"")</f>
        <v/>
      </c>
      <c r="AA492" s="17">
        <f>IF(S492=1,IFERROR(INDEX(Settings!$F$12:$F$41,MATCH($B492,Settings!$A$12:$A$41,0)),0),0)</f>
        <v>0</v>
      </c>
      <c r="AB492" s="15">
        <f>IF(S492=1,IFERROR(INDEX(Settings!$G$12:$G$41,MATCH($B492,Settings!$A$12:$A$41,0)),0),0)</f>
        <v>0</v>
      </c>
      <c r="AC492" s="18" t="str">
        <f t="shared" si="66"/>
        <v/>
      </c>
      <c r="AD492" s="15" t="str">
        <f t="shared" si="67"/>
        <v/>
      </c>
      <c r="AE492" s="15" t="str">
        <f t="shared" si="68"/>
        <v/>
      </c>
      <c r="AF492" s="15" t="str">
        <f t="shared" si="69"/>
        <v/>
      </c>
      <c r="AG492" s="18">
        <f>IF(AND(S492=1,Z492="Y"),IF(Settings!$B$6="Percentage",IF(AD492=0,0,AC492*AA492*(N492/AD492)),IF(Settings!$B$6="Points",IF(AF492=0,0,AC492*(N492*AB492)/AF492),IF(Settings!$B$6="Equally",IF(AE492=0,0,AC492*N492/AE492),0))),0)</f>
        <v>0</v>
      </c>
      <c r="AH492" s="18" t="str">
        <f t="shared" si="70"/>
        <v/>
      </c>
      <c r="AI492" s="15">
        <f>IF(S492=1,IF(COUNTIFS($R$2:R492,R492,$S$2:S492,1)=1,1,0),0)</f>
        <v>0</v>
      </c>
      <c r="AJ492" s="15">
        <f>SUM($AI$2:AI492)</f>
        <v>12</v>
      </c>
    </row>
    <row r="493" spans="18:36">
      <c r="R493" s="15" t="str">
        <f t="shared" si="71"/>
        <v/>
      </c>
      <c r="S493" s="15">
        <f t="shared" si="63"/>
        <v>0</v>
      </c>
      <c r="T493" s="16" t="str">
        <f>IF(S493=1, DATE(YEAR(Settings!$B$3), MONTH(D493), DAY(D493)), "")</f>
        <v/>
      </c>
      <c r="U493" s="15" t="str">
        <f>IF(S493=1,IFERROR(INDEX(Settings!$B$12:$B$41,MATCH($B493,Settings!$A$12:$A$41,0)),"N"),"")</f>
        <v/>
      </c>
      <c r="V493" s="15" t="str">
        <f>IF(S493=1,IFERROR(INDEX(Settings!$C$12:$C$41,MATCH($B493,Settings!$A$12:$A$41,0)),""),"")</f>
        <v/>
      </c>
      <c r="W493" s="17">
        <f>IF(S493=1,IFERROR(INDEX(Settings!$D$12:$D$41,MATCH($B493,Settings!$A$12:$A$41,0)),0),0)</f>
        <v>0</v>
      </c>
      <c r="X493" s="18">
        <f t="shared" si="64"/>
        <v>0</v>
      </c>
      <c r="Y493" s="18" t="str">
        <f t="shared" si="65"/>
        <v/>
      </c>
      <c r="Z493" s="15" t="str">
        <f>IF(S493=1,IFERROR(INDEX(Settings!$E$12:$E$41,MATCH($B493,Settings!$A$12:$A$41,0)),"N"),"")</f>
        <v/>
      </c>
      <c r="AA493" s="17">
        <f>IF(S493=1,IFERROR(INDEX(Settings!$F$12:$F$41,MATCH($B493,Settings!$A$12:$A$41,0)),0),0)</f>
        <v>0</v>
      </c>
      <c r="AB493" s="15">
        <f>IF(S493=1,IFERROR(INDEX(Settings!$G$12:$G$41,MATCH($B493,Settings!$A$12:$A$41,0)),0),0)</f>
        <v>0</v>
      </c>
      <c r="AC493" s="18" t="str">
        <f t="shared" si="66"/>
        <v/>
      </c>
      <c r="AD493" s="15" t="str">
        <f t="shared" si="67"/>
        <v/>
      </c>
      <c r="AE493" s="15" t="str">
        <f t="shared" si="68"/>
        <v/>
      </c>
      <c r="AF493" s="15" t="str">
        <f t="shared" si="69"/>
        <v/>
      </c>
      <c r="AG493" s="18">
        <f>IF(AND(S493=1,Z493="Y"),IF(Settings!$B$6="Percentage",IF(AD493=0,0,AC493*AA493*(N493/AD493)),IF(Settings!$B$6="Points",IF(AF493=0,0,AC493*(N493*AB493)/AF493),IF(Settings!$B$6="Equally",IF(AE493=0,0,AC493*N493/AE493),0))),0)</f>
        <v>0</v>
      </c>
      <c r="AH493" s="18" t="str">
        <f t="shared" si="70"/>
        <v/>
      </c>
      <c r="AI493" s="15">
        <f>IF(S493=1,IF(COUNTIFS($R$2:R493,R493,$S$2:S493,1)=1,1,0),0)</f>
        <v>0</v>
      </c>
      <c r="AJ493" s="15">
        <f>SUM($AI$2:AI493)</f>
        <v>12</v>
      </c>
    </row>
    <row r="494" spans="18:36">
      <c r="R494" s="15" t="str">
        <f t="shared" si="71"/>
        <v/>
      </c>
      <c r="S494" s="15">
        <f t="shared" si="63"/>
        <v>0</v>
      </c>
      <c r="T494" s="16" t="str">
        <f>IF(S494=1, DATE(YEAR(Settings!$B$3), MONTH(D494), DAY(D494)), "")</f>
        <v/>
      </c>
      <c r="U494" s="15" t="str">
        <f>IF(S494=1,IFERROR(INDEX(Settings!$B$12:$B$41,MATCH($B494,Settings!$A$12:$A$41,0)),"N"),"")</f>
        <v/>
      </c>
      <c r="V494" s="15" t="str">
        <f>IF(S494=1,IFERROR(INDEX(Settings!$C$12:$C$41,MATCH($B494,Settings!$A$12:$A$41,0)),""),"")</f>
        <v/>
      </c>
      <c r="W494" s="17">
        <f>IF(S494=1,IFERROR(INDEX(Settings!$D$12:$D$41,MATCH($B494,Settings!$A$12:$A$41,0)),0),0)</f>
        <v>0</v>
      </c>
      <c r="X494" s="18">
        <f t="shared" si="64"/>
        <v>0</v>
      </c>
      <c r="Y494" s="18" t="str">
        <f t="shared" si="65"/>
        <v/>
      </c>
      <c r="Z494" s="15" t="str">
        <f>IF(S494=1,IFERROR(INDEX(Settings!$E$12:$E$41,MATCH($B494,Settings!$A$12:$A$41,0)),"N"),"")</f>
        <v/>
      </c>
      <c r="AA494" s="17">
        <f>IF(S494=1,IFERROR(INDEX(Settings!$F$12:$F$41,MATCH($B494,Settings!$A$12:$A$41,0)),0),0)</f>
        <v>0</v>
      </c>
      <c r="AB494" s="15">
        <f>IF(S494=1,IFERROR(INDEX(Settings!$G$12:$G$41,MATCH($B494,Settings!$A$12:$A$41,0)),0),0)</f>
        <v>0</v>
      </c>
      <c r="AC494" s="18" t="str">
        <f t="shared" si="66"/>
        <v/>
      </c>
      <c r="AD494" s="15" t="str">
        <f t="shared" si="67"/>
        <v/>
      </c>
      <c r="AE494" s="15" t="str">
        <f t="shared" si="68"/>
        <v/>
      </c>
      <c r="AF494" s="15" t="str">
        <f t="shared" si="69"/>
        <v/>
      </c>
      <c r="AG494" s="18">
        <f>IF(AND(S494=1,Z494="Y"),IF(Settings!$B$6="Percentage",IF(AD494=0,0,AC494*AA494*(N494/AD494)),IF(Settings!$B$6="Points",IF(AF494=0,0,AC494*(N494*AB494)/AF494),IF(Settings!$B$6="Equally",IF(AE494=0,0,AC494*N494/AE494),0))),0)</f>
        <v>0</v>
      </c>
      <c r="AH494" s="18" t="str">
        <f t="shared" si="70"/>
        <v/>
      </c>
      <c r="AI494" s="15">
        <f>IF(S494=1,IF(COUNTIFS($R$2:R494,R494,$S$2:S494,1)=1,1,0),0)</f>
        <v>0</v>
      </c>
      <c r="AJ494" s="15">
        <f>SUM($AI$2:AI494)</f>
        <v>12</v>
      </c>
    </row>
    <row r="495" spans="18:36">
      <c r="R495" s="15" t="str">
        <f t="shared" si="71"/>
        <v/>
      </c>
      <c r="S495" s="15">
        <f t="shared" si="63"/>
        <v>0</v>
      </c>
      <c r="T495" s="16" t="str">
        <f>IF(S495=1, DATE(YEAR(Settings!$B$3), MONTH(D495), DAY(D495)), "")</f>
        <v/>
      </c>
      <c r="U495" s="15" t="str">
        <f>IF(S495=1,IFERROR(INDEX(Settings!$B$12:$B$41,MATCH($B495,Settings!$A$12:$A$41,0)),"N"),"")</f>
        <v/>
      </c>
      <c r="V495" s="15" t="str">
        <f>IF(S495=1,IFERROR(INDEX(Settings!$C$12:$C$41,MATCH($B495,Settings!$A$12:$A$41,0)),""),"")</f>
        <v/>
      </c>
      <c r="W495" s="17">
        <f>IF(S495=1,IFERROR(INDEX(Settings!$D$12:$D$41,MATCH($B495,Settings!$A$12:$A$41,0)),0),0)</f>
        <v>0</v>
      </c>
      <c r="X495" s="18">
        <f t="shared" si="64"/>
        <v>0</v>
      </c>
      <c r="Y495" s="18" t="str">
        <f t="shared" si="65"/>
        <v/>
      </c>
      <c r="Z495" s="15" t="str">
        <f>IF(S495=1,IFERROR(INDEX(Settings!$E$12:$E$41,MATCH($B495,Settings!$A$12:$A$41,0)),"N"),"")</f>
        <v/>
      </c>
      <c r="AA495" s="17">
        <f>IF(S495=1,IFERROR(INDEX(Settings!$F$12:$F$41,MATCH($B495,Settings!$A$12:$A$41,0)),0),0)</f>
        <v>0</v>
      </c>
      <c r="AB495" s="15">
        <f>IF(S495=1,IFERROR(INDEX(Settings!$G$12:$G$41,MATCH($B495,Settings!$A$12:$A$41,0)),0),0)</f>
        <v>0</v>
      </c>
      <c r="AC495" s="18" t="str">
        <f t="shared" si="66"/>
        <v/>
      </c>
      <c r="AD495" s="15" t="str">
        <f t="shared" si="67"/>
        <v/>
      </c>
      <c r="AE495" s="15" t="str">
        <f t="shared" si="68"/>
        <v/>
      </c>
      <c r="AF495" s="15" t="str">
        <f t="shared" si="69"/>
        <v/>
      </c>
      <c r="AG495" s="18">
        <f>IF(AND(S495=1,Z495="Y"),IF(Settings!$B$6="Percentage",IF(AD495=0,0,AC495*AA495*(N495/AD495)),IF(Settings!$B$6="Points",IF(AF495=0,0,AC495*(N495*AB495)/AF495),IF(Settings!$B$6="Equally",IF(AE495=0,0,AC495*N495/AE495),0))),0)</f>
        <v>0</v>
      </c>
      <c r="AH495" s="18" t="str">
        <f t="shared" si="70"/>
        <v/>
      </c>
      <c r="AI495" s="15">
        <f>IF(S495=1,IF(COUNTIFS($R$2:R495,R495,$S$2:S495,1)=1,1,0),0)</f>
        <v>0</v>
      </c>
      <c r="AJ495" s="15">
        <f>SUM($AI$2:AI495)</f>
        <v>12</v>
      </c>
    </row>
    <row r="496" spans="18:36">
      <c r="R496" s="15" t="str">
        <f t="shared" si="71"/>
        <v/>
      </c>
      <c r="S496" s="15">
        <f t="shared" si="63"/>
        <v>0</v>
      </c>
      <c r="T496" s="16" t="str">
        <f>IF(S496=1, DATE(YEAR(Settings!$B$3), MONTH(D496), DAY(D496)), "")</f>
        <v/>
      </c>
      <c r="U496" s="15" t="str">
        <f>IF(S496=1,IFERROR(INDEX(Settings!$B$12:$B$41,MATCH($B496,Settings!$A$12:$A$41,0)),"N"),"")</f>
        <v/>
      </c>
      <c r="V496" s="15" t="str">
        <f>IF(S496=1,IFERROR(INDEX(Settings!$C$12:$C$41,MATCH($B496,Settings!$A$12:$A$41,0)),""),"")</f>
        <v/>
      </c>
      <c r="W496" s="17">
        <f>IF(S496=1,IFERROR(INDEX(Settings!$D$12:$D$41,MATCH($B496,Settings!$A$12:$A$41,0)),0),0)</f>
        <v>0</v>
      </c>
      <c r="X496" s="18">
        <f t="shared" si="64"/>
        <v>0</v>
      </c>
      <c r="Y496" s="18" t="str">
        <f t="shared" si="65"/>
        <v/>
      </c>
      <c r="Z496" s="15" t="str">
        <f>IF(S496=1,IFERROR(INDEX(Settings!$E$12:$E$41,MATCH($B496,Settings!$A$12:$A$41,0)),"N"),"")</f>
        <v/>
      </c>
      <c r="AA496" s="17">
        <f>IF(S496=1,IFERROR(INDEX(Settings!$F$12:$F$41,MATCH($B496,Settings!$A$12:$A$41,0)),0),0)</f>
        <v>0</v>
      </c>
      <c r="AB496" s="15">
        <f>IF(S496=1,IFERROR(INDEX(Settings!$G$12:$G$41,MATCH($B496,Settings!$A$12:$A$41,0)),0),0)</f>
        <v>0</v>
      </c>
      <c r="AC496" s="18" t="str">
        <f t="shared" si="66"/>
        <v/>
      </c>
      <c r="AD496" s="15" t="str">
        <f t="shared" si="67"/>
        <v/>
      </c>
      <c r="AE496" s="15" t="str">
        <f t="shared" si="68"/>
        <v/>
      </c>
      <c r="AF496" s="15" t="str">
        <f t="shared" si="69"/>
        <v/>
      </c>
      <c r="AG496" s="18">
        <f>IF(AND(S496=1,Z496="Y"),IF(Settings!$B$6="Percentage",IF(AD496=0,0,AC496*AA496*(N496/AD496)),IF(Settings!$B$6="Points",IF(AF496=0,0,AC496*(N496*AB496)/AF496),IF(Settings!$B$6="Equally",IF(AE496=0,0,AC496*N496/AE496),0))),0)</f>
        <v>0</v>
      </c>
      <c r="AH496" s="18" t="str">
        <f t="shared" si="70"/>
        <v/>
      </c>
      <c r="AI496" s="15">
        <f>IF(S496=1,IF(COUNTIFS($R$2:R496,R496,$S$2:S496,1)=1,1,0),0)</f>
        <v>0</v>
      </c>
      <c r="AJ496" s="15">
        <f>SUM($AI$2:AI496)</f>
        <v>12</v>
      </c>
    </row>
    <row r="497" spans="18:36">
      <c r="R497" s="15" t="str">
        <f t="shared" si="71"/>
        <v/>
      </c>
      <c r="S497" s="15">
        <f t="shared" si="63"/>
        <v>0</v>
      </c>
      <c r="T497" s="16" t="str">
        <f>IF(S497=1, DATE(YEAR(Settings!$B$3), MONTH(D497), DAY(D497)), "")</f>
        <v/>
      </c>
      <c r="U497" s="15" t="str">
        <f>IF(S497=1,IFERROR(INDEX(Settings!$B$12:$B$41,MATCH($B497,Settings!$A$12:$A$41,0)),"N"),"")</f>
        <v/>
      </c>
      <c r="V497" s="15" t="str">
        <f>IF(S497=1,IFERROR(INDEX(Settings!$C$12:$C$41,MATCH($B497,Settings!$A$12:$A$41,0)),""),"")</f>
        <v/>
      </c>
      <c r="W497" s="17">
        <f>IF(S497=1,IFERROR(INDEX(Settings!$D$12:$D$41,MATCH($B497,Settings!$A$12:$A$41,0)),0),0)</f>
        <v>0</v>
      </c>
      <c r="X497" s="18">
        <f t="shared" si="64"/>
        <v>0</v>
      </c>
      <c r="Y497" s="18" t="str">
        <f t="shared" si="65"/>
        <v/>
      </c>
      <c r="Z497" s="15" t="str">
        <f>IF(S497=1,IFERROR(INDEX(Settings!$E$12:$E$41,MATCH($B497,Settings!$A$12:$A$41,0)),"N"),"")</f>
        <v/>
      </c>
      <c r="AA497" s="17">
        <f>IF(S497=1,IFERROR(INDEX(Settings!$F$12:$F$41,MATCH($B497,Settings!$A$12:$A$41,0)),0),0)</f>
        <v>0</v>
      </c>
      <c r="AB497" s="15">
        <f>IF(S497=1,IFERROR(INDEX(Settings!$G$12:$G$41,MATCH($B497,Settings!$A$12:$A$41,0)),0),0)</f>
        <v>0</v>
      </c>
      <c r="AC497" s="18" t="str">
        <f t="shared" si="66"/>
        <v/>
      </c>
      <c r="AD497" s="15" t="str">
        <f t="shared" si="67"/>
        <v/>
      </c>
      <c r="AE497" s="15" t="str">
        <f t="shared" si="68"/>
        <v/>
      </c>
      <c r="AF497" s="15" t="str">
        <f t="shared" si="69"/>
        <v/>
      </c>
      <c r="AG497" s="18">
        <f>IF(AND(S497=1,Z497="Y"),IF(Settings!$B$6="Percentage",IF(AD497=0,0,AC497*AA497*(N497/AD497)),IF(Settings!$B$6="Points",IF(AF497=0,0,AC497*(N497*AB497)/AF497),IF(Settings!$B$6="Equally",IF(AE497=0,0,AC497*N497/AE497),0))),0)</f>
        <v>0</v>
      </c>
      <c r="AH497" s="18" t="str">
        <f t="shared" si="70"/>
        <v/>
      </c>
      <c r="AI497" s="15">
        <f>IF(S497=1,IF(COUNTIFS($R$2:R497,R497,$S$2:S497,1)=1,1,0),0)</f>
        <v>0</v>
      </c>
      <c r="AJ497" s="15">
        <f>SUM($AI$2:AI497)</f>
        <v>12</v>
      </c>
    </row>
    <row r="498" spans="18:36">
      <c r="R498" s="15" t="str">
        <f t="shared" si="71"/>
        <v/>
      </c>
      <c r="S498" s="15">
        <f t="shared" si="63"/>
        <v>0</v>
      </c>
      <c r="T498" s="16" t="str">
        <f>IF(S498=1, DATE(YEAR(Settings!$B$3), MONTH(D498), DAY(D498)), "")</f>
        <v/>
      </c>
      <c r="U498" s="15" t="str">
        <f>IF(S498=1,IFERROR(INDEX(Settings!$B$12:$B$41,MATCH($B498,Settings!$A$12:$A$41,0)),"N"),"")</f>
        <v/>
      </c>
      <c r="V498" s="15" t="str">
        <f>IF(S498=1,IFERROR(INDEX(Settings!$C$12:$C$41,MATCH($B498,Settings!$A$12:$A$41,0)),""),"")</f>
        <v/>
      </c>
      <c r="W498" s="17">
        <f>IF(S498=1,IFERROR(INDEX(Settings!$D$12:$D$41,MATCH($B498,Settings!$A$12:$A$41,0)),0),0)</f>
        <v>0</v>
      </c>
      <c r="X498" s="18">
        <f t="shared" si="64"/>
        <v>0</v>
      </c>
      <c r="Y498" s="18" t="str">
        <f t="shared" si="65"/>
        <v/>
      </c>
      <c r="Z498" s="15" t="str">
        <f>IF(S498=1,IFERROR(INDEX(Settings!$E$12:$E$41,MATCH($B498,Settings!$A$12:$A$41,0)),"N"),"")</f>
        <v/>
      </c>
      <c r="AA498" s="17">
        <f>IF(S498=1,IFERROR(INDEX(Settings!$F$12:$F$41,MATCH($B498,Settings!$A$12:$A$41,0)),0),0)</f>
        <v>0</v>
      </c>
      <c r="AB498" s="15">
        <f>IF(S498=1,IFERROR(INDEX(Settings!$G$12:$G$41,MATCH($B498,Settings!$A$12:$A$41,0)),0),0)</f>
        <v>0</v>
      </c>
      <c r="AC498" s="18" t="str">
        <f t="shared" si="66"/>
        <v/>
      </c>
      <c r="AD498" s="15" t="str">
        <f t="shared" si="67"/>
        <v/>
      </c>
      <c r="AE498" s="15" t="str">
        <f t="shared" si="68"/>
        <v/>
      </c>
      <c r="AF498" s="15" t="str">
        <f t="shared" si="69"/>
        <v/>
      </c>
      <c r="AG498" s="18">
        <f>IF(AND(S498=1,Z498="Y"),IF(Settings!$B$6="Percentage",IF(AD498=0,0,AC498*AA498*(N498/AD498)),IF(Settings!$B$6="Points",IF(AF498=0,0,AC498*(N498*AB498)/AF498),IF(Settings!$B$6="Equally",IF(AE498=0,0,AC498*N498/AE498),0))),0)</f>
        <v>0</v>
      </c>
      <c r="AH498" s="18" t="str">
        <f t="shared" si="70"/>
        <v/>
      </c>
      <c r="AI498" s="15">
        <f>IF(S498=1,IF(COUNTIFS($R$2:R498,R498,$S$2:S498,1)=1,1,0),0)</f>
        <v>0</v>
      </c>
      <c r="AJ498" s="15">
        <f>SUM($AI$2:AI498)</f>
        <v>12</v>
      </c>
    </row>
    <row r="499" spans="18:36">
      <c r="R499" s="15" t="str">
        <f t="shared" si="71"/>
        <v/>
      </c>
      <c r="S499" s="15">
        <f t="shared" si="63"/>
        <v>0</v>
      </c>
      <c r="T499" s="16" t="str">
        <f>IF(S499=1, DATE(YEAR(Settings!$B$3), MONTH(D499), DAY(D499)), "")</f>
        <v/>
      </c>
      <c r="U499" s="15" t="str">
        <f>IF(S499=1,IFERROR(INDEX(Settings!$B$12:$B$41,MATCH($B499,Settings!$A$12:$A$41,0)),"N"),"")</f>
        <v/>
      </c>
      <c r="V499" s="15" t="str">
        <f>IF(S499=1,IFERROR(INDEX(Settings!$C$12:$C$41,MATCH($B499,Settings!$A$12:$A$41,0)),""),"")</f>
        <v/>
      </c>
      <c r="W499" s="17">
        <f>IF(S499=1,IFERROR(INDEX(Settings!$D$12:$D$41,MATCH($B499,Settings!$A$12:$A$41,0)),0),0)</f>
        <v>0</v>
      </c>
      <c r="X499" s="18">
        <f t="shared" si="64"/>
        <v>0</v>
      </c>
      <c r="Y499" s="18" t="str">
        <f t="shared" si="65"/>
        <v/>
      </c>
      <c r="Z499" s="15" t="str">
        <f>IF(S499=1,IFERROR(INDEX(Settings!$E$12:$E$41,MATCH($B499,Settings!$A$12:$A$41,0)),"N"),"")</f>
        <v/>
      </c>
      <c r="AA499" s="17">
        <f>IF(S499=1,IFERROR(INDEX(Settings!$F$12:$F$41,MATCH($B499,Settings!$A$12:$A$41,0)),0),0)</f>
        <v>0</v>
      </c>
      <c r="AB499" s="15">
        <f>IF(S499=1,IFERROR(INDEX(Settings!$G$12:$G$41,MATCH($B499,Settings!$A$12:$A$41,0)),0),0)</f>
        <v>0</v>
      </c>
      <c r="AC499" s="18" t="str">
        <f t="shared" si="66"/>
        <v/>
      </c>
      <c r="AD499" s="15" t="str">
        <f t="shared" si="67"/>
        <v/>
      </c>
      <c r="AE499" s="15" t="str">
        <f t="shared" si="68"/>
        <v/>
      </c>
      <c r="AF499" s="15" t="str">
        <f t="shared" si="69"/>
        <v/>
      </c>
      <c r="AG499" s="18">
        <f>IF(AND(S499=1,Z499="Y"),IF(Settings!$B$6="Percentage",IF(AD499=0,0,AC499*AA499*(N499/AD499)),IF(Settings!$B$6="Points",IF(AF499=0,0,AC499*(N499*AB499)/AF499),IF(Settings!$B$6="Equally",IF(AE499=0,0,AC499*N499/AE499),0))),0)</f>
        <v>0</v>
      </c>
      <c r="AH499" s="18" t="str">
        <f t="shared" si="70"/>
        <v/>
      </c>
      <c r="AI499" s="15">
        <f>IF(S499=1,IF(COUNTIFS($R$2:R499,R499,$S$2:S499,1)=1,1,0),0)</f>
        <v>0</v>
      </c>
      <c r="AJ499" s="15">
        <f>SUM($AI$2:AI499)</f>
        <v>12</v>
      </c>
    </row>
    <row r="500" spans="18:36">
      <c r="R500" s="15" t="str">
        <f t="shared" si="71"/>
        <v/>
      </c>
      <c r="S500" s="15">
        <f t="shared" si="63"/>
        <v>0</v>
      </c>
      <c r="T500" s="16" t="str">
        <f>IF(S500=1, DATE(YEAR(Settings!$B$3), MONTH(D500), DAY(D500)), "")</f>
        <v/>
      </c>
      <c r="U500" s="15" t="str">
        <f>IF(S500=1,IFERROR(INDEX(Settings!$B$12:$B$41,MATCH($B500,Settings!$A$12:$A$41,0)),"N"),"")</f>
        <v/>
      </c>
      <c r="V500" s="15" t="str">
        <f>IF(S500=1,IFERROR(INDEX(Settings!$C$12:$C$41,MATCH($B500,Settings!$A$12:$A$41,0)),""),"")</f>
        <v/>
      </c>
      <c r="W500" s="17">
        <f>IF(S500=1,IFERROR(INDEX(Settings!$D$12:$D$41,MATCH($B500,Settings!$A$12:$A$41,0)),0),0)</f>
        <v>0</v>
      </c>
      <c r="X500" s="18">
        <f t="shared" si="64"/>
        <v>0</v>
      </c>
      <c r="Y500" s="18" t="str">
        <f t="shared" si="65"/>
        <v/>
      </c>
      <c r="Z500" s="15" t="str">
        <f>IF(S500=1,IFERROR(INDEX(Settings!$E$12:$E$41,MATCH($B500,Settings!$A$12:$A$41,0)),"N"),"")</f>
        <v/>
      </c>
      <c r="AA500" s="17">
        <f>IF(S500=1,IFERROR(INDEX(Settings!$F$12:$F$41,MATCH($B500,Settings!$A$12:$A$41,0)),0),0)</f>
        <v>0</v>
      </c>
      <c r="AB500" s="15">
        <f>IF(S500=1,IFERROR(INDEX(Settings!$G$12:$G$41,MATCH($B500,Settings!$A$12:$A$41,0)),0),0)</f>
        <v>0</v>
      </c>
      <c r="AC500" s="18" t="str">
        <f t="shared" si="66"/>
        <v/>
      </c>
      <c r="AD500" s="15" t="str">
        <f t="shared" si="67"/>
        <v/>
      </c>
      <c r="AE500" s="15" t="str">
        <f t="shared" si="68"/>
        <v/>
      </c>
      <c r="AF500" s="15" t="str">
        <f t="shared" si="69"/>
        <v/>
      </c>
      <c r="AG500" s="18">
        <f>IF(AND(S500=1,Z500="Y"),IF(Settings!$B$6="Percentage",IF(AD500=0,0,AC500*AA500*(N500/AD500)),IF(Settings!$B$6="Points",IF(AF500=0,0,AC500*(N500*AB500)/AF500),IF(Settings!$B$6="Equally",IF(AE500=0,0,AC500*N500/AE500),0))),0)</f>
        <v>0</v>
      </c>
      <c r="AH500" s="18" t="str">
        <f t="shared" si="70"/>
        <v/>
      </c>
      <c r="AI500" s="15">
        <f>IF(S500=1,IF(COUNTIFS($R$2:R500,R500,$S$2:S500,1)=1,1,0),0)</f>
        <v>0</v>
      </c>
      <c r="AJ500" s="15">
        <f>SUM($AI$2:AI500)</f>
        <v>12</v>
      </c>
    </row>
    <row r="501" spans="18:36">
      <c r="R501" s="15" t="str">
        <f t="shared" si="71"/>
        <v/>
      </c>
      <c r="S501" s="15">
        <f t="shared" si="63"/>
        <v>0</v>
      </c>
      <c r="T501" s="16" t="str">
        <f>IF(S501=1, DATE(YEAR(Settings!$B$3), MONTH(D501), DAY(D501)), "")</f>
        <v/>
      </c>
      <c r="U501" s="15" t="str">
        <f>IF(S501=1,IFERROR(INDEX(Settings!$B$12:$B$41,MATCH($B501,Settings!$A$12:$A$41,0)),"N"),"")</f>
        <v/>
      </c>
      <c r="V501" s="15" t="str">
        <f>IF(S501=1,IFERROR(INDEX(Settings!$C$12:$C$41,MATCH($B501,Settings!$A$12:$A$41,0)),""),"")</f>
        <v/>
      </c>
      <c r="W501" s="17">
        <f>IF(S501=1,IFERROR(INDEX(Settings!$D$12:$D$41,MATCH($B501,Settings!$A$12:$A$41,0)),0),0)</f>
        <v>0</v>
      </c>
      <c r="X501" s="18">
        <f t="shared" si="64"/>
        <v>0</v>
      </c>
      <c r="Y501" s="18" t="str">
        <f t="shared" si="65"/>
        <v/>
      </c>
      <c r="Z501" s="15" t="str">
        <f>IF(S501=1,IFERROR(INDEX(Settings!$E$12:$E$41,MATCH($B501,Settings!$A$12:$A$41,0)),"N"),"")</f>
        <v/>
      </c>
      <c r="AA501" s="17">
        <f>IF(S501=1,IFERROR(INDEX(Settings!$F$12:$F$41,MATCH($B501,Settings!$A$12:$A$41,0)),0),0)</f>
        <v>0</v>
      </c>
      <c r="AB501" s="15">
        <f>IF(S501=1,IFERROR(INDEX(Settings!$G$12:$G$41,MATCH($B501,Settings!$A$12:$A$41,0)),0),0)</f>
        <v>0</v>
      </c>
      <c r="AC501" s="18" t="str">
        <f t="shared" si="66"/>
        <v/>
      </c>
      <c r="AD501" s="15" t="str">
        <f t="shared" si="67"/>
        <v/>
      </c>
      <c r="AE501" s="15" t="str">
        <f t="shared" si="68"/>
        <v/>
      </c>
      <c r="AF501" s="15" t="str">
        <f t="shared" si="69"/>
        <v/>
      </c>
      <c r="AG501" s="18">
        <f>IF(AND(S501=1,Z501="Y"),IF(Settings!$B$6="Percentage",IF(AD501=0,0,AC501*AA501*(N501/AD501)),IF(Settings!$B$6="Points",IF(AF501=0,0,AC501*(N501*AB501)/AF501),IF(Settings!$B$6="Equally",IF(AE501=0,0,AC501*N501/AE501),0))),0)</f>
        <v>0</v>
      </c>
      <c r="AH501" s="18" t="str">
        <f t="shared" si="70"/>
        <v/>
      </c>
      <c r="AI501" s="15">
        <f>IF(S501=1,IF(COUNTIFS($R$2:R501,R501,$S$2:S501,1)=1,1,0),0)</f>
        <v>0</v>
      </c>
      <c r="AJ501" s="15">
        <f>SUM($AI$2:AI501)</f>
        <v>12</v>
      </c>
    </row>
    <row r="502" spans="18:36">
      <c r="R502" s="15" t="str">
        <f t="shared" si="71"/>
        <v/>
      </c>
      <c r="S502" s="15">
        <f t="shared" si="63"/>
        <v>0</v>
      </c>
      <c r="T502" s="16" t="str">
        <f>IF(S502=1, DATE(YEAR(Settings!$B$3), MONTH(D502), DAY(D502)), "")</f>
        <v/>
      </c>
      <c r="U502" s="15" t="str">
        <f>IF(S502=1,IFERROR(INDEX(Settings!$B$12:$B$41,MATCH($B502,Settings!$A$12:$A$41,0)),"N"),"")</f>
        <v/>
      </c>
      <c r="V502" s="15" t="str">
        <f>IF(S502=1,IFERROR(INDEX(Settings!$C$12:$C$41,MATCH($B502,Settings!$A$12:$A$41,0)),""),"")</f>
        <v/>
      </c>
      <c r="W502" s="17">
        <f>IF(S502=1,IFERROR(INDEX(Settings!$D$12:$D$41,MATCH($B502,Settings!$A$12:$A$41,0)),0),0)</f>
        <v>0</v>
      </c>
      <c r="X502" s="18">
        <f t="shared" si="64"/>
        <v>0</v>
      </c>
      <c r="Y502" s="18" t="str">
        <f t="shared" si="65"/>
        <v/>
      </c>
      <c r="Z502" s="15" t="str">
        <f>IF(S502=1,IFERROR(INDEX(Settings!$E$12:$E$41,MATCH($B502,Settings!$A$12:$A$41,0)),"N"),"")</f>
        <v/>
      </c>
      <c r="AA502" s="17">
        <f>IF(S502=1,IFERROR(INDEX(Settings!$F$12:$F$41,MATCH($B502,Settings!$A$12:$A$41,0)),0),0)</f>
        <v>0</v>
      </c>
      <c r="AB502" s="15">
        <f>IF(S502=1,IFERROR(INDEX(Settings!$G$12:$G$41,MATCH($B502,Settings!$A$12:$A$41,0)),0),0)</f>
        <v>0</v>
      </c>
      <c r="AC502" s="18" t="str">
        <f t="shared" si="66"/>
        <v/>
      </c>
      <c r="AD502" s="15" t="str">
        <f t="shared" si="67"/>
        <v/>
      </c>
      <c r="AE502" s="15" t="str">
        <f t="shared" si="68"/>
        <v/>
      </c>
      <c r="AF502" s="15" t="str">
        <f t="shared" si="69"/>
        <v/>
      </c>
      <c r="AG502" s="18">
        <f>IF(AND(S502=1,Z502="Y"),IF(Settings!$B$6="Percentage",IF(AD502=0,0,AC502*AA502*(N502/AD502)),IF(Settings!$B$6="Points",IF(AF502=0,0,AC502*(N502*AB502)/AF502),IF(Settings!$B$6="Equally",IF(AE502=0,0,AC502*N502/AE502),0))),0)</f>
        <v>0</v>
      </c>
      <c r="AH502" s="18" t="str">
        <f t="shared" si="70"/>
        <v/>
      </c>
      <c r="AI502" s="15">
        <f>IF(S502=1,IF(COUNTIFS($R$2:R502,R502,$S$2:S502,1)=1,1,0),0)</f>
        <v>0</v>
      </c>
      <c r="AJ502" s="15">
        <f>SUM($AI$2:AI502)</f>
        <v>12</v>
      </c>
    </row>
    <row r="503" spans="18:36">
      <c r="R503" s="15" t="str">
        <f t="shared" si="71"/>
        <v/>
      </c>
      <c r="S503" s="15">
        <f t="shared" si="63"/>
        <v>0</v>
      </c>
      <c r="T503" s="16" t="str">
        <f>IF(S503=1, DATE(YEAR(Settings!$B$3), MONTH(D503), DAY(D503)), "")</f>
        <v/>
      </c>
      <c r="U503" s="15" t="str">
        <f>IF(S503=1,IFERROR(INDEX(Settings!$B$12:$B$41,MATCH($B503,Settings!$A$12:$A$41,0)),"N"),"")</f>
        <v/>
      </c>
      <c r="V503" s="15" t="str">
        <f>IF(S503=1,IFERROR(INDEX(Settings!$C$12:$C$41,MATCH($B503,Settings!$A$12:$A$41,0)),""),"")</f>
        <v/>
      </c>
      <c r="W503" s="17">
        <f>IF(S503=1,IFERROR(INDEX(Settings!$D$12:$D$41,MATCH($B503,Settings!$A$12:$A$41,0)),0),0)</f>
        <v>0</v>
      </c>
      <c r="X503" s="18">
        <f t="shared" si="64"/>
        <v>0</v>
      </c>
      <c r="Y503" s="18" t="str">
        <f t="shared" si="65"/>
        <v/>
      </c>
      <c r="Z503" s="15" t="str">
        <f>IF(S503=1,IFERROR(INDEX(Settings!$E$12:$E$41,MATCH($B503,Settings!$A$12:$A$41,0)),"N"),"")</f>
        <v/>
      </c>
      <c r="AA503" s="17">
        <f>IF(S503=1,IFERROR(INDEX(Settings!$F$12:$F$41,MATCH($B503,Settings!$A$12:$A$41,0)),0),0)</f>
        <v>0</v>
      </c>
      <c r="AB503" s="15">
        <f>IF(S503=1,IFERROR(INDEX(Settings!$G$12:$G$41,MATCH($B503,Settings!$A$12:$A$41,0)),0),0)</f>
        <v>0</v>
      </c>
      <c r="AC503" s="18" t="str">
        <f t="shared" si="66"/>
        <v/>
      </c>
      <c r="AD503" s="15" t="str">
        <f t="shared" si="67"/>
        <v/>
      </c>
      <c r="AE503" s="15" t="str">
        <f t="shared" si="68"/>
        <v/>
      </c>
      <c r="AF503" s="15" t="str">
        <f t="shared" si="69"/>
        <v/>
      </c>
      <c r="AG503" s="18">
        <f>IF(AND(S503=1,Z503="Y"),IF(Settings!$B$6="Percentage",IF(AD503=0,0,AC503*AA503*(N503/AD503)),IF(Settings!$B$6="Points",IF(AF503=0,0,AC503*(N503*AB503)/AF503),IF(Settings!$B$6="Equally",IF(AE503=0,0,AC503*N503/AE503),0))),0)</f>
        <v>0</v>
      </c>
      <c r="AH503" s="18" t="str">
        <f t="shared" si="70"/>
        <v/>
      </c>
      <c r="AI503" s="15">
        <f>IF(S503=1,IF(COUNTIFS($R$2:R503,R503,$S$2:S503,1)=1,1,0),0)</f>
        <v>0</v>
      </c>
      <c r="AJ503" s="15">
        <f>SUM($AI$2:AI503)</f>
        <v>12</v>
      </c>
    </row>
    <row r="504" spans="18:36">
      <c r="R504" s="15" t="str">
        <f t="shared" si="71"/>
        <v/>
      </c>
      <c r="S504" s="15">
        <f t="shared" si="63"/>
        <v>0</v>
      </c>
      <c r="T504" s="16" t="str">
        <f>IF(S504=1, DATE(YEAR(Settings!$B$3), MONTH(D504), DAY(D504)), "")</f>
        <v/>
      </c>
      <c r="U504" s="15" t="str">
        <f>IF(S504=1,IFERROR(INDEX(Settings!$B$12:$B$41,MATCH($B504,Settings!$A$12:$A$41,0)),"N"),"")</f>
        <v/>
      </c>
      <c r="V504" s="15" t="str">
        <f>IF(S504=1,IFERROR(INDEX(Settings!$C$12:$C$41,MATCH($B504,Settings!$A$12:$A$41,0)),""),"")</f>
        <v/>
      </c>
      <c r="W504" s="17">
        <f>IF(S504=1,IFERROR(INDEX(Settings!$D$12:$D$41,MATCH($B504,Settings!$A$12:$A$41,0)),0),0)</f>
        <v>0</v>
      </c>
      <c r="X504" s="18">
        <f t="shared" si="64"/>
        <v>0</v>
      </c>
      <c r="Y504" s="18" t="str">
        <f t="shared" si="65"/>
        <v/>
      </c>
      <c r="Z504" s="15" t="str">
        <f>IF(S504=1,IFERROR(INDEX(Settings!$E$12:$E$41,MATCH($B504,Settings!$A$12:$A$41,0)),"N"),"")</f>
        <v/>
      </c>
      <c r="AA504" s="17">
        <f>IF(S504=1,IFERROR(INDEX(Settings!$F$12:$F$41,MATCH($B504,Settings!$A$12:$A$41,0)),0),0)</f>
        <v>0</v>
      </c>
      <c r="AB504" s="15">
        <f>IF(S504=1,IFERROR(INDEX(Settings!$G$12:$G$41,MATCH($B504,Settings!$A$12:$A$41,0)),0),0)</f>
        <v>0</v>
      </c>
      <c r="AC504" s="18" t="str">
        <f t="shared" si="66"/>
        <v/>
      </c>
      <c r="AD504" s="15" t="str">
        <f t="shared" si="67"/>
        <v/>
      </c>
      <c r="AE504" s="15" t="str">
        <f t="shared" si="68"/>
        <v/>
      </c>
      <c r="AF504" s="15" t="str">
        <f t="shared" si="69"/>
        <v/>
      </c>
      <c r="AG504" s="18">
        <f>IF(AND(S504=1,Z504="Y"),IF(Settings!$B$6="Percentage",IF(AD504=0,0,AC504*AA504*(N504/AD504)),IF(Settings!$B$6="Points",IF(AF504=0,0,AC504*(N504*AB504)/AF504),IF(Settings!$B$6="Equally",IF(AE504=0,0,AC504*N504/AE504),0))),0)</f>
        <v>0</v>
      </c>
      <c r="AH504" s="18" t="str">
        <f t="shared" si="70"/>
        <v/>
      </c>
      <c r="AI504" s="15">
        <f>IF(S504=1,IF(COUNTIFS($R$2:R504,R504,$S$2:S504,1)=1,1,0),0)</f>
        <v>0</v>
      </c>
      <c r="AJ504" s="15">
        <f>SUM($AI$2:AI504)</f>
        <v>12</v>
      </c>
    </row>
    <row r="505" spans="18:36">
      <c r="R505" s="15" t="str">
        <f t="shared" si="71"/>
        <v/>
      </c>
      <c r="S505" s="15">
        <f t="shared" si="63"/>
        <v>0</v>
      </c>
      <c r="T505" s="16" t="str">
        <f>IF(S505=1, DATE(YEAR(Settings!$B$3), MONTH(D505), DAY(D505)), "")</f>
        <v/>
      </c>
      <c r="U505" s="15" t="str">
        <f>IF(S505=1,IFERROR(INDEX(Settings!$B$12:$B$41,MATCH($B505,Settings!$A$12:$A$41,0)),"N"),"")</f>
        <v/>
      </c>
      <c r="V505" s="15" t="str">
        <f>IF(S505=1,IFERROR(INDEX(Settings!$C$12:$C$41,MATCH($B505,Settings!$A$12:$A$41,0)),""),"")</f>
        <v/>
      </c>
      <c r="W505" s="17">
        <f>IF(S505=1,IFERROR(INDEX(Settings!$D$12:$D$41,MATCH($B505,Settings!$A$12:$A$41,0)),0),0)</f>
        <v>0</v>
      </c>
      <c r="X505" s="18">
        <f t="shared" si="64"/>
        <v>0</v>
      </c>
      <c r="Y505" s="18" t="str">
        <f t="shared" si="65"/>
        <v/>
      </c>
      <c r="Z505" s="15" t="str">
        <f>IF(S505=1,IFERROR(INDEX(Settings!$E$12:$E$41,MATCH($B505,Settings!$A$12:$A$41,0)),"N"),"")</f>
        <v/>
      </c>
      <c r="AA505" s="17">
        <f>IF(S505=1,IFERROR(INDEX(Settings!$F$12:$F$41,MATCH($B505,Settings!$A$12:$A$41,0)),0),0)</f>
        <v>0</v>
      </c>
      <c r="AB505" s="15">
        <f>IF(S505=1,IFERROR(INDEX(Settings!$G$12:$G$41,MATCH($B505,Settings!$A$12:$A$41,0)),0),0)</f>
        <v>0</v>
      </c>
      <c r="AC505" s="18" t="str">
        <f t="shared" si="66"/>
        <v/>
      </c>
      <c r="AD505" s="15" t="str">
        <f t="shared" si="67"/>
        <v/>
      </c>
      <c r="AE505" s="15" t="str">
        <f t="shared" si="68"/>
        <v/>
      </c>
      <c r="AF505" s="15" t="str">
        <f t="shared" si="69"/>
        <v/>
      </c>
      <c r="AG505" s="18">
        <f>IF(AND(S505=1,Z505="Y"),IF(Settings!$B$6="Percentage",IF(AD505=0,0,AC505*AA505*(N505/AD505)),IF(Settings!$B$6="Points",IF(AF505=0,0,AC505*(N505*AB505)/AF505),IF(Settings!$B$6="Equally",IF(AE505=0,0,AC505*N505/AE505),0))),0)</f>
        <v>0</v>
      </c>
      <c r="AH505" s="18" t="str">
        <f t="shared" si="70"/>
        <v/>
      </c>
      <c r="AI505" s="15">
        <f>IF(S505=1,IF(COUNTIFS($R$2:R505,R505,$S$2:S505,1)=1,1,0),0)</f>
        <v>0</v>
      </c>
      <c r="AJ505" s="15">
        <f>SUM($AI$2:AI505)</f>
        <v>12</v>
      </c>
    </row>
    <row r="506" spans="18:36">
      <c r="R506" s="15" t="str">
        <f t="shared" si="71"/>
        <v/>
      </c>
      <c r="S506" s="15">
        <f t="shared" si="63"/>
        <v>0</v>
      </c>
      <c r="T506" s="16" t="str">
        <f>IF(S506=1, DATE(YEAR(Settings!$B$3), MONTH(D506), DAY(D506)), "")</f>
        <v/>
      </c>
      <c r="U506" s="15" t="str">
        <f>IF(S506=1,IFERROR(INDEX(Settings!$B$12:$B$41,MATCH($B506,Settings!$A$12:$A$41,0)),"N"),"")</f>
        <v/>
      </c>
      <c r="V506" s="15" t="str">
        <f>IF(S506=1,IFERROR(INDEX(Settings!$C$12:$C$41,MATCH($B506,Settings!$A$12:$A$41,0)),""),"")</f>
        <v/>
      </c>
      <c r="W506" s="17">
        <f>IF(S506=1,IFERROR(INDEX(Settings!$D$12:$D$41,MATCH($B506,Settings!$A$12:$A$41,0)),0),0)</f>
        <v>0</v>
      </c>
      <c r="X506" s="18">
        <f t="shared" si="64"/>
        <v>0</v>
      </c>
      <c r="Y506" s="18" t="str">
        <f t="shared" si="65"/>
        <v/>
      </c>
      <c r="Z506" s="15" t="str">
        <f>IF(S506=1,IFERROR(INDEX(Settings!$E$12:$E$41,MATCH($B506,Settings!$A$12:$A$41,0)),"N"),"")</f>
        <v/>
      </c>
      <c r="AA506" s="17">
        <f>IF(S506=1,IFERROR(INDEX(Settings!$F$12:$F$41,MATCH($B506,Settings!$A$12:$A$41,0)),0),0)</f>
        <v>0</v>
      </c>
      <c r="AB506" s="15">
        <f>IF(S506=1,IFERROR(INDEX(Settings!$G$12:$G$41,MATCH($B506,Settings!$A$12:$A$41,0)),0),0)</f>
        <v>0</v>
      </c>
      <c r="AC506" s="18" t="str">
        <f t="shared" si="66"/>
        <v/>
      </c>
      <c r="AD506" s="15" t="str">
        <f t="shared" si="67"/>
        <v/>
      </c>
      <c r="AE506" s="15" t="str">
        <f t="shared" si="68"/>
        <v/>
      </c>
      <c r="AF506" s="15" t="str">
        <f t="shared" si="69"/>
        <v/>
      </c>
      <c r="AG506" s="18">
        <f>IF(AND(S506=1,Z506="Y"),IF(Settings!$B$6="Percentage",IF(AD506=0,0,AC506*AA506*(N506/AD506)),IF(Settings!$B$6="Points",IF(AF506=0,0,AC506*(N506*AB506)/AF506),IF(Settings!$B$6="Equally",IF(AE506=0,0,AC506*N506/AE506),0))),0)</f>
        <v>0</v>
      </c>
      <c r="AH506" s="18" t="str">
        <f t="shared" si="70"/>
        <v/>
      </c>
      <c r="AI506" s="15">
        <f>IF(S506=1,IF(COUNTIFS($R$2:R506,R506,$S$2:S506,1)=1,1,0),0)</f>
        <v>0</v>
      </c>
      <c r="AJ506" s="15">
        <f>SUM($AI$2:AI506)</f>
        <v>12</v>
      </c>
    </row>
    <row r="507" spans="18:36">
      <c r="R507" s="15" t="str">
        <f t="shared" si="71"/>
        <v/>
      </c>
      <c r="S507" s="15">
        <f t="shared" si="63"/>
        <v>0</v>
      </c>
      <c r="T507" s="16" t="str">
        <f>IF(S507=1, DATE(YEAR(Settings!$B$3), MONTH(D507), DAY(D507)), "")</f>
        <v/>
      </c>
      <c r="U507" s="15" t="str">
        <f>IF(S507=1,IFERROR(INDEX(Settings!$B$12:$B$41,MATCH($B507,Settings!$A$12:$A$41,0)),"N"),"")</f>
        <v/>
      </c>
      <c r="V507" s="15" t="str">
        <f>IF(S507=1,IFERROR(INDEX(Settings!$C$12:$C$41,MATCH($B507,Settings!$A$12:$A$41,0)),""),"")</f>
        <v/>
      </c>
      <c r="W507" s="17">
        <f>IF(S507=1,IFERROR(INDEX(Settings!$D$12:$D$41,MATCH($B507,Settings!$A$12:$A$41,0)),0),0)</f>
        <v>0</v>
      </c>
      <c r="X507" s="18">
        <f t="shared" si="64"/>
        <v>0</v>
      </c>
      <c r="Y507" s="18" t="str">
        <f t="shared" si="65"/>
        <v/>
      </c>
      <c r="Z507" s="15" t="str">
        <f>IF(S507=1,IFERROR(INDEX(Settings!$E$12:$E$41,MATCH($B507,Settings!$A$12:$A$41,0)),"N"),"")</f>
        <v/>
      </c>
      <c r="AA507" s="17">
        <f>IF(S507=1,IFERROR(INDEX(Settings!$F$12:$F$41,MATCH($B507,Settings!$A$12:$A$41,0)),0),0)</f>
        <v>0</v>
      </c>
      <c r="AB507" s="15">
        <f>IF(S507=1,IFERROR(INDEX(Settings!$G$12:$G$41,MATCH($B507,Settings!$A$12:$A$41,0)),0),0)</f>
        <v>0</v>
      </c>
      <c r="AC507" s="18" t="str">
        <f t="shared" si="66"/>
        <v/>
      </c>
      <c r="AD507" s="15" t="str">
        <f t="shared" si="67"/>
        <v/>
      </c>
      <c r="AE507" s="15" t="str">
        <f t="shared" si="68"/>
        <v/>
      </c>
      <c r="AF507" s="15" t="str">
        <f t="shared" si="69"/>
        <v/>
      </c>
      <c r="AG507" s="18">
        <f>IF(AND(S507=1,Z507="Y"),IF(Settings!$B$6="Percentage",IF(AD507=0,0,AC507*AA507*(N507/AD507)),IF(Settings!$B$6="Points",IF(AF507=0,0,AC507*(N507*AB507)/AF507),IF(Settings!$B$6="Equally",IF(AE507=0,0,AC507*N507/AE507),0))),0)</f>
        <v>0</v>
      </c>
      <c r="AH507" s="18" t="str">
        <f t="shared" si="70"/>
        <v/>
      </c>
      <c r="AI507" s="15">
        <f>IF(S507=1,IF(COUNTIFS($R$2:R507,R507,$S$2:S507,1)=1,1,0),0)</f>
        <v>0</v>
      </c>
      <c r="AJ507" s="15">
        <f>SUM($AI$2:AI507)</f>
        <v>12</v>
      </c>
    </row>
    <row r="508" spans="18:36">
      <c r="R508" s="15" t="str">
        <f t="shared" si="71"/>
        <v/>
      </c>
      <c r="S508" s="15">
        <f t="shared" si="63"/>
        <v>0</v>
      </c>
      <c r="T508" s="16" t="str">
        <f>IF(S508=1, DATE(YEAR(Settings!$B$3), MONTH(D508), DAY(D508)), "")</f>
        <v/>
      </c>
      <c r="U508" s="15" t="str">
        <f>IF(S508=1,IFERROR(INDEX(Settings!$B$12:$B$41,MATCH($B508,Settings!$A$12:$A$41,0)),"N"),"")</f>
        <v/>
      </c>
      <c r="V508" s="15" t="str">
        <f>IF(S508=1,IFERROR(INDEX(Settings!$C$12:$C$41,MATCH($B508,Settings!$A$12:$A$41,0)),""),"")</f>
        <v/>
      </c>
      <c r="W508" s="17">
        <f>IF(S508=1,IFERROR(INDEX(Settings!$D$12:$D$41,MATCH($B508,Settings!$A$12:$A$41,0)),0),0)</f>
        <v>0</v>
      </c>
      <c r="X508" s="18">
        <f t="shared" si="64"/>
        <v>0</v>
      </c>
      <c r="Y508" s="18" t="str">
        <f t="shared" si="65"/>
        <v/>
      </c>
      <c r="Z508" s="15" t="str">
        <f>IF(S508=1,IFERROR(INDEX(Settings!$E$12:$E$41,MATCH($B508,Settings!$A$12:$A$41,0)),"N"),"")</f>
        <v/>
      </c>
      <c r="AA508" s="17">
        <f>IF(S508=1,IFERROR(INDEX(Settings!$F$12:$F$41,MATCH($B508,Settings!$A$12:$A$41,0)),0),0)</f>
        <v>0</v>
      </c>
      <c r="AB508" s="15">
        <f>IF(S508=1,IFERROR(INDEX(Settings!$G$12:$G$41,MATCH($B508,Settings!$A$12:$A$41,0)),0),0)</f>
        <v>0</v>
      </c>
      <c r="AC508" s="18" t="str">
        <f t="shared" si="66"/>
        <v/>
      </c>
      <c r="AD508" s="15" t="str">
        <f t="shared" si="67"/>
        <v/>
      </c>
      <c r="AE508" s="15" t="str">
        <f t="shared" si="68"/>
        <v/>
      </c>
      <c r="AF508" s="15" t="str">
        <f t="shared" si="69"/>
        <v/>
      </c>
      <c r="AG508" s="18">
        <f>IF(AND(S508=1,Z508="Y"),IF(Settings!$B$6="Percentage",IF(AD508=0,0,AC508*AA508*(N508/AD508)),IF(Settings!$B$6="Points",IF(AF508=0,0,AC508*(N508*AB508)/AF508),IF(Settings!$B$6="Equally",IF(AE508=0,0,AC508*N508/AE508),0))),0)</f>
        <v>0</v>
      </c>
      <c r="AH508" s="18" t="str">
        <f t="shared" si="70"/>
        <v/>
      </c>
      <c r="AI508" s="15">
        <f>IF(S508=1,IF(COUNTIFS($R$2:R508,R508,$S$2:S508,1)=1,1,0),0)</f>
        <v>0</v>
      </c>
      <c r="AJ508" s="15">
        <f>SUM($AI$2:AI508)</f>
        <v>12</v>
      </c>
    </row>
    <row r="509" spans="18:36">
      <c r="R509" s="15" t="str">
        <f t="shared" si="71"/>
        <v/>
      </c>
      <c r="S509" s="15">
        <f t="shared" si="63"/>
        <v>0</v>
      </c>
      <c r="T509" s="16" t="str">
        <f>IF(S509=1, DATE(YEAR(Settings!$B$3), MONTH(D509), DAY(D509)), "")</f>
        <v/>
      </c>
      <c r="U509" s="15" t="str">
        <f>IF(S509=1,IFERROR(INDEX(Settings!$B$12:$B$41,MATCH($B509,Settings!$A$12:$A$41,0)),"N"),"")</f>
        <v/>
      </c>
      <c r="V509" s="15" t="str">
        <f>IF(S509=1,IFERROR(INDEX(Settings!$C$12:$C$41,MATCH($B509,Settings!$A$12:$A$41,0)),""),"")</f>
        <v/>
      </c>
      <c r="W509" s="17">
        <f>IF(S509=1,IFERROR(INDEX(Settings!$D$12:$D$41,MATCH($B509,Settings!$A$12:$A$41,0)),0),0)</f>
        <v>0</v>
      </c>
      <c r="X509" s="18">
        <f t="shared" si="64"/>
        <v>0</v>
      </c>
      <c r="Y509" s="18" t="str">
        <f t="shared" si="65"/>
        <v/>
      </c>
      <c r="Z509" s="15" t="str">
        <f>IF(S509=1,IFERROR(INDEX(Settings!$E$12:$E$41,MATCH($B509,Settings!$A$12:$A$41,0)),"N"),"")</f>
        <v/>
      </c>
      <c r="AA509" s="17">
        <f>IF(S509=1,IFERROR(INDEX(Settings!$F$12:$F$41,MATCH($B509,Settings!$A$12:$A$41,0)),0),0)</f>
        <v>0</v>
      </c>
      <c r="AB509" s="15">
        <f>IF(S509=1,IFERROR(INDEX(Settings!$G$12:$G$41,MATCH($B509,Settings!$A$12:$A$41,0)),0),0)</f>
        <v>0</v>
      </c>
      <c r="AC509" s="18" t="str">
        <f t="shared" si="66"/>
        <v/>
      </c>
      <c r="AD509" s="15" t="str">
        <f t="shared" si="67"/>
        <v/>
      </c>
      <c r="AE509" s="15" t="str">
        <f t="shared" si="68"/>
        <v/>
      </c>
      <c r="AF509" s="15" t="str">
        <f t="shared" si="69"/>
        <v/>
      </c>
      <c r="AG509" s="18">
        <f>IF(AND(S509=1,Z509="Y"),IF(Settings!$B$6="Percentage",IF(AD509=0,0,AC509*AA509*(N509/AD509)),IF(Settings!$B$6="Points",IF(AF509=0,0,AC509*(N509*AB509)/AF509),IF(Settings!$B$6="Equally",IF(AE509=0,0,AC509*N509/AE509),0))),0)</f>
        <v>0</v>
      </c>
      <c r="AH509" s="18" t="str">
        <f t="shared" si="70"/>
        <v/>
      </c>
      <c r="AI509" s="15">
        <f>IF(S509=1,IF(COUNTIFS($R$2:R509,R509,$S$2:S509,1)=1,1,0),0)</f>
        <v>0</v>
      </c>
      <c r="AJ509" s="15">
        <f>SUM($AI$2:AI509)</f>
        <v>12</v>
      </c>
    </row>
    <row r="510" spans="18:36">
      <c r="R510" s="15" t="str">
        <f t="shared" si="71"/>
        <v/>
      </c>
      <c r="S510" s="15">
        <f t="shared" si="63"/>
        <v>0</v>
      </c>
      <c r="T510" s="16" t="str">
        <f>IF(S510=1, DATE(YEAR(Settings!$B$3), MONTH(D510), DAY(D510)), "")</f>
        <v/>
      </c>
      <c r="U510" s="15" t="str">
        <f>IF(S510=1,IFERROR(INDEX(Settings!$B$12:$B$41,MATCH($B510,Settings!$A$12:$A$41,0)),"N"),"")</f>
        <v/>
      </c>
      <c r="V510" s="15" t="str">
        <f>IF(S510=1,IFERROR(INDEX(Settings!$C$12:$C$41,MATCH($B510,Settings!$A$12:$A$41,0)),""),"")</f>
        <v/>
      </c>
      <c r="W510" s="17">
        <f>IF(S510=1,IFERROR(INDEX(Settings!$D$12:$D$41,MATCH($B510,Settings!$A$12:$A$41,0)),0),0)</f>
        <v>0</v>
      </c>
      <c r="X510" s="18">
        <f t="shared" si="64"/>
        <v>0</v>
      </c>
      <c r="Y510" s="18" t="str">
        <f t="shared" si="65"/>
        <v/>
      </c>
      <c r="Z510" s="15" t="str">
        <f>IF(S510=1,IFERROR(INDEX(Settings!$E$12:$E$41,MATCH($B510,Settings!$A$12:$A$41,0)),"N"),"")</f>
        <v/>
      </c>
      <c r="AA510" s="17">
        <f>IF(S510=1,IFERROR(INDEX(Settings!$F$12:$F$41,MATCH($B510,Settings!$A$12:$A$41,0)),0),0)</f>
        <v>0</v>
      </c>
      <c r="AB510" s="15">
        <f>IF(S510=1,IFERROR(INDEX(Settings!$G$12:$G$41,MATCH($B510,Settings!$A$12:$A$41,0)),0),0)</f>
        <v>0</v>
      </c>
      <c r="AC510" s="18" t="str">
        <f t="shared" si="66"/>
        <v/>
      </c>
      <c r="AD510" s="15" t="str">
        <f t="shared" si="67"/>
        <v/>
      </c>
      <c r="AE510" s="15" t="str">
        <f t="shared" si="68"/>
        <v/>
      </c>
      <c r="AF510" s="15" t="str">
        <f t="shared" si="69"/>
        <v/>
      </c>
      <c r="AG510" s="18">
        <f>IF(AND(S510=1,Z510="Y"),IF(Settings!$B$6="Percentage",IF(AD510=0,0,AC510*AA510*(N510/AD510)),IF(Settings!$B$6="Points",IF(AF510=0,0,AC510*(N510*AB510)/AF510),IF(Settings!$B$6="Equally",IF(AE510=0,0,AC510*N510/AE510),0))),0)</f>
        <v>0</v>
      </c>
      <c r="AH510" s="18" t="str">
        <f t="shared" si="70"/>
        <v/>
      </c>
      <c r="AI510" s="15">
        <f>IF(S510=1,IF(COUNTIFS($R$2:R510,R510,$S$2:S510,1)=1,1,0),0)</f>
        <v>0</v>
      </c>
      <c r="AJ510" s="15">
        <f>SUM($AI$2:AI510)</f>
        <v>12</v>
      </c>
    </row>
    <row r="511" spans="18:36">
      <c r="R511" s="15" t="str">
        <f t="shared" si="71"/>
        <v/>
      </c>
      <c r="S511" s="15">
        <f t="shared" si="63"/>
        <v>0</v>
      </c>
      <c r="T511" s="16" t="str">
        <f>IF(S511=1, DATE(YEAR(Settings!$B$3), MONTH(D511), DAY(D511)), "")</f>
        <v/>
      </c>
      <c r="U511" s="15" t="str">
        <f>IF(S511=1,IFERROR(INDEX(Settings!$B$12:$B$41,MATCH($B511,Settings!$A$12:$A$41,0)),"N"),"")</f>
        <v/>
      </c>
      <c r="V511" s="15" t="str">
        <f>IF(S511=1,IFERROR(INDEX(Settings!$C$12:$C$41,MATCH($B511,Settings!$A$12:$A$41,0)),""),"")</f>
        <v/>
      </c>
      <c r="W511" s="17">
        <f>IF(S511=1,IFERROR(INDEX(Settings!$D$12:$D$41,MATCH($B511,Settings!$A$12:$A$41,0)),0),0)</f>
        <v>0</v>
      </c>
      <c r="X511" s="18">
        <f t="shared" si="64"/>
        <v>0</v>
      </c>
      <c r="Y511" s="18" t="str">
        <f t="shared" si="65"/>
        <v/>
      </c>
      <c r="Z511" s="15" t="str">
        <f>IF(S511=1,IFERROR(INDEX(Settings!$E$12:$E$41,MATCH($B511,Settings!$A$12:$A$41,0)),"N"),"")</f>
        <v/>
      </c>
      <c r="AA511" s="17">
        <f>IF(S511=1,IFERROR(INDEX(Settings!$F$12:$F$41,MATCH($B511,Settings!$A$12:$A$41,0)),0),0)</f>
        <v>0</v>
      </c>
      <c r="AB511" s="15">
        <f>IF(S511=1,IFERROR(INDEX(Settings!$G$12:$G$41,MATCH($B511,Settings!$A$12:$A$41,0)),0),0)</f>
        <v>0</v>
      </c>
      <c r="AC511" s="18" t="str">
        <f t="shared" si="66"/>
        <v/>
      </c>
      <c r="AD511" s="15" t="str">
        <f t="shared" si="67"/>
        <v/>
      </c>
      <c r="AE511" s="15" t="str">
        <f t="shared" si="68"/>
        <v/>
      </c>
      <c r="AF511" s="15" t="str">
        <f t="shared" si="69"/>
        <v/>
      </c>
      <c r="AG511" s="18">
        <f>IF(AND(S511=1,Z511="Y"),IF(Settings!$B$6="Percentage",IF(AD511=0,0,AC511*AA511*(N511/AD511)),IF(Settings!$B$6="Points",IF(AF511=0,0,AC511*(N511*AB511)/AF511),IF(Settings!$B$6="Equally",IF(AE511=0,0,AC511*N511/AE511),0))),0)</f>
        <v>0</v>
      </c>
      <c r="AH511" s="18" t="str">
        <f t="shared" si="70"/>
        <v/>
      </c>
      <c r="AI511" s="15">
        <f>IF(S511=1,IF(COUNTIFS($R$2:R511,R511,$S$2:S511,1)=1,1,0),0)</f>
        <v>0</v>
      </c>
      <c r="AJ511" s="15">
        <f>SUM($AI$2:AI511)</f>
        <v>12</v>
      </c>
    </row>
    <row r="512" spans="18:36">
      <c r="R512" s="15" t="str">
        <f t="shared" si="71"/>
        <v/>
      </c>
      <c r="S512" s="15">
        <f t="shared" si="63"/>
        <v>0</v>
      </c>
      <c r="T512" s="16" t="str">
        <f>IF(S512=1, DATE(YEAR(Settings!$B$3), MONTH(D512), DAY(D512)), "")</f>
        <v/>
      </c>
      <c r="U512" s="15" t="str">
        <f>IF(S512=1,IFERROR(INDEX(Settings!$B$12:$B$41,MATCH($B512,Settings!$A$12:$A$41,0)),"N"),"")</f>
        <v/>
      </c>
      <c r="V512" s="15" t="str">
        <f>IF(S512=1,IFERROR(INDEX(Settings!$C$12:$C$41,MATCH($B512,Settings!$A$12:$A$41,0)),""),"")</f>
        <v/>
      </c>
      <c r="W512" s="17">
        <f>IF(S512=1,IFERROR(INDEX(Settings!$D$12:$D$41,MATCH($B512,Settings!$A$12:$A$41,0)),0),0)</f>
        <v>0</v>
      </c>
      <c r="X512" s="18">
        <f t="shared" si="64"/>
        <v>0</v>
      </c>
      <c r="Y512" s="18" t="str">
        <f t="shared" si="65"/>
        <v/>
      </c>
      <c r="Z512" s="15" t="str">
        <f>IF(S512=1,IFERROR(INDEX(Settings!$E$12:$E$41,MATCH($B512,Settings!$A$12:$A$41,0)),"N"),"")</f>
        <v/>
      </c>
      <c r="AA512" s="17">
        <f>IF(S512=1,IFERROR(INDEX(Settings!$F$12:$F$41,MATCH($B512,Settings!$A$12:$A$41,0)),0),0)</f>
        <v>0</v>
      </c>
      <c r="AB512" s="15">
        <f>IF(S512=1,IFERROR(INDEX(Settings!$G$12:$G$41,MATCH($B512,Settings!$A$12:$A$41,0)),0),0)</f>
        <v>0</v>
      </c>
      <c r="AC512" s="18" t="str">
        <f t="shared" si="66"/>
        <v/>
      </c>
      <c r="AD512" s="15" t="str">
        <f t="shared" si="67"/>
        <v/>
      </c>
      <c r="AE512" s="15" t="str">
        <f t="shared" si="68"/>
        <v/>
      </c>
      <c r="AF512" s="15" t="str">
        <f t="shared" si="69"/>
        <v/>
      </c>
      <c r="AG512" s="18">
        <f>IF(AND(S512=1,Z512="Y"),IF(Settings!$B$6="Percentage",IF(AD512=0,0,AC512*AA512*(N512/AD512)),IF(Settings!$B$6="Points",IF(AF512=0,0,AC512*(N512*AB512)/AF512),IF(Settings!$B$6="Equally",IF(AE512=0,0,AC512*N512/AE512),0))),0)</f>
        <v>0</v>
      </c>
      <c r="AH512" s="18" t="str">
        <f t="shared" si="70"/>
        <v/>
      </c>
      <c r="AI512" s="15">
        <f>IF(S512=1,IF(COUNTIFS($R$2:R512,R512,$S$2:S512,1)=1,1,0),0)</f>
        <v>0</v>
      </c>
      <c r="AJ512" s="15">
        <f>SUM($AI$2:AI512)</f>
        <v>12</v>
      </c>
    </row>
    <row r="513" spans="18:36">
      <c r="R513" s="15" t="str">
        <f t="shared" si="71"/>
        <v/>
      </c>
      <c r="S513" s="15">
        <f t="shared" si="63"/>
        <v>0</v>
      </c>
      <c r="T513" s="16" t="str">
        <f>IF(S513=1, DATE(YEAR(Settings!$B$3), MONTH(D513), DAY(D513)), "")</f>
        <v/>
      </c>
      <c r="U513" s="15" t="str">
        <f>IF(S513=1,IFERROR(INDEX(Settings!$B$12:$B$41,MATCH($B513,Settings!$A$12:$A$41,0)),"N"),"")</f>
        <v/>
      </c>
      <c r="V513" s="15" t="str">
        <f>IF(S513=1,IFERROR(INDEX(Settings!$C$12:$C$41,MATCH($B513,Settings!$A$12:$A$41,0)),""),"")</f>
        <v/>
      </c>
      <c r="W513" s="17">
        <f>IF(S513=1,IFERROR(INDEX(Settings!$D$12:$D$41,MATCH($B513,Settings!$A$12:$A$41,0)),0),0)</f>
        <v>0</v>
      </c>
      <c r="X513" s="18">
        <f t="shared" si="64"/>
        <v>0</v>
      </c>
      <c r="Y513" s="18" t="str">
        <f t="shared" si="65"/>
        <v/>
      </c>
      <c r="Z513" s="15" t="str">
        <f>IF(S513=1,IFERROR(INDEX(Settings!$E$12:$E$41,MATCH($B513,Settings!$A$12:$A$41,0)),"N"),"")</f>
        <v/>
      </c>
      <c r="AA513" s="17">
        <f>IF(S513=1,IFERROR(INDEX(Settings!$F$12:$F$41,MATCH($B513,Settings!$A$12:$A$41,0)),0),0)</f>
        <v>0</v>
      </c>
      <c r="AB513" s="15">
        <f>IF(S513=1,IFERROR(INDEX(Settings!$G$12:$G$41,MATCH($B513,Settings!$A$12:$A$41,0)),0),0)</f>
        <v>0</v>
      </c>
      <c r="AC513" s="18" t="str">
        <f t="shared" si="66"/>
        <v/>
      </c>
      <c r="AD513" s="15" t="str">
        <f t="shared" si="67"/>
        <v/>
      </c>
      <c r="AE513" s="15" t="str">
        <f t="shared" si="68"/>
        <v/>
      </c>
      <c r="AF513" s="15" t="str">
        <f t="shared" si="69"/>
        <v/>
      </c>
      <c r="AG513" s="18">
        <f>IF(AND(S513=1,Z513="Y"),IF(Settings!$B$6="Percentage",IF(AD513=0,0,AC513*AA513*(N513/AD513)),IF(Settings!$B$6="Points",IF(AF513=0,0,AC513*(N513*AB513)/AF513),IF(Settings!$B$6="Equally",IF(AE513=0,0,AC513*N513/AE513),0))),0)</f>
        <v>0</v>
      </c>
      <c r="AH513" s="18" t="str">
        <f t="shared" si="70"/>
        <v/>
      </c>
      <c r="AI513" s="15">
        <f>IF(S513=1,IF(COUNTIFS($R$2:R513,R513,$S$2:S513,1)=1,1,0),0)</f>
        <v>0</v>
      </c>
      <c r="AJ513" s="15">
        <f>SUM($AI$2:AI513)</f>
        <v>12</v>
      </c>
    </row>
    <row r="514" spans="18:36">
      <c r="R514" s="15" t="str">
        <f t="shared" si="71"/>
        <v/>
      </c>
      <c r="S514" s="15">
        <f t="shared" ref="S514:S577" si="72">IF(AND(D514&lt;&gt;"",A514&lt;&gt;"Total"),1,0)</f>
        <v>0</v>
      </c>
      <c r="T514" s="16" t="str">
        <f>IF(S514=1, DATE(YEAR(Settings!$B$3), MONTH(D514), DAY(D514)), "")</f>
        <v/>
      </c>
      <c r="U514" s="15" t="str">
        <f>IF(S514=1,IFERROR(INDEX(Settings!$B$12:$B$41,MATCH($B514,Settings!$A$12:$A$41,0)),"N"),"")</f>
        <v/>
      </c>
      <c r="V514" s="15" t="str">
        <f>IF(S514=1,IFERROR(INDEX(Settings!$C$12:$C$41,MATCH($B514,Settings!$A$12:$A$41,0)),""),"")</f>
        <v/>
      </c>
      <c r="W514" s="17">
        <f>IF(S514=1,IFERROR(INDEX(Settings!$D$12:$D$41,MATCH($B514,Settings!$A$12:$A$41,0)),0),0)</f>
        <v>0</v>
      </c>
      <c r="X514" s="18">
        <f t="shared" ref="X514:X577" si="73">IF(AND(S514=1,U514="Y"),IF(V514="% of Sales",O514*W514,IF(V514="% of Tips",P514*W514,0)),0)</f>
        <v>0</v>
      </c>
      <c r="Y514" s="18" t="str">
        <f t="shared" ref="Y514:Y577" si="74">IF(S514=1,P514-X514,"")</f>
        <v/>
      </c>
      <c r="Z514" s="15" t="str">
        <f>IF(S514=1,IFERROR(INDEX(Settings!$E$12:$E$41,MATCH($B514,Settings!$A$12:$A$41,0)),"N"),"")</f>
        <v/>
      </c>
      <c r="AA514" s="17">
        <f>IF(S514=1,IFERROR(INDEX(Settings!$F$12:$F$41,MATCH($B514,Settings!$A$12:$A$41,0)),0),0)</f>
        <v>0</v>
      </c>
      <c r="AB514" s="15">
        <f>IF(S514=1,IFERROR(INDEX(Settings!$G$12:$G$41,MATCH($B514,Settings!$A$12:$A$41,0)),0),0)</f>
        <v>0</v>
      </c>
      <c r="AC514" s="18" t="str">
        <f t="shared" ref="AC514:AC577" si="75">IF(S514=1,SUMIFS($X$2:$X$601,$S$2:$S$601,1,$T$2:$T$601,T514),"")</f>
        <v/>
      </c>
      <c r="AD514" s="15" t="str">
        <f t="shared" ref="AD514:AD577" si="76">IF(S514=1,SUMIFS($N$2:$N$601,$S$2:$S$601,1,$T$2:$T$601,T514,$B$2:$B$601,B514),"")</f>
        <v/>
      </c>
      <c r="AE514" s="15" t="str">
        <f t="shared" ref="AE514:AE577" si="77">IF(S514=1,SUMIFS($N$2:$N$601,$S$2:$S$601,1,$T$2:$T$601,T514,$Z$2:$Z$601,"Y"),"")</f>
        <v/>
      </c>
      <c r="AF514" s="15" t="str">
        <f t="shared" ref="AF514:AF577" si="78">IF(S514=1,SUMPRODUCT(($S$2:$S$601=1)*($T$2:$T$601=T514)*($Z$2:$Z$601="Y")*($N$2:$N$601)*($AB$2:$AB$601)),"")</f>
        <v/>
      </c>
      <c r="AG514" s="18">
        <f>IF(AND(S514=1,Z514="Y"),IF(Settings!$B$6="Percentage",IF(AD514=0,0,AC514*AA514*(N514/AD514)),IF(Settings!$B$6="Points",IF(AF514=0,0,AC514*(N514*AB514)/AF514),IF(Settings!$B$6="Equally",IF(AE514=0,0,AC514*N514/AE514),0))),0)</f>
        <v>0</v>
      </c>
      <c r="AH514" s="18" t="str">
        <f t="shared" ref="AH514:AH577" si="79">IF(S514=1,Y514+AG514,"")</f>
        <v/>
      </c>
      <c r="AI514" s="15">
        <f>IF(S514=1,IF(COUNTIFS($R$2:R514,R514,$S$2:S514,1)=1,1,0),0)</f>
        <v>0</v>
      </c>
      <c r="AJ514" s="15">
        <f>SUM($AI$2:AI514)</f>
        <v>12</v>
      </c>
    </row>
    <row r="515" spans="18:36">
      <c r="R515" s="15" t="str">
        <f t="shared" ref="R515:R578" si="80">IF(A515&lt;&gt;"",IF(A515="Total","",A515),IF(D515&lt;&gt;"",R514,""))</f>
        <v/>
      </c>
      <c r="S515" s="15">
        <f t="shared" si="72"/>
        <v>0</v>
      </c>
      <c r="T515" s="16" t="str">
        <f>IF(S515=1, DATE(YEAR(Settings!$B$3), MONTH(D515), DAY(D515)), "")</f>
        <v/>
      </c>
      <c r="U515" s="15" t="str">
        <f>IF(S515=1,IFERROR(INDEX(Settings!$B$12:$B$41,MATCH($B515,Settings!$A$12:$A$41,0)),"N"),"")</f>
        <v/>
      </c>
      <c r="V515" s="15" t="str">
        <f>IF(S515=1,IFERROR(INDEX(Settings!$C$12:$C$41,MATCH($B515,Settings!$A$12:$A$41,0)),""),"")</f>
        <v/>
      </c>
      <c r="W515" s="17">
        <f>IF(S515=1,IFERROR(INDEX(Settings!$D$12:$D$41,MATCH($B515,Settings!$A$12:$A$41,0)),0),0)</f>
        <v>0</v>
      </c>
      <c r="X515" s="18">
        <f t="shared" si="73"/>
        <v>0</v>
      </c>
      <c r="Y515" s="18" t="str">
        <f t="shared" si="74"/>
        <v/>
      </c>
      <c r="Z515" s="15" t="str">
        <f>IF(S515=1,IFERROR(INDEX(Settings!$E$12:$E$41,MATCH($B515,Settings!$A$12:$A$41,0)),"N"),"")</f>
        <v/>
      </c>
      <c r="AA515" s="17">
        <f>IF(S515=1,IFERROR(INDEX(Settings!$F$12:$F$41,MATCH($B515,Settings!$A$12:$A$41,0)),0),0)</f>
        <v>0</v>
      </c>
      <c r="AB515" s="15">
        <f>IF(S515=1,IFERROR(INDEX(Settings!$G$12:$G$41,MATCH($B515,Settings!$A$12:$A$41,0)),0),0)</f>
        <v>0</v>
      </c>
      <c r="AC515" s="18" t="str">
        <f t="shared" si="75"/>
        <v/>
      </c>
      <c r="AD515" s="15" t="str">
        <f t="shared" si="76"/>
        <v/>
      </c>
      <c r="AE515" s="15" t="str">
        <f t="shared" si="77"/>
        <v/>
      </c>
      <c r="AF515" s="15" t="str">
        <f t="shared" si="78"/>
        <v/>
      </c>
      <c r="AG515" s="18">
        <f>IF(AND(S515=1,Z515="Y"),IF(Settings!$B$6="Percentage",IF(AD515=0,0,AC515*AA515*(N515/AD515)),IF(Settings!$B$6="Points",IF(AF515=0,0,AC515*(N515*AB515)/AF515),IF(Settings!$B$6="Equally",IF(AE515=0,0,AC515*N515/AE515),0))),0)</f>
        <v>0</v>
      </c>
      <c r="AH515" s="18" t="str">
        <f t="shared" si="79"/>
        <v/>
      </c>
      <c r="AI515" s="15">
        <f>IF(S515=1,IF(COUNTIFS($R$2:R515,R515,$S$2:S515,1)=1,1,0),0)</f>
        <v>0</v>
      </c>
      <c r="AJ515" s="15">
        <f>SUM($AI$2:AI515)</f>
        <v>12</v>
      </c>
    </row>
    <row r="516" spans="18:36">
      <c r="R516" s="15" t="str">
        <f t="shared" si="80"/>
        <v/>
      </c>
      <c r="S516" s="15">
        <f t="shared" si="72"/>
        <v>0</v>
      </c>
      <c r="T516" s="16" t="str">
        <f>IF(S516=1, DATE(YEAR(Settings!$B$3), MONTH(D516), DAY(D516)), "")</f>
        <v/>
      </c>
      <c r="U516" s="15" t="str">
        <f>IF(S516=1,IFERROR(INDEX(Settings!$B$12:$B$41,MATCH($B516,Settings!$A$12:$A$41,0)),"N"),"")</f>
        <v/>
      </c>
      <c r="V516" s="15" t="str">
        <f>IF(S516=1,IFERROR(INDEX(Settings!$C$12:$C$41,MATCH($B516,Settings!$A$12:$A$41,0)),""),"")</f>
        <v/>
      </c>
      <c r="W516" s="17">
        <f>IF(S516=1,IFERROR(INDEX(Settings!$D$12:$D$41,MATCH($B516,Settings!$A$12:$A$41,0)),0),0)</f>
        <v>0</v>
      </c>
      <c r="X516" s="18">
        <f t="shared" si="73"/>
        <v>0</v>
      </c>
      <c r="Y516" s="18" t="str">
        <f t="shared" si="74"/>
        <v/>
      </c>
      <c r="Z516" s="15" t="str">
        <f>IF(S516=1,IFERROR(INDEX(Settings!$E$12:$E$41,MATCH($B516,Settings!$A$12:$A$41,0)),"N"),"")</f>
        <v/>
      </c>
      <c r="AA516" s="17">
        <f>IF(S516=1,IFERROR(INDEX(Settings!$F$12:$F$41,MATCH($B516,Settings!$A$12:$A$41,0)),0),0)</f>
        <v>0</v>
      </c>
      <c r="AB516" s="15">
        <f>IF(S516=1,IFERROR(INDEX(Settings!$G$12:$G$41,MATCH($B516,Settings!$A$12:$A$41,0)),0),0)</f>
        <v>0</v>
      </c>
      <c r="AC516" s="18" t="str">
        <f t="shared" si="75"/>
        <v/>
      </c>
      <c r="AD516" s="15" t="str">
        <f t="shared" si="76"/>
        <v/>
      </c>
      <c r="AE516" s="15" t="str">
        <f t="shared" si="77"/>
        <v/>
      </c>
      <c r="AF516" s="15" t="str">
        <f t="shared" si="78"/>
        <v/>
      </c>
      <c r="AG516" s="18">
        <f>IF(AND(S516=1,Z516="Y"),IF(Settings!$B$6="Percentage",IF(AD516=0,0,AC516*AA516*(N516/AD516)),IF(Settings!$B$6="Points",IF(AF516=0,0,AC516*(N516*AB516)/AF516),IF(Settings!$B$6="Equally",IF(AE516=0,0,AC516*N516/AE516),0))),0)</f>
        <v>0</v>
      </c>
      <c r="AH516" s="18" t="str">
        <f t="shared" si="79"/>
        <v/>
      </c>
      <c r="AI516" s="15">
        <f>IF(S516=1,IF(COUNTIFS($R$2:R516,R516,$S$2:S516,1)=1,1,0),0)</f>
        <v>0</v>
      </c>
      <c r="AJ516" s="15">
        <f>SUM($AI$2:AI516)</f>
        <v>12</v>
      </c>
    </row>
    <row r="517" spans="18:36">
      <c r="R517" s="15" t="str">
        <f t="shared" si="80"/>
        <v/>
      </c>
      <c r="S517" s="15">
        <f t="shared" si="72"/>
        <v>0</v>
      </c>
      <c r="T517" s="16" t="str">
        <f>IF(S517=1, DATE(YEAR(Settings!$B$3), MONTH(D517), DAY(D517)), "")</f>
        <v/>
      </c>
      <c r="U517" s="15" t="str">
        <f>IF(S517=1,IFERROR(INDEX(Settings!$B$12:$B$41,MATCH($B517,Settings!$A$12:$A$41,0)),"N"),"")</f>
        <v/>
      </c>
      <c r="V517" s="15" t="str">
        <f>IF(S517=1,IFERROR(INDEX(Settings!$C$12:$C$41,MATCH($B517,Settings!$A$12:$A$41,0)),""),"")</f>
        <v/>
      </c>
      <c r="W517" s="17">
        <f>IF(S517=1,IFERROR(INDEX(Settings!$D$12:$D$41,MATCH($B517,Settings!$A$12:$A$41,0)),0),0)</f>
        <v>0</v>
      </c>
      <c r="X517" s="18">
        <f t="shared" si="73"/>
        <v>0</v>
      </c>
      <c r="Y517" s="18" t="str">
        <f t="shared" si="74"/>
        <v/>
      </c>
      <c r="Z517" s="15" t="str">
        <f>IF(S517=1,IFERROR(INDEX(Settings!$E$12:$E$41,MATCH($B517,Settings!$A$12:$A$41,0)),"N"),"")</f>
        <v/>
      </c>
      <c r="AA517" s="17">
        <f>IF(S517=1,IFERROR(INDEX(Settings!$F$12:$F$41,MATCH($B517,Settings!$A$12:$A$41,0)),0),0)</f>
        <v>0</v>
      </c>
      <c r="AB517" s="15">
        <f>IF(S517=1,IFERROR(INDEX(Settings!$G$12:$G$41,MATCH($B517,Settings!$A$12:$A$41,0)),0),0)</f>
        <v>0</v>
      </c>
      <c r="AC517" s="18" t="str">
        <f t="shared" si="75"/>
        <v/>
      </c>
      <c r="AD517" s="15" t="str">
        <f t="shared" si="76"/>
        <v/>
      </c>
      <c r="AE517" s="15" t="str">
        <f t="shared" si="77"/>
        <v/>
      </c>
      <c r="AF517" s="15" t="str">
        <f t="shared" si="78"/>
        <v/>
      </c>
      <c r="AG517" s="18">
        <f>IF(AND(S517=1,Z517="Y"),IF(Settings!$B$6="Percentage",IF(AD517=0,0,AC517*AA517*(N517/AD517)),IF(Settings!$B$6="Points",IF(AF517=0,0,AC517*(N517*AB517)/AF517),IF(Settings!$B$6="Equally",IF(AE517=0,0,AC517*N517/AE517),0))),0)</f>
        <v>0</v>
      </c>
      <c r="AH517" s="18" t="str">
        <f t="shared" si="79"/>
        <v/>
      </c>
      <c r="AI517" s="15">
        <f>IF(S517=1,IF(COUNTIFS($R$2:R517,R517,$S$2:S517,1)=1,1,0),0)</f>
        <v>0</v>
      </c>
      <c r="AJ517" s="15">
        <f>SUM($AI$2:AI517)</f>
        <v>12</v>
      </c>
    </row>
    <row r="518" spans="18:36">
      <c r="R518" s="15" t="str">
        <f t="shared" si="80"/>
        <v/>
      </c>
      <c r="S518" s="15">
        <f t="shared" si="72"/>
        <v>0</v>
      </c>
      <c r="T518" s="16" t="str">
        <f>IF(S518=1, DATE(YEAR(Settings!$B$3), MONTH(D518), DAY(D518)), "")</f>
        <v/>
      </c>
      <c r="U518" s="15" t="str">
        <f>IF(S518=1,IFERROR(INDEX(Settings!$B$12:$B$41,MATCH($B518,Settings!$A$12:$A$41,0)),"N"),"")</f>
        <v/>
      </c>
      <c r="V518" s="15" t="str">
        <f>IF(S518=1,IFERROR(INDEX(Settings!$C$12:$C$41,MATCH($B518,Settings!$A$12:$A$41,0)),""),"")</f>
        <v/>
      </c>
      <c r="W518" s="17">
        <f>IF(S518=1,IFERROR(INDEX(Settings!$D$12:$D$41,MATCH($B518,Settings!$A$12:$A$41,0)),0),0)</f>
        <v>0</v>
      </c>
      <c r="X518" s="18">
        <f t="shared" si="73"/>
        <v>0</v>
      </c>
      <c r="Y518" s="18" t="str">
        <f t="shared" si="74"/>
        <v/>
      </c>
      <c r="Z518" s="15" t="str">
        <f>IF(S518=1,IFERROR(INDEX(Settings!$E$12:$E$41,MATCH($B518,Settings!$A$12:$A$41,0)),"N"),"")</f>
        <v/>
      </c>
      <c r="AA518" s="17">
        <f>IF(S518=1,IFERROR(INDEX(Settings!$F$12:$F$41,MATCH($B518,Settings!$A$12:$A$41,0)),0),0)</f>
        <v>0</v>
      </c>
      <c r="AB518" s="15">
        <f>IF(S518=1,IFERROR(INDEX(Settings!$G$12:$G$41,MATCH($B518,Settings!$A$12:$A$41,0)),0),0)</f>
        <v>0</v>
      </c>
      <c r="AC518" s="18" t="str">
        <f t="shared" si="75"/>
        <v/>
      </c>
      <c r="AD518" s="15" t="str">
        <f t="shared" si="76"/>
        <v/>
      </c>
      <c r="AE518" s="15" t="str">
        <f t="shared" si="77"/>
        <v/>
      </c>
      <c r="AF518" s="15" t="str">
        <f t="shared" si="78"/>
        <v/>
      </c>
      <c r="AG518" s="18">
        <f>IF(AND(S518=1,Z518="Y"),IF(Settings!$B$6="Percentage",IF(AD518=0,0,AC518*AA518*(N518/AD518)),IF(Settings!$B$6="Points",IF(AF518=0,0,AC518*(N518*AB518)/AF518),IF(Settings!$B$6="Equally",IF(AE518=0,0,AC518*N518/AE518),0))),0)</f>
        <v>0</v>
      </c>
      <c r="AH518" s="18" t="str">
        <f t="shared" si="79"/>
        <v/>
      </c>
      <c r="AI518" s="15">
        <f>IF(S518=1,IF(COUNTIFS($R$2:R518,R518,$S$2:S518,1)=1,1,0),0)</f>
        <v>0</v>
      </c>
      <c r="AJ518" s="15">
        <f>SUM($AI$2:AI518)</f>
        <v>12</v>
      </c>
    </row>
    <row r="519" spans="18:36">
      <c r="R519" s="15" t="str">
        <f t="shared" si="80"/>
        <v/>
      </c>
      <c r="S519" s="15">
        <f t="shared" si="72"/>
        <v>0</v>
      </c>
      <c r="T519" s="16" t="str">
        <f>IF(S519=1, DATE(YEAR(Settings!$B$3), MONTH(D519), DAY(D519)), "")</f>
        <v/>
      </c>
      <c r="U519" s="15" t="str">
        <f>IF(S519=1,IFERROR(INDEX(Settings!$B$12:$B$41,MATCH($B519,Settings!$A$12:$A$41,0)),"N"),"")</f>
        <v/>
      </c>
      <c r="V519" s="15" t="str">
        <f>IF(S519=1,IFERROR(INDEX(Settings!$C$12:$C$41,MATCH($B519,Settings!$A$12:$A$41,0)),""),"")</f>
        <v/>
      </c>
      <c r="W519" s="17">
        <f>IF(S519=1,IFERROR(INDEX(Settings!$D$12:$D$41,MATCH($B519,Settings!$A$12:$A$41,0)),0),0)</f>
        <v>0</v>
      </c>
      <c r="X519" s="18">
        <f t="shared" si="73"/>
        <v>0</v>
      </c>
      <c r="Y519" s="18" t="str">
        <f t="shared" si="74"/>
        <v/>
      </c>
      <c r="Z519" s="15" t="str">
        <f>IF(S519=1,IFERROR(INDEX(Settings!$E$12:$E$41,MATCH($B519,Settings!$A$12:$A$41,0)),"N"),"")</f>
        <v/>
      </c>
      <c r="AA519" s="17">
        <f>IF(S519=1,IFERROR(INDEX(Settings!$F$12:$F$41,MATCH($B519,Settings!$A$12:$A$41,0)),0),0)</f>
        <v>0</v>
      </c>
      <c r="AB519" s="15">
        <f>IF(S519=1,IFERROR(INDEX(Settings!$G$12:$G$41,MATCH($B519,Settings!$A$12:$A$41,0)),0),0)</f>
        <v>0</v>
      </c>
      <c r="AC519" s="18" t="str">
        <f t="shared" si="75"/>
        <v/>
      </c>
      <c r="AD519" s="15" t="str">
        <f t="shared" si="76"/>
        <v/>
      </c>
      <c r="AE519" s="15" t="str">
        <f t="shared" si="77"/>
        <v/>
      </c>
      <c r="AF519" s="15" t="str">
        <f t="shared" si="78"/>
        <v/>
      </c>
      <c r="AG519" s="18">
        <f>IF(AND(S519=1,Z519="Y"),IF(Settings!$B$6="Percentage",IF(AD519=0,0,AC519*AA519*(N519/AD519)),IF(Settings!$B$6="Points",IF(AF519=0,0,AC519*(N519*AB519)/AF519),IF(Settings!$B$6="Equally",IF(AE519=0,0,AC519*N519/AE519),0))),0)</f>
        <v>0</v>
      </c>
      <c r="AH519" s="18" t="str">
        <f t="shared" si="79"/>
        <v/>
      </c>
      <c r="AI519" s="15">
        <f>IF(S519=1,IF(COUNTIFS($R$2:R519,R519,$S$2:S519,1)=1,1,0),0)</f>
        <v>0</v>
      </c>
      <c r="AJ519" s="15">
        <f>SUM($AI$2:AI519)</f>
        <v>12</v>
      </c>
    </row>
    <row r="520" spans="18:36">
      <c r="R520" s="15" t="str">
        <f t="shared" si="80"/>
        <v/>
      </c>
      <c r="S520" s="15">
        <f t="shared" si="72"/>
        <v>0</v>
      </c>
      <c r="T520" s="16" t="str">
        <f>IF(S520=1, DATE(YEAR(Settings!$B$3), MONTH(D520), DAY(D520)), "")</f>
        <v/>
      </c>
      <c r="U520" s="15" t="str">
        <f>IF(S520=1,IFERROR(INDEX(Settings!$B$12:$B$41,MATCH($B520,Settings!$A$12:$A$41,0)),"N"),"")</f>
        <v/>
      </c>
      <c r="V520" s="15" t="str">
        <f>IF(S520=1,IFERROR(INDEX(Settings!$C$12:$C$41,MATCH($B520,Settings!$A$12:$A$41,0)),""),"")</f>
        <v/>
      </c>
      <c r="W520" s="17">
        <f>IF(S520=1,IFERROR(INDEX(Settings!$D$12:$D$41,MATCH($B520,Settings!$A$12:$A$41,0)),0),0)</f>
        <v>0</v>
      </c>
      <c r="X520" s="18">
        <f t="shared" si="73"/>
        <v>0</v>
      </c>
      <c r="Y520" s="18" t="str">
        <f t="shared" si="74"/>
        <v/>
      </c>
      <c r="Z520" s="15" t="str">
        <f>IF(S520=1,IFERROR(INDEX(Settings!$E$12:$E$41,MATCH($B520,Settings!$A$12:$A$41,0)),"N"),"")</f>
        <v/>
      </c>
      <c r="AA520" s="17">
        <f>IF(S520=1,IFERROR(INDEX(Settings!$F$12:$F$41,MATCH($B520,Settings!$A$12:$A$41,0)),0),0)</f>
        <v>0</v>
      </c>
      <c r="AB520" s="15">
        <f>IF(S520=1,IFERROR(INDEX(Settings!$G$12:$G$41,MATCH($B520,Settings!$A$12:$A$41,0)),0),0)</f>
        <v>0</v>
      </c>
      <c r="AC520" s="18" t="str">
        <f t="shared" si="75"/>
        <v/>
      </c>
      <c r="AD520" s="15" t="str">
        <f t="shared" si="76"/>
        <v/>
      </c>
      <c r="AE520" s="15" t="str">
        <f t="shared" si="77"/>
        <v/>
      </c>
      <c r="AF520" s="15" t="str">
        <f t="shared" si="78"/>
        <v/>
      </c>
      <c r="AG520" s="18">
        <f>IF(AND(S520=1,Z520="Y"),IF(Settings!$B$6="Percentage",IF(AD520=0,0,AC520*AA520*(N520/AD520)),IF(Settings!$B$6="Points",IF(AF520=0,0,AC520*(N520*AB520)/AF520),IF(Settings!$B$6="Equally",IF(AE520=0,0,AC520*N520/AE520),0))),0)</f>
        <v>0</v>
      </c>
      <c r="AH520" s="18" t="str">
        <f t="shared" si="79"/>
        <v/>
      </c>
      <c r="AI520" s="15">
        <f>IF(S520=1,IF(COUNTIFS($R$2:R520,R520,$S$2:S520,1)=1,1,0),0)</f>
        <v>0</v>
      </c>
      <c r="AJ520" s="15">
        <f>SUM($AI$2:AI520)</f>
        <v>12</v>
      </c>
    </row>
    <row r="521" spans="18:36">
      <c r="R521" s="15" t="str">
        <f t="shared" si="80"/>
        <v/>
      </c>
      <c r="S521" s="15">
        <f t="shared" si="72"/>
        <v>0</v>
      </c>
      <c r="T521" s="16" t="str">
        <f>IF(S521=1, DATE(YEAR(Settings!$B$3), MONTH(D521), DAY(D521)), "")</f>
        <v/>
      </c>
      <c r="U521" s="15" t="str">
        <f>IF(S521=1,IFERROR(INDEX(Settings!$B$12:$B$41,MATCH($B521,Settings!$A$12:$A$41,0)),"N"),"")</f>
        <v/>
      </c>
      <c r="V521" s="15" t="str">
        <f>IF(S521=1,IFERROR(INDEX(Settings!$C$12:$C$41,MATCH($B521,Settings!$A$12:$A$41,0)),""),"")</f>
        <v/>
      </c>
      <c r="W521" s="17">
        <f>IF(S521=1,IFERROR(INDEX(Settings!$D$12:$D$41,MATCH($B521,Settings!$A$12:$A$41,0)),0),0)</f>
        <v>0</v>
      </c>
      <c r="X521" s="18">
        <f t="shared" si="73"/>
        <v>0</v>
      </c>
      <c r="Y521" s="18" t="str">
        <f t="shared" si="74"/>
        <v/>
      </c>
      <c r="Z521" s="15" t="str">
        <f>IF(S521=1,IFERROR(INDEX(Settings!$E$12:$E$41,MATCH($B521,Settings!$A$12:$A$41,0)),"N"),"")</f>
        <v/>
      </c>
      <c r="AA521" s="17">
        <f>IF(S521=1,IFERROR(INDEX(Settings!$F$12:$F$41,MATCH($B521,Settings!$A$12:$A$41,0)),0),0)</f>
        <v>0</v>
      </c>
      <c r="AB521" s="15">
        <f>IF(S521=1,IFERROR(INDEX(Settings!$G$12:$G$41,MATCH($B521,Settings!$A$12:$A$41,0)),0),0)</f>
        <v>0</v>
      </c>
      <c r="AC521" s="18" t="str">
        <f t="shared" si="75"/>
        <v/>
      </c>
      <c r="AD521" s="15" t="str">
        <f t="shared" si="76"/>
        <v/>
      </c>
      <c r="AE521" s="15" t="str">
        <f t="shared" si="77"/>
        <v/>
      </c>
      <c r="AF521" s="15" t="str">
        <f t="shared" si="78"/>
        <v/>
      </c>
      <c r="AG521" s="18">
        <f>IF(AND(S521=1,Z521="Y"),IF(Settings!$B$6="Percentage",IF(AD521=0,0,AC521*AA521*(N521/AD521)),IF(Settings!$B$6="Points",IF(AF521=0,0,AC521*(N521*AB521)/AF521),IF(Settings!$B$6="Equally",IF(AE521=0,0,AC521*N521/AE521),0))),0)</f>
        <v>0</v>
      </c>
      <c r="AH521" s="18" t="str">
        <f t="shared" si="79"/>
        <v/>
      </c>
      <c r="AI521" s="15">
        <f>IF(S521=1,IF(COUNTIFS($R$2:R521,R521,$S$2:S521,1)=1,1,0),0)</f>
        <v>0</v>
      </c>
      <c r="AJ521" s="15">
        <f>SUM($AI$2:AI521)</f>
        <v>12</v>
      </c>
    </row>
    <row r="522" spans="18:36">
      <c r="R522" s="15" t="str">
        <f t="shared" si="80"/>
        <v/>
      </c>
      <c r="S522" s="15">
        <f t="shared" si="72"/>
        <v>0</v>
      </c>
      <c r="T522" s="16" t="str">
        <f>IF(S522=1, DATE(YEAR(Settings!$B$3), MONTH(D522), DAY(D522)), "")</f>
        <v/>
      </c>
      <c r="U522" s="15" t="str">
        <f>IF(S522=1,IFERROR(INDEX(Settings!$B$12:$B$41,MATCH($B522,Settings!$A$12:$A$41,0)),"N"),"")</f>
        <v/>
      </c>
      <c r="V522" s="15" t="str">
        <f>IF(S522=1,IFERROR(INDEX(Settings!$C$12:$C$41,MATCH($B522,Settings!$A$12:$A$41,0)),""),"")</f>
        <v/>
      </c>
      <c r="W522" s="17">
        <f>IF(S522=1,IFERROR(INDEX(Settings!$D$12:$D$41,MATCH($B522,Settings!$A$12:$A$41,0)),0),0)</f>
        <v>0</v>
      </c>
      <c r="X522" s="18">
        <f t="shared" si="73"/>
        <v>0</v>
      </c>
      <c r="Y522" s="18" t="str">
        <f t="shared" si="74"/>
        <v/>
      </c>
      <c r="Z522" s="15" t="str">
        <f>IF(S522=1,IFERROR(INDEX(Settings!$E$12:$E$41,MATCH($B522,Settings!$A$12:$A$41,0)),"N"),"")</f>
        <v/>
      </c>
      <c r="AA522" s="17">
        <f>IF(S522=1,IFERROR(INDEX(Settings!$F$12:$F$41,MATCH($B522,Settings!$A$12:$A$41,0)),0),0)</f>
        <v>0</v>
      </c>
      <c r="AB522" s="15">
        <f>IF(S522=1,IFERROR(INDEX(Settings!$G$12:$G$41,MATCH($B522,Settings!$A$12:$A$41,0)),0),0)</f>
        <v>0</v>
      </c>
      <c r="AC522" s="18" t="str">
        <f t="shared" si="75"/>
        <v/>
      </c>
      <c r="AD522" s="15" t="str">
        <f t="shared" si="76"/>
        <v/>
      </c>
      <c r="AE522" s="15" t="str">
        <f t="shared" si="77"/>
        <v/>
      </c>
      <c r="AF522" s="15" t="str">
        <f t="shared" si="78"/>
        <v/>
      </c>
      <c r="AG522" s="18">
        <f>IF(AND(S522=1,Z522="Y"),IF(Settings!$B$6="Percentage",IF(AD522=0,0,AC522*AA522*(N522/AD522)),IF(Settings!$B$6="Points",IF(AF522=0,0,AC522*(N522*AB522)/AF522),IF(Settings!$B$6="Equally",IF(AE522=0,0,AC522*N522/AE522),0))),0)</f>
        <v>0</v>
      </c>
      <c r="AH522" s="18" t="str">
        <f t="shared" si="79"/>
        <v/>
      </c>
      <c r="AI522" s="15">
        <f>IF(S522=1,IF(COUNTIFS($R$2:R522,R522,$S$2:S522,1)=1,1,0),0)</f>
        <v>0</v>
      </c>
      <c r="AJ522" s="15">
        <f>SUM($AI$2:AI522)</f>
        <v>12</v>
      </c>
    </row>
    <row r="523" spans="18:36">
      <c r="R523" s="15" t="str">
        <f t="shared" si="80"/>
        <v/>
      </c>
      <c r="S523" s="15">
        <f t="shared" si="72"/>
        <v>0</v>
      </c>
      <c r="T523" s="16" t="str">
        <f>IF(S523=1, DATE(YEAR(Settings!$B$3), MONTH(D523), DAY(D523)), "")</f>
        <v/>
      </c>
      <c r="U523" s="15" t="str">
        <f>IF(S523=1,IFERROR(INDEX(Settings!$B$12:$B$41,MATCH($B523,Settings!$A$12:$A$41,0)),"N"),"")</f>
        <v/>
      </c>
      <c r="V523" s="15" t="str">
        <f>IF(S523=1,IFERROR(INDEX(Settings!$C$12:$C$41,MATCH($B523,Settings!$A$12:$A$41,0)),""),"")</f>
        <v/>
      </c>
      <c r="W523" s="17">
        <f>IF(S523=1,IFERROR(INDEX(Settings!$D$12:$D$41,MATCH($B523,Settings!$A$12:$A$41,0)),0),0)</f>
        <v>0</v>
      </c>
      <c r="X523" s="18">
        <f t="shared" si="73"/>
        <v>0</v>
      </c>
      <c r="Y523" s="18" t="str">
        <f t="shared" si="74"/>
        <v/>
      </c>
      <c r="Z523" s="15" t="str">
        <f>IF(S523=1,IFERROR(INDEX(Settings!$E$12:$E$41,MATCH($B523,Settings!$A$12:$A$41,0)),"N"),"")</f>
        <v/>
      </c>
      <c r="AA523" s="17">
        <f>IF(S523=1,IFERROR(INDEX(Settings!$F$12:$F$41,MATCH($B523,Settings!$A$12:$A$41,0)),0),0)</f>
        <v>0</v>
      </c>
      <c r="AB523" s="15">
        <f>IF(S523=1,IFERROR(INDEX(Settings!$G$12:$G$41,MATCH($B523,Settings!$A$12:$A$41,0)),0),0)</f>
        <v>0</v>
      </c>
      <c r="AC523" s="18" t="str">
        <f t="shared" si="75"/>
        <v/>
      </c>
      <c r="AD523" s="15" t="str">
        <f t="shared" si="76"/>
        <v/>
      </c>
      <c r="AE523" s="15" t="str">
        <f t="shared" si="77"/>
        <v/>
      </c>
      <c r="AF523" s="15" t="str">
        <f t="shared" si="78"/>
        <v/>
      </c>
      <c r="AG523" s="18">
        <f>IF(AND(S523=1,Z523="Y"),IF(Settings!$B$6="Percentage",IF(AD523=0,0,AC523*AA523*(N523/AD523)),IF(Settings!$B$6="Points",IF(AF523=0,0,AC523*(N523*AB523)/AF523),IF(Settings!$B$6="Equally",IF(AE523=0,0,AC523*N523/AE523),0))),0)</f>
        <v>0</v>
      </c>
      <c r="AH523" s="18" t="str">
        <f t="shared" si="79"/>
        <v/>
      </c>
      <c r="AI523" s="15">
        <f>IF(S523=1,IF(COUNTIFS($R$2:R523,R523,$S$2:S523,1)=1,1,0),0)</f>
        <v>0</v>
      </c>
      <c r="AJ523" s="15">
        <f>SUM($AI$2:AI523)</f>
        <v>12</v>
      </c>
    </row>
    <row r="524" spans="18:36">
      <c r="R524" s="15" t="str">
        <f t="shared" si="80"/>
        <v/>
      </c>
      <c r="S524" s="15">
        <f t="shared" si="72"/>
        <v>0</v>
      </c>
      <c r="T524" s="16" t="str">
        <f>IF(S524=1, DATE(YEAR(Settings!$B$3), MONTH(D524), DAY(D524)), "")</f>
        <v/>
      </c>
      <c r="U524" s="15" t="str">
        <f>IF(S524=1,IFERROR(INDEX(Settings!$B$12:$B$41,MATCH($B524,Settings!$A$12:$A$41,0)),"N"),"")</f>
        <v/>
      </c>
      <c r="V524" s="15" t="str">
        <f>IF(S524=1,IFERROR(INDEX(Settings!$C$12:$C$41,MATCH($B524,Settings!$A$12:$A$41,0)),""),"")</f>
        <v/>
      </c>
      <c r="W524" s="17">
        <f>IF(S524=1,IFERROR(INDEX(Settings!$D$12:$D$41,MATCH($B524,Settings!$A$12:$A$41,0)),0),0)</f>
        <v>0</v>
      </c>
      <c r="X524" s="18">
        <f t="shared" si="73"/>
        <v>0</v>
      </c>
      <c r="Y524" s="18" t="str">
        <f t="shared" si="74"/>
        <v/>
      </c>
      <c r="Z524" s="15" t="str">
        <f>IF(S524=1,IFERROR(INDEX(Settings!$E$12:$E$41,MATCH($B524,Settings!$A$12:$A$41,0)),"N"),"")</f>
        <v/>
      </c>
      <c r="AA524" s="17">
        <f>IF(S524=1,IFERROR(INDEX(Settings!$F$12:$F$41,MATCH($B524,Settings!$A$12:$A$41,0)),0),0)</f>
        <v>0</v>
      </c>
      <c r="AB524" s="15">
        <f>IF(S524=1,IFERROR(INDEX(Settings!$G$12:$G$41,MATCH($B524,Settings!$A$12:$A$41,0)),0),0)</f>
        <v>0</v>
      </c>
      <c r="AC524" s="18" t="str">
        <f t="shared" si="75"/>
        <v/>
      </c>
      <c r="AD524" s="15" t="str">
        <f t="shared" si="76"/>
        <v/>
      </c>
      <c r="AE524" s="15" t="str">
        <f t="shared" si="77"/>
        <v/>
      </c>
      <c r="AF524" s="15" t="str">
        <f t="shared" si="78"/>
        <v/>
      </c>
      <c r="AG524" s="18">
        <f>IF(AND(S524=1,Z524="Y"),IF(Settings!$B$6="Percentage",IF(AD524=0,0,AC524*AA524*(N524/AD524)),IF(Settings!$B$6="Points",IF(AF524=0,0,AC524*(N524*AB524)/AF524),IF(Settings!$B$6="Equally",IF(AE524=0,0,AC524*N524/AE524),0))),0)</f>
        <v>0</v>
      </c>
      <c r="AH524" s="18" t="str">
        <f t="shared" si="79"/>
        <v/>
      </c>
      <c r="AI524" s="15">
        <f>IF(S524=1,IF(COUNTIFS($R$2:R524,R524,$S$2:S524,1)=1,1,0),0)</f>
        <v>0</v>
      </c>
      <c r="AJ524" s="15">
        <f>SUM($AI$2:AI524)</f>
        <v>12</v>
      </c>
    </row>
    <row r="525" spans="18:36">
      <c r="R525" s="15" t="str">
        <f t="shared" si="80"/>
        <v/>
      </c>
      <c r="S525" s="15">
        <f t="shared" si="72"/>
        <v>0</v>
      </c>
      <c r="T525" s="16" t="str">
        <f>IF(S525=1, DATE(YEAR(Settings!$B$3), MONTH(D525), DAY(D525)), "")</f>
        <v/>
      </c>
      <c r="U525" s="15" t="str">
        <f>IF(S525=1,IFERROR(INDEX(Settings!$B$12:$B$41,MATCH($B525,Settings!$A$12:$A$41,0)),"N"),"")</f>
        <v/>
      </c>
      <c r="V525" s="15" t="str">
        <f>IF(S525=1,IFERROR(INDEX(Settings!$C$12:$C$41,MATCH($B525,Settings!$A$12:$A$41,0)),""),"")</f>
        <v/>
      </c>
      <c r="W525" s="17">
        <f>IF(S525=1,IFERROR(INDEX(Settings!$D$12:$D$41,MATCH($B525,Settings!$A$12:$A$41,0)),0),0)</f>
        <v>0</v>
      </c>
      <c r="X525" s="18">
        <f t="shared" si="73"/>
        <v>0</v>
      </c>
      <c r="Y525" s="18" t="str">
        <f t="shared" si="74"/>
        <v/>
      </c>
      <c r="Z525" s="15" t="str">
        <f>IF(S525=1,IFERROR(INDEX(Settings!$E$12:$E$41,MATCH($B525,Settings!$A$12:$A$41,0)),"N"),"")</f>
        <v/>
      </c>
      <c r="AA525" s="17">
        <f>IF(S525=1,IFERROR(INDEX(Settings!$F$12:$F$41,MATCH($B525,Settings!$A$12:$A$41,0)),0),0)</f>
        <v>0</v>
      </c>
      <c r="AB525" s="15">
        <f>IF(S525=1,IFERROR(INDEX(Settings!$G$12:$G$41,MATCH($B525,Settings!$A$12:$A$41,0)),0),0)</f>
        <v>0</v>
      </c>
      <c r="AC525" s="18" t="str">
        <f t="shared" si="75"/>
        <v/>
      </c>
      <c r="AD525" s="15" t="str">
        <f t="shared" si="76"/>
        <v/>
      </c>
      <c r="AE525" s="15" t="str">
        <f t="shared" si="77"/>
        <v/>
      </c>
      <c r="AF525" s="15" t="str">
        <f t="shared" si="78"/>
        <v/>
      </c>
      <c r="AG525" s="18">
        <f>IF(AND(S525=1,Z525="Y"),IF(Settings!$B$6="Percentage",IF(AD525=0,0,AC525*AA525*(N525/AD525)),IF(Settings!$B$6="Points",IF(AF525=0,0,AC525*(N525*AB525)/AF525),IF(Settings!$B$6="Equally",IF(AE525=0,0,AC525*N525/AE525),0))),0)</f>
        <v>0</v>
      </c>
      <c r="AH525" s="18" t="str">
        <f t="shared" si="79"/>
        <v/>
      </c>
      <c r="AI525" s="15">
        <f>IF(S525=1,IF(COUNTIFS($R$2:R525,R525,$S$2:S525,1)=1,1,0),0)</f>
        <v>0</v>
      </c>
      <c r="AJ525" s="15">
        <f>SUM($AI$2:AI525)</f>
        <v>12</v>
      </c>
    </row>
    <row r="526" spans="18:36">
      <c r="R526" s="15" t="str">
        <f t="shared" si="80"/>
        <v/>
      </c>
      <c r="S526" s="15">
        <f t="shared" si="72"/>
        <v>0</v>
      </c>
      <c r="T526" s="16" t="str">
        <f>IF(S526=1, DATE(YEAR(Settings!$B$3), MONTH(D526), DAY(D526)), "")</f>
        <v/>
      </c>
      <c r="U526" s="15" t="str">
        <f>IF(S526=1,IFERROR(INDEX(Settings!$B$12:$B$41,MATCH($B526,Settings!$A$12:$A$41,0)),"N"),"")</f>
        <v/>
      </c>
      <c r="V526" s="15" t="str">
        <f>IF(S526=1,IFERROR(INDEX(Settings!$C$12:$C$41,MATCH($B526,Settings!$A$12:$A$41,0)),""),"")</f>
        <v/>
      </c>
      <c r="W526" s="17">
        <f>IF(S526=1,IFERROR(INDEX(Settings!$D$12:$D$41,MATCH($B526,Settings!$A$12:$A$41,0)),0),0)</f>
        <v>0</v>
      </c>
      <c r="X526" s="18">
        <f t="shared" si="73"/>
        <v>0</v>
      </c>
      <c r="Y526" s="18" t="str">
        <f t="shared" si="74"/>
        <v/>
      </c>
      <c r="Z526" s="15" t="str">
        <f>IF(S526=1,IFERROR(INDEX(Settings!$E$12:$E$41,MATCH($B526,Settings!$A$12:$A$41,0)),"N"),"")</f>
        <v/>
      </c>
      <c r="AA526" s="17">
        <f>IF(S526=1,IFERROR(INDEX(Settings!$F$12:$F$41,MATCH($B526,Settings!$A$12:$A$41,0)),0),0)</f>
        <v>0</v>
      </c>
      <c r="AB526" s="15">
        <f>IF(S526=1,IFERROR(INDEX(Settings!$G$12:$G$41,MATCH($B526,Settings!$A$12:$A$41,0)),0),0)</f>
        <v>0</v>
      </c>
      <c r="AC526" s="18" t="str">
        <f t="shared" si="75"/>
        <v/>
      </c>
      <c r="AD526" s="15" t="str">
        <f t="shared" si="76"/>
        <v/>
      </c>
      <c r="AE526" s="15" t="str">
        <f t="shared" si="77"/>
        <v/>
      </c>
      <c r="AF526" s="15" t="str">
        <f t="shared" si="78"/>
        <v/>
      </c>
      <c r="AG526" s="18">
        <f>IF(AND(S526=1,Z526="Y"),IF(Settings!$B$6="Percentage",IF(AD526=0,0,AC526*AA526*(N526/AD526)),IF(Settings!$B$6="Points",IF(AF526=0,0,AC526*(N526*AB526)/AF526),IF(Settings!$B$6="Equally",IF(AE526=0,0,AC526*N526/AE526),0))),0)</f>
        <v>0</v>
      </c>
      <c r="AH526" s="18" t="str">
        <f t="shared" si="79"/>
        <v/>
      </c>
      <c r="AI526" s="15">
        <f>IF(S526=1,IF(COUNTIFS($R$2:R526,R526,$S$2:S526,1)=1,1,0),0)</f>
        <v>0</v>
      </c>
      <c r="AJ526" s="15">
        <f>SUM($AI$2:AI526)</f>
        <v>12</v>
      </c>
    </row>
    <row r="527" spans="18:36">
      <c r="R527" s="15" t="str">
        <f t="shared" si="80"/>
        <v/>
      </c>
      <c r="S527" s="15">
        <f t="shared" si="72"/>
        <v>0</v>
      </c>
      <c r="T527" s="16" t="str">
        <f>IF(S527=1, DATE(YEAR(Settings!$B$3), MONTH(D527), DAY(D527)), "")</f>
        <v/>
      </c>
      <c r="U527" s="15" t="str">
        <f>IF(S527=1,IFERROR(INDEX(Settings!$B$12:$B$41,MATCH($B527,Settings!$A$12:$A$41,0)),"N"),"")</f>
        <v/>
      </c>
      <c r="V527" s="15" t="str">
        <f>IF(S527=1,IFERROR(INDEX(Settings!$C$12:$C$41,MATCH($B527,Settings!$A$12:$A$41,0)),""),"")</f>
        <v/>
      </c>
      <c r="W527" s="17">
        <f>IF(S527=1,IFERROR(INDEX(Settings!$D$12:$D$41,MATCH($B527,Settings!$A$12:$A$41,0)),0),0)</f>
        <v>0</v>
      </c>
      <c r="X527" s="18">
        <f t="shared" si="73"/>
        <v>0</v>
      </c>
      <c r="Y527" s="18" t="str">
        <f t="shared" si="74"/>
        <v/>
      </c>
      <c r="Z527" s="15" t="str">
        <f>IF(S527=1,IFERROR(INDEX(Settings!$E$12:$E$41,MATCH($B527,Settings!$A$12:$A$41,0)),"N"),"")</f>
        <v/>
      </c>
      <c r="AA527" s="17">
        <f>IF(S527=1,IFERROR(INDEX(Settings!$F$12:$F$41,MATCH($B527,Settings!$A$12:$A$41,0)),0),0)</f>
        <v>0</v>
      </c>
      <c r="AB527" s="15">
        <f>IF(S527=1,IFERROR(INDEX(Settings!$G$12:$G$41,MATCH($B527,Settings!$A$12:$A$41,0)),0),0)</f>
        <v>0</v>
      </c>
      <c r="AC527" s="18" t="str">
        <f t="shared" si="75"/>
        <v/>
      </c>
      <c r="AD527" s="15" t="str">
        <f t="shared" si="76"/>
        <v/>
      </c>
      <c r="AE527" s="15" t="str">
        <f t="shared" si="77"/>
        <v/>
      </c>
      <c r="AF527" s="15" t="str">
        <f t="shared" si="78"/>
        <v/>
      </c>
      <c r="AG527" s="18">
        <f>IF(AND(S527=1,Z527="Y"),IF(Settings!$B$6="Percentage",IF(AD527=0,0,AC527*AA527*(N527/AD527)),IF(Settings!$B$6="Points",IF(AF527=0,0,AC527*(N527*AB527)/AF527),IF(Settings!$B$6="Equally",IF(AE527=0,0,AC527*N527/AE527),0))),0)</f>
        <v>0</v>
      </c>
      <c r="AH527" s="18" t="str">
        <f t="shared" si="79"/>
        <v/>
      </c>
      <c r="AI527" s="15">
        <f>IF(S527=1,IF(COUNTIFS($R$2:R527,R527,$S$2:S527,1)=1,1,0),0)</f>
        <v>0</v>
      </c>
      <c r="AJ527" s="15">
        <f>SUM($AI$2:AI527)</f>
        <v>12</v>
      </c>
    </row>
    <row r="528" spans="18:36">
      <c r="R528" s="15" t="str">
        <f t="shared" si="80"/>
        <v/>
      </c>
      <c r="S528" s="15">
        <f t="shared" si="72"/>
        <v>0</v>
      </c>
      <c r="T528" s="16" t="str">
        <f>IF(S528=1, DATE(YEAR(Settings!$B$3), MONTH(D528), DAY(D528)), "")</f>
        <v/>
      </c>
      <c r="U528" s="15" t="str">
        <f>IF(S528=1,IFERROR(INDEX(Settings!$B$12:$B$41,MATCH($B528,Settings!$A$12:$A$41,0)),"N"),"")</f>
        <v/>
      </c>
      <c r="V528" s="15" t="str">
        <f>IF(S528=1,IFERROR(INDEX(Settings!$C$12:$C$41,MATCH($B528,Settings!$A$12:$A$41,0)),""),"")</f>
        <v/>
      </c>
      <c r="W528" s="17">
        <f>IF(S528=1,IFERROR(INDEX(Settings!$D$12:$D$41,MATCH($B528,Settings!$A$12:$A$41,0)),0),0)</f>
        <v>0</v>
      </c>
      <c r="X528" s="18">
        <f t="shared" si="73"/>
        <v>0</v>
      </c>
      <c r="Y528" s="18" t="str">
        <f t="shared" si="74"/>
        <v/>
      </c>
      <c r="Z528" s="15" t="str">
        <f>IF(S528=1,IFERROR(INDEX(Settings!$E$12:$E$41,MATCH($B528,Settings!$A$12:$A$41,0)),"N"),"")</f>
        <v/>
      </c>
      <c r="AA528" s="17">
        <f>IF(S528=1,IFERROR(INDEX(Settings!$F$12:$F$41,MATCH($B528,Settings!$A$12:$A$41,0)),0),0)</f>
        <v>0</v>
      </c>
      <c r="AB528" s="15">
        <f>IF(S528=1,IFERROR(INDEX(Settings!$G$12:$G$41,MATCH($B528,Settings!$A$12:$A$41,0)),0),0)</f>
        <v>0</v>
      </c>
      <c r="AC528" s="18" t="str">
        <f t="shared" si="75"/>
        <v/>
      </c>
      <c r="AD528" s="15" t="str">
        <f t="shared" si="76"/>
        <v/>
      </c>
      <c r="AE528" s="15" t="str">
        <f t="shared" si="77"/>
        <v/>
      </c>
      <c r="AF528" s="15" t="str">
        <f t="shared" si="78"/>
        <v/>
      </c>
      <c r="AG528" s="18">
        <f>IF(AND(S528=1,Z528="Y"),IF(Settings!$B$6="Percentage",IF(AD528=0,0,AC528*AA528*(N528/AD528)),IF(Settings!$B$6="Points",IF(AF528=0,0,AC528*(N528*AB528)/AF528),IF(Settings!$B$6="Equally",IF(AE528=0,0,AC528*N528/AE528),0))),0)</f>
        <v>0</v>
      </c>
      <c r="AH528" s="18" t="str">
        <f t="shared" si="79"/>
        <v/>
      </c>
      <c r="AI528" s="15">
        <f>IF(S528=1,IF(COUNTIFS($R$2:R528,R528,$S$2:S528,1)=1,1,0),0)</f>
        <v>0</v>
      </c>
      <c r="AJ528" s="15">
        <f>SUM($AI$2:AI528)</f>
        <v>12</v>
      </c>
    </row>
    <row r="529" spans="18:36">
      <c r="R529" s="15" t="str">
        <f t="shared" si="80"/>
        <v/>
      </c>
      <c r="S529" s="15">
        <f t="shared" si="72"/>
        <v>0</v>
      </c>
      <c r="T529" s="16" t="str">
        <f>IF(S529=1, DATE(YEAR(Settings!$B$3), MONTH(D529), DAY(D529)), "")</f>
        <v/>
      </c>
      <c r="U529" s="15" t="str">
        <f>IF(S529=1,IFERROR(INDEX(Settings!$B$12:$B$41,MATCH($B529,Settings!$A$12:$A$41,0)),"N"),"")</f>
        <v/>
      </c>
      <c r="V529" s="15" t="str">
        <f>IF(S529=1,IFERROR(INDEX(Settings!$C$12:$C$41,MATCH($B529,Settings!$A$12:$A$41,0)),""),"")</f>
        <v/>
      </c>
      <c r="W529" s="17">
        <f>IF(S529=1,IFERROR(INDEX(Settings!$D$12:$D$41,MATCH($B529,Settings!$A$12:$A$41,0)),0),0)</f>
        <v>0</v>
      </c>
      <c r="X529" s="18">
        <f t="shared" si="73"/>
        <v>0</v>
      </c>
      <c r="Y529" s="18" t="str">
        <f t="shared" si="74"/>
        <v/>
      </c>
      <c r="Z529" s="15" t="str">
        <f>IF(S529=1,IFERROR(INDEX(Settings!$E$12:$E$41,MATCH($B529,Settings!$A$12:$A$41,0)),"N"),"")</f>
        <v/>
      </c>
      <c r="AA529" s="17">
        <f>IF(S529=1,IFERROR(INDEX(Settings!$F$12:$F$41,MATCH($B529,Settings!$A$12:$A$41,0)),0),0)</f>
        <v>0</v>
      </c>
      <c r="AB529" s="15">
        <f>IF(S529=1,IFERROR(INDEX(Settings!$G$12:$G$41,MATCH($B529,Settings!$A$12:$A$41,0)),0),0)</f>
        <v>0</v>
      </c>
      <c r="AC529" s="18" t="str">
        <f t="shared" si="75"/>
        <v/>
      </c>
      <c r="AD529" s="15" t="str">
        <f t="shared" si="76"/>
        <v/>
      </c>
      <c r="AE529" s="15" t="str">
        <f t="shared" si="77"/>
        <v/>
      </c>
      <c r="AF529" s="15" t="str">
        <f t="shared" si="78"/>
        <v/>
      </c>
      <c r="AG529" s="18">
        <f>IF(AND(S529=1,Z529="Y"),IF(Settings!$B$6="Percentage",IF(AD529=0,0,AC529*AA529*(N529/AD529)),IF(Settings!$B$6="Points",IF(AF529=0,0,AC529*(N529*AB529)/AF529),IF(Settings!$B$6="Equally",IF(AE529=0,0,AC529*N529/AE529),0))),0)</f>
        <v>0</v>
      </c>
      <c r="AH529" s="18" t="str">
        <f t="shared" si="79"/>
        <v/>
      </c>
      <c r="AI529" s="15">
        <f>IF(S529=1,IF(COUNTIFS($R$2:R529,R529,$S$2:S529,1)=1,1,0),0)</f>
        <v>0</v>
      </c>
      <c r="AJ529" s="15">
        <f>SUM($AI$2:AI529)</f>
        <v>12</v>
      </c>
    </row>
    <row r="530" spans="18:36">
      <c r="R530" s="15" t="str">
        <f t="shared" si="80"/>
        <v/>
      </c>
      <c r="S530" s="15">
        <f t="shared" si="72"/>
        <v>0</v>
      </c>
      <c r="T530" s="16" t="str">
        <f>IF(S530=1, DATE(YEAR(Settings!$B$3), MONTH(D530), DAY(D530)), "")</f>
        <v/>
      </c>
      <c r="U530" s="15" t="str">
        <f>IF(S530=1,IFERROR(INDEX(Settings!$B$12:$B$41,MATCH($B530,Settings!$A$12:$A$41,0)),"N"),"")</f>
        <v/>
      </c>
      <c r="V530" s="15" t="str">
        <f>IF(S530=1,IFERROR(INDEX(Settings!$C$12:$C$41,MATCH($B530,Settings!$A$12:$A$41,0)),""),"")</f>
        <v/>
      </c>
      <c r="W530" s="17">
        <f>IF(S530=1,IFERROR(INDEX(Settings!$D$12:$D$41,MATCH($B530,Settings!$A$12:$A$41,0)),0),0)</f>
        <v>0</v>
      </c>
      <c r="X530" s="18">
        <f t="shared" si="73"/>
        <v>0</v>
      </c>
      <c r="Y530" s="18" t="str">
        <f t="shared" si="74"/>
        <v/>
      </c>
      <c r="Z530" s="15" t="str">
        <f>IF(S530=1,IFERROR(INDEX(Settings!$E$12:$E$41,MATCH($B530,Settings!$A$12:$A$41,0)),"N"),"")</f>
        <v/>
      </c>
      <c r="AA530" s="17">
        <f>IF(S530=1,IFERROR(INDEX(Settings!$F$12:$F$41,MATCH($B530,Settings!$A$12:$A$41,0)),0),0)</f>
        <v>0</v>
      </c>
      <c r="AB530" s="15">
        <f>IF(S530=1,IFERROR(INDEX(Settings!$G$12:$G$41,MATCH($B530,Settings!$A$12:$A$41,0)),0),0)</f>
        <v>0</v>
      </c>
      <c r="AC530" s="18" t="str">
        <f t="shared" si="75"/>
        <v/>
      </c>
      <c r="AD530" s="15" t="str">
        <f t="shared" si="76"/>
        <v/>
      </c>
      <c r="AE530" s="15" t="str">
        <f t="shared" si="77"/>
        <v/>
      </c>
      <c r="AF530" s="15" t="str">
        <f t="shared" si="78"/>
        <v/>
      </c>
      <c r="AG530" s="18">
        <f>IF(AND(S530=1,Z530="Y"),IF(Settings!$B$6="Percentage",IF(AD530=0,0,AC530*AA530*(N530/AD530)),IF(Settings!$B$6="Points",IF(AF530=0,0,AC530*(N530*AB530)/AF530),IF(Settings!$B$6="Equally",IF(AE530=0,0,AC530*N530/AE530),0))),0)</f>
        <v>0</v>
      </c>
      <c r="AH530" s="18" t="str">
        <f t="shared" si="79"/>
        <v/>
      </c>
      <c r="AI530" s="15">
        <f>IF(S530=1,IF(COUNTIFS($R$2:R530,R530,$S$2:S530,1)=1,1,0),0)</f>
        <v>0</v>
      </c>
      <c r="AJ530" s="15">
        <f>SUM($AI$2:AI530)</f>
        <v>12</v>
      </c>
    </row>
    <row r="531" spans="18:36">
      <c r="R531" s="15" t="str">
        <f t="shared" si="80"/>
        <v/>
      </c>
      <c r="S531" s="15">
        <f t="shared" si="72"/>
        <v>0</v>
      </c>
      <c r="T531" s="16" t="str">
        <f>IF(S531=1, DATE(YEAR(Settings!$B$3), MONTH(D531), DAY(D531)), "")</f>
        <v/>
      </c>
      <c r="U531" s="15" t="str">
        <f>IF(S531=1,IFERROR(INDEX(Settings!$B$12:$B$41,MATCH($B531,Settings!$A$12:$A$41,0)),"N"),"")</f>
        <v/>
      </c>
      <c r="V531" s="15" t="str">
        <f>IF(S531=1,IFERROR(INDEX(Settings!$C$12:$C$41,MATCH($B531,Settings!$A$12:$A$41,0)),""),"")</f>
        <v/>
      </c>
      <c r="W531" s="17">
        <f>IF(S531=1,IFERROR(INDEX(Settings!$D$12:$D$41,MATCH($B531,Settings!$A$12:$A$41,0)),0),0)</f>
        <v>0</v>
      </c>
      <c r="X531" s="18">
        <f t="shared" si="73"/>
        <v>0</v>
      </c>
      <c r="Y531" s="18" t="str">
        <f t="shared" si="74"/>
        <v/>
      </c>
      <c r="Z531" s="15" t="str">
        <f>IF(S531=1,IFERROR(INDEX(Settings!$E$12:$E$41,MATCH($B531,Settings!$A$12:$A$41,0)),"N"),"")</f>
        <v/>
      </c>
      <c r="AA531" s="17">
        <f>IF(S531=1,IFERROR(INDEX(Settings!$F$12:$F$41,MATCH($B531,Settings!$A$12:$A$41,0)),0),0)</f>
        <v>0</v>
      </c>
      <c r="AB531" s="15">
        <f>IF(S531=1,IFERROR(INDEX(Settings!$G$12:$G$41,MATCH($B531,Settings!$A$12:$A$41,0)),0),0)</f>
        <v>0</v>
      </c>
      <c r="AC531" s="18" t="str">
        <f t="shared" si="75"/>
        <v/>
      </c>
      <c r="AD531" s="15" t="str">
        <f t="shared" si="76"/>
        <v/>
      </c>
      <c r="AE531" s="15" t="str">
        <f t="shared" si="77"/>
        <v/>
      </c>
      <c r="AF531" s="15" t="str">
        <f t="shared" si="78"/>
        <v/>
      </c>
      <c r="AG531" s="18">
        <f>IF(AND(S531=1,Z531="Y"),IF(Settings!$B$6="Percentage",IF(AD531=0,0,AC531*AA531*(N531/AD531)),IF(Settings!$B$6="Points",IF(AF531=0,0,AC531*(N531*AB531)/AF531),IF(Settings!$B$6="Equally",IF(AE531=0,0,AC531*N531/AE531),0))),0)</f>
        <v>0</v>
      </c>
      <c r="AH531" s="18" t="str">
        <f t="shared" si="79"/>
        <v/>
      </c>
      <c r="AI531" s="15">
        <f>IF(S531=1,IF(COUNTIFS($R$2:R531,R531,$S$2:S531,1)=1,1,0),0)</f>
        <v>0</v>
      </c>
      <c r="AJ531" s="15">
        <f>SUM($AI$2:AI531)</f>
        <v>12</v>
      </c>
    </row>
    <row r="532" spans="18:36">
      <c r="R532" s="15" t="str">
        <f t="shared" si="80"/>
        <v/>
      </c>
      <c r="S532" s="15">
        <f t="shared" si="72"/>
        <v>0</v>
      </c>
      <c r="T532" s="16" t="str">
        <f>IF(S532=1, DATE(YEAR(Settings!$B$3), MONTH(D532), DAY(D532)), "")</f>
        <v/>
      </c>
      <c r="U532" s="15" t="str">
        <f>IF(S532=1,IFERROR(INDEX(Settings!$B$12:$B$41,MATCH($B532,Settings!$A$12:$A$41,0)),"N"),"")</f>
        <v/>
      </c>
      <c r="V532" s="15" t="str">
        <f>IF(S532=1,IFERROR(INDEX(Settings!$C$12:$C$41,MATCH($B532,Settings!$A$12:$A$41,0)),""),"")</f>
        <v/>
      </c>
      <c r="W532" s="17">
        <f>IF(S532=1,IFERROR(INDEX(Settings!$D$12:$D$41,MATCH($B532,Settings!$A$12:$A$41,0)),0),0)</f>
        <v>0</v>
      </c>
      <c r="X532" s="18">
        <f t="shared" si="73"/>
        <v>0</v>
      </c>
      <c r="Y532" s="18" t="str">
        <f t="shared" si="74"/>
        <v/>
      </c>
      <c r="Z532" s="15" t="str">
        <f>IF(S532=1,IFERROR(INDEX(Settings!$E$12:$E$41,MATCH($B532,Settings!$A$12:$A$41,0)),"N"),"")</f>
        <v/>
      </c>
      <c r="AA532" s="17">
        <f>IF(S532=1,IFERROR(INDEX(Settings!$F$12:$F$41,MATCH($B532,Settings!$A$12:$A$41,0)),0),0)</f>
        <v>0</v>
      </c>
      <c r="AB532" s="15">
        <f>IF(S532=1,IFERROR(INDEX(Settings!$G$12:$G$41,MATCH($B532,Settings!$A$12:$A$41,0)),0),0)</f>
        <v>0</v>
      </c>
      <c r="AC532" s="18" t="str">
        <f t="shared" si="75"/>
        <v/>
      </c>
      <c r="AD532" s="15" t="str">
        <f t="shared" si="76"/>
        <v/>
      </c>
      <c r="AE532" s="15" t="str">
        <f t="shared" si="77"/>
        <v/>
      </c>
      <c r="AF532" s="15" t="str">
        <f t="shared" si="78"/>
        <v/>
      </c>
      <c r="AG532" s="18">
        <f>IF(AND(S532=1,Z532="Y"),IF(Settings!$B$6="Percentage",IF(AD532=0,0,AC532*AA532*(N532/AD532)),IF(Settings!$B$6="Points",IF(AF532=0,0,AC532*(N532*AB532)/AF532),IF(Settings!$B$6="Equally",IF(AE532=0,0,AC532*N532/AE532),0))),0)</f>
        <v>0</v>
      </c>
      <c r="AH532" s="18" t="str">
        <f t="shared" si="79"/>
        <v/>
      </c>
      <c r="AI532" s="15">
        <f>IF(S532=1,IF(COUNTIFS($R$2:R532,R532,$S$2:S532,1)=1,1,0),0)</f>
        <v>0</v>
      </c>
      <c r="AJ532" s="15">
        <f>SUM($AI$2:AI532)</f>
        <v>12</v>
      </c>
    </row>
    <row r="533" spans="18:36">
      <c r="R533" s="15" t="str">
        <f t="shared" si="80"/>
        <v/>
      </c>
      <c r="S533" s="15">
        <f t="shared" si="72"/>
        <v>0</v>
      </c>
      <c r="T533" s="16" t="str">
        <f>IF(S533=1, DATE(YEAR(Settings!$B$3), MONTH(D533), DAY(D533)), "")</f>
        <v/>
      </c>
      <c r="U533" s="15" t="str">
        <f>IF(S533=1,IFERROR(INDEX(Settings!$B$12:$B$41,MATCH($B533,Settings!$A$12:$A$41,0)),"N"),"")</f>
        <v/>
      </c>
      <c r="V533" s="15" t="str">
        <f>IF(S533=1,IFERROR(INDEX(Settings!$C$12:$C$41,MATCH($B533,Settings!$A$12:$A$41,0)),""),"")</f>
        <v/>
      </c>
      <c r="W533" s="17">
        <f>IF(S533=1,IFERROR(INDEX(Settings!$D$12:$D$41,MATCH($B533,Settings!$A$12:$A$41,0)),0),0)</f>
        <v>0</v>
      </c>
      <c r="X533" s="18">
        <f t="shared" si="73"/>
        <v>0</v>
      </c>
      <c r="Y533" s="18" t="str">
        <f t="shared" si="74"/>
        <v/>
      </c>
      <c r="Z533" s="15" t="str">
        <f>IF(S533=1,IFERROR(INDEX(Settings!$E$12:$E$41,MATCH($B533,Settings!$A$12:$A$41,0)),"N"),"")</f>
        <v/>
      </c>
      <c r="AA533" s="17">
        <f>IF(S533=1,IFERROR(INDEX(Settings!$F$12:$F$41,MATCH($B533,Settings!$A$12:$A$41,0)),0),0)</f>
        <v>0</v>
      </c>
      <c r="AB533" s="15">
        <f>IF(S533=1,IFERROR(INDEX(Settings!$G$12:$G$41,MATCH($B533,Settings!$A$12:$A$41,0)),0),0)</f>
        <v>0</v>
      </c>
      <c r="AC533" s="18" t="str">
        <f t="shared" si="75"/>
        <v/>
      </c>
      <c r="AD533" s="15" t="str">
        <f t="shared" si="76"/>
        <v/>
      </c>
      <c r="AE533" s="15" t="str">
        <f t="shared" si="77"/>
        <v/>
      </c>
      <c r="AF533" s="15" t="str">
        <f t="shared" si="78"/>
        <v/>
      </c>
      <c r="AG533" s="18">
        <f>IF(AND(S533=1,Z533="Y"),IF(Settings!$B$6="Percentage",IF(AD533=0,0,AC533*AA533*(N533/AD533)),IF(Settings!$B$6="Points",IF(AF533=0,0,AC533*(N533*AB533)/AF533),IF(Settings!$B$6="Equally",IF(AE533=0,0,AC533*N533/AE533),0))),0)</f>
        <v>0</v>
      </c>
      <c r="AH533" s="18" t="str">
        <f t="shared" si="79"/>
        <v/>
      </c>
      <c r="AI533" s="15">
        <f>IF(S533=1,IF(COUNTIFS($R$2:R533,R533,$S$2:S533,1)=1,1,0),0)</f>
        <v>0</v>
      </c>
      <c r="AJ533" s="15">
        <f>SUM($AI$2:AI533)</f>
        <v>12</v>
      </c>
    </row>
    <row r="534" spans="18:36">
      <c r="R534" s="15" t="str">
        <f t="shared" si="80"/>
        <v/>
      </c>
      <c r="S534" s="15">
        <f t="shared" si="72"/>
        <v>0</v>
      </c>
      <c r="T534" s="16" t="str">
        <f>IF(S534=1, DATE(YEAR(Settings!$B$3), MONTH(D534), DAY(D534)), "")</f>
        <v/>
      </c>
      <c r="U534" s="15" t="str">
        <f>IF(S534=1,IFERROR(INDEX(Settings!$B$12:$B$41,MATCH($B534,Settings!$A$12:$A$41,0)),"N"),"")</f>
        <v/>
      </c>
      <c r="V534" s="15" t="str">
        <f>IF(S534=1,IFERROR(INDEX(Settings!$C$12:$C$41,MATCH($B534,Settings!$A$12:$A$41,0)),""),"")</f>
        <v/>
      </c>
      <c r="W534" s="17">
        <f>IF(S534=1,IFERROR(INDEX(Settings!$D$12:$D$41,MATCH($B534,Settings!$A$12:$A$41,0)),0),0)</f>
        <v>0</v>
      </c>
      <c r="X534" s="18">
        <f t="shared" si="73"/>
        <v>0</v>
      </c>
      <c r="Y534" s="18" t="str">
        <f t="shared" si="74"/>
        <v/>
      </c>
      <c r="Z534" s="15" t="str">
        <f>IF(S534=1,IFERROR(INDEX(Settings!$E$12:$E$41,MATCH($B534,Settings!$A$12:$A$41,0)),"N"),"")</f>
        <v/>
      </c>
      <c r="AA534" s="17">
        <f>IF(S534=1,IFERROR(INDEX(Settings!$F$12:$F$41,MATCH($B534,Settings!$A$12:$A$41,0)),0),0)</f>
        <v>0</v>
      </c>
      <c r="AB534" s="15">
        <f>IF(S534=1,IFERROR(INDEX(Settings!$G$12:$G$41,MATCH($B534,Settings!$A$12:$A$41,0)),0),0)</f>
        <v>0</v>
      </c>
      <c r="AC534" s="18" t="str">
        <f t="shared" si="75"/>
        <v/>
      </c>
      <c r="AD534" s="15" t="str">
        <f t="shared" si="76"/>
        <v/>
      </c>
      <c r="AE534" s="15" t="str">
        <f t="shared" si="77"/>
        <v/>
      </c>
      <c r="AF534" s="15" t="str">
        <f t="shared" si="78"/>
        <v/>
      </c>
      <c r="AG534" s="18">
        <f>IF(AND(S534=1,Z534="Y"),IF(Settings!$B$6="Percentage",IF(AD534=0,0,AC534*AA534*(N534/AD534)),IF(Settings!$B$6="Points",IF(AF534=0,0,AC534*(N534*AB534)/AF534),IF(Settings!$B$6="Equally",IF(AE534=0,0,AC534*N534/AE534),0))),0)</f>
        <v>0</v>
      </c>
      <c r="AH534" s="18" t="str">
        <f t="shared" si="79"/>
        <v/>
      </c>
      <c r="AI534" s="15">
        <f>IF(S534=1,IF(COUNTIFS($R$2:R534,R534,$S$2:S534,1)=1,1,0),0)</f>
        <v>0</v>
      </c>
      <c r="AJ534" s="15">
        <f>SUM($AI$2:AI534)</f>
        <v>12</v>
      </c>
    </row>
    <row r="535" spans="18:36">
      <c r="R535" s="15" t="str">
        <f t="shared" si="80"/>
        <v/>
      </c>
      <c r="S535" s="15">
        <f t="shared" si="72"/>
        <v>0</v>
      </c>
      <c r="T535" s="16" t="str">
        <f>IF(S535=1, DATE(YEAR(Settings!$B$3), MONTH(D535), DAY(D535)), "")</f>
        <v/>
      </c>
      <c r="U535" s="15" t="str">
        <f>IF(S535=1,IFERROR(INDEX(Settings!$B$12:$B$41,MATCH($B535,Settings!$A$12:$A$41,0)),"N"),"")</f>
        <v/>
      </c>
      <c r="V535" s="15" t="str">
        <f>IF(S535=1,IFERROR(INDEX(Settings!$C$12:$C$41,MATCH($B535,Settings!$A$12:$A$41,0)),""),"")</f>
        <v/>
      </c>
      <c r="W535" s="17">
        <f>IF(S535=1,IFERROR(INDEX(Settings!$D$12:$D$41,MATCH($B535,Settings!$A$12:$A$41,0)),0),0)</f>
        <v>0</v>
      </c>
      <c r="X535" s="18">
        <f t="shared" si="73"/>
        <v>0</v>
      </c>
      <c r="Y535" s="18" t="str">
        <f t="shared" si="74"/>
        <v/>
      </c>
      <c r="Z535" s="15" t="str">
        <f>IF(S535=1,IFERROR(INDEX(Settings!$E$12:$E$41,MATCH($B535,Settings!$A$12:$A$41,0)),"N"),"")</f>
        <v/>
      </c>
      <c r="AA535" s="17">
        <f>IF(S535=1,IFERROR(INDEX(Settings!$F$12:$F$41,MATCH($B535,Settings!$A$12:$A$41,0)),0),0)</f>
        <v>0</v>
      </c>
      <c r="AB535" s="15">
        <f>IF(S535=1,IFERROR(INDEX(Settings!$G$12:$G$41,MATCH($B535,Settings!$A$12:$A$41,0)),0),0)</f>
        <v>0</v>
      </c>
      <c r="AC535" s="18" t="str">
        <f t="shared" si="75"/>
        <v/>
      </c>
      <c r="AD535" s="15" t="str">
        <f t="shared" si="76"/>
        <v/>
      </c>
      <c r="AE535" s="15" t="str">
        <f t="shared" si="77"/>
        <v/>
      </c>
      <c r="AF535" s="15" t="str">
        <f t="shared" si="78"/>
        <v/>
      </c>
      <c r="AG535" s="18">
        <f>IF(AND(S535=1,Z535="Y"),IF(Settings!$B$6="Percentage",IF(AD535=0,0,AC535*AA535*(N535/AD535)),IF(Settings!$B$6="Points",IF(AF535=0,0,AC535*(N535*AB535)/AF535),IF(Settings!$B$6="Equally",IF(AE535=0,0,AC535*N535/AE535),0))),0)</f>
        <v>0</v>
      </c>
      <c r="AH535" s="18" t="str">
        <f t="shared" si="79"/>
        <v/>
      </c>
      <c r="AI535" s="15">
        <f>IF(S535=1,IF(COUNTIFS($R$2:R535,R535,$S$2:S535,1)=1,1,0),0)</f>
        <v>0</v>
      </c>
      <c r="AJ535" s="15">
        <f>SUM($AI$2:AI535)</f>
        <v>12</v>
      </c>
    </row>
    <row r="536" spans="18:36">
      <c r="R536" s="15" t="str">
        <f t="shared" si="80"/>
        <v/>
      </c>
      <c r="S536" s="15">
        <f t="shared" si="72"/>
        <v>0</v>
      </c>
      <c r="T536" s="16" t="str">
        <f>IF(S536=1, DATE(YEAR(Settings!$B$3), MONTH(D536), DAY(D536)), "")</f>
        <v/>
      </c>
      <c r="U536" s="15" t="str">
        <f>IF(S536=1,IFERROR(INDEX(Settings!$B$12:$B$41,MATCH($B536,Settings!$A$12:$A$41,0)),"N"),"")</f>
        <v/>
      </c>
      <c r="V536" s="15" t="str">
        <f>IF(S536=1,IFERROR(INDEX(Settings!$C$12:$C$41,MATCH($B536,Settings!$A$12:$A$41,0)),""),"")</f>
        <v/>
      </c>
      <c r="W536" s="17">
        <f>IF(S536=1,IFERROR(INDEX(Settings!$D$12:$D$41,MATCH($B536,Settings!$A$12:$A$41,0)),0),0)</f>
        <v>0</v>
      </c>
      <c r="X536" s="18">
        <f t="shared" si="73"/>
        <v>0</v>
      </c>
      <c r="Y536" s="18" t="str">
        <f t="shared" si="74"/>
        <v/>
      </c>
      <c r="Z536" s="15" t="str">
        <f>IF(S536=1,IFERROR(INDEX(Settings!$E$12:$E$41,MATCH($B536,Settings!$A$12:$A$41,0)),"N"),"")</f>
        <v/>
      </c>
      <c r="AA536" s="17">
        <f>IF(S536=1,IFERROR(INDEX(Settings!$F$12:$F$41,MATCH($B536,Settings!$A$12:$A$41,0)),0),0)</f>
        <v>0</v>
      </c>
      <c r="AB536" s="15">
        <f>IF(S536=1,IFERROR(INDEX(Settings!$G$12:$G$41,MATCH($B536,Settings!$A$12:$A$41,0)),0),0)</f>
        <v>0</v>
      </c>
      <c r="AC536" s="18" t="str">
        <f t="shared" si="75"/>
        <v/>
      </c>
      <c r="AD536" s="15" t="str">
        <f t="shared" si="76"/>
        <v/>
      </c>
      <c r="AE536" s="15" t="str">
        <f t="shared" si="77"/>
        <v/>
      </c>
      <c r="AF536" s="15" t="str">
        <f t="shared" si="78"/>
        <v/>
      </c>
      <c r="AG536" s="18">
        <f>IF(AND(S536=1,Z536="Y"),IF(Settings!$B$6="Percentage",IF(AD536=0,0,AC536*AA536*(N536/AD536)),IF(Settings!$B$6="Points",IF(AF536=0,0,AC536*(N536*AB536)/AF536),IF(Settings!$B$6="Equally",IF(AE536=0,0,AC536*N536/AE536),0))),0)</f>
        <v>0</v>
      </c>
      <c r="AH536" s="18" t="str">
        <f t="shared" si="79"/>
        <v/>
      </c>
      <c r="AI536" s="15">
        <f>IF(S536=1,IF(COUNTIFS($R$2:R536,R536,$S$2:S536,1)=1,1,0),0)</f>
        <v>0</v>
      </c>
      <c r="AJ536" s="15">
        <f>SUM($AI$2:AI536)</f>
        <v>12</v>
      </c>
    </row>
    <row r="537" spans="18:36">
      <c r="R537" s="15" t="str">
        <f t="shared" si="80"/>
        <v/>
      </c>
      <c r="S537" s="15">
        <f t="shared" si="72"/>
        <v>0</v>
      </c>
      <c r="T537" s="16" t="str">
        <f>IF(S537=1, DATE(YEAR(Settings!$B$3), MONTH(D537), DAY(D537)), "")</f>
        <v/>
      </c>
      <c r="U537" s="15" t="str">
        <f>IF(S537=1,IFERROR(INDEX(Settings!$B$12:$B$41,MATCH($B537,Settings!$A$12:$A$41,0)),"N"),"")</f>
        <v/>
      </c>
      <c r="V537" s="15" t="str">
        <f>IF(S537=1,IFERROR(INDEX(Settings!$C$12:$C$41,MATCH($B537,Settings!$A$12:$A$41,0)),""),"")</f>
        <v/>
      </c>
      <c r="W537" s="17">
        <f>IF(S537=1,IFERROR(INDEX(Settings!$D$12:$D$41,MATCH($B537,Settings!$A$12:$A$41,0)),0),0)</f>
        <v>0</v>
      </c>
      <c r="X537" s="18">
        <f t="shared" si="73"/>
        <v>0</v>
      </c>
      <c r="Y537" s="18" t="str">
        <f t="shared" si="74"/>
        <v/>
      </c>
      <c r="Z537" s="15" t="str">
        <f>IF(S537=1,IFERROR(INDEX(Settings!$E$12:$E$41,MATCH($B537,Settings!$A$12:$A$41,0)),"N"),"")</f>
        <v/>
      </c>
      <c r="AA537" s="17">
        <f>IF(S537=1,IFERROR(INDEX(Settings!$F$12:$F$41,MATCH($B537,Settings!$A$12:$A$41,0)),0),0)</f>
        <v>0</v>
      </c>
      <c r="AB537" s="15">
        <f>IF(S537=1,IFERROR(INDEX(Settings!$G$12:$G$41,MATCH($B537,Settings!$A$12:$A$41,0)),0),0)</f>
        <v>0</v>
      </c>
      <c r="AC537" s="18" t="str">
        <f t="shared" si="75"/>
        <v/>
      </c>
      <c r="AD537" s="15" t="str">
        <f t="shared" si="76"/>
        <v/>
      </c>
      <c r="AE537" s="15" t="str">
        <f t="shared" si="77"/>
        <v/>
      </c>
      <c r="AF537" s="15" t="str">
        <f t="shared" si="78"/>
        <v/>
      </c>
      <c r="AG537" s="18">
        <f>IF(AND(S537=1,Z537="Y"),IF(Settings!$B$6="Percentage",IF(AD537=0,0,AC537*AA537*(N537/AD537)),IF(Settings!$B$6="Points",IF(AF537=0,0,AC537*(N537*AB537)/AF537),IF(Settings!$B$6="Equally",IF(AE537=0,0,AC537*N537/AE537),0))),0)</f>
        <v>0</v>
      </c>
      <c r="AH537" s="18" t="str">
        <f t="shared" si="79"/>
        <v/>
      </c>
      <c r="AI537" s="15">
        <f>IF(S537=1,IF(COUNTIFS($R$2:R537,R537,$S$2:S537,1)=1,1,0),0)</f>
        <v>0</v>
      </c>
      <c r="AJ537" s="15">
        <f>SUM($AI$2:AI537)</f>
        <v>12</v>
      </c>
    </row>
    <row r="538" spans="18:36">
      <c r="R538" s="15" t="str">
        <f t="shared" si="80"/>
        <v/>
      </c>
      <c r="S538" s="15">
        <f t="shared" si="72"/>
        <v>0</v>
      </c>
      <c r="T538" s="16" t="str">
        <f>IF(S538=1, DATE(YEAR(Settings!$B$3), MONTH(D538), DAY(D538)), "")</f>
        <v/>
      </c>
      <c r="U538" s="15" t="str">
        <f>IF(S538=1,IFERROR(INDEX(Settings!$B$12:$B$41,MATCH($B538,Settings!$A$12:$A$41,0)),"N"),"")</f>
        <v/>
      </c>
      <c r="V538" s="15" t="str">
        <f>IF(S538=1,IFERROR(INDEX(Settings!$C$12:$C$41,MATCH($B538,Settings!$A$12:$A$41,0)),""),"")</f>
        <v/>
      </c>
      <c r="W538" s="17">
        <f>IF(S538=1,IFERROR(INDEX(Settings!$D$12:$D$41,MATCH($B538,Settings!$A$12:$A$41,0)),0),0)</f>
        <v>0</v>
      </c>
      <c r="X538" s="18">
        <f t="shared" si="73"/>
        <v>0</v>
      </c>
      <c r="Y538" s="18" t="str">
        <f t="shared" si="74"/>
        <v/>
      </c>
      <c r="Z538" s="15" t="str">
        <f>IF(S538=1,IFERROR(INDEX(Settings!$E$12:$E$41,MATCH($B538,Settings!$A$12:$A$41,0)),"N"),"")</f>
        <v/>
      </c>
      <c r="AA538" s="17">
        <f>IF(S538=1,IFERROR(INDEX(Settings!$F$12:$F$41,MATCH($B538,Settings!$A$12:$A$41,0)),0),0)</f>
        <v>0</v>
      </c>
      <c r="AB538" s="15">
        <f>IF(S538=1,IFERROR(INDEX(Settings!$G$12:$G$41,MATCH($B538,Settings!$A$12:$A$41,0)),0),0)</f>
        <v>0</v>
      </c>
      <c r="AC538" s="18" t="str">
        <f t="shared" si="75"/>
        <v/>
      </c>
      <c r="AD538" s="15" t="str">
        <f t="shared" si="76"/>
        <v/>
      </c>
      <c r="AE538" s="15" t="str">
        <f t="shared" si="77"/>
        <v/>
      </c>
      <c r="AF538" s="15" t="str">
        <f t="shared" si="78"/>
        <v/>
      </c>
      <c r="AG538" s="18">
        <f>IF(AND(S538=1,Z538="Y"),IF(Settings!$B$6="Percentage",IF(AD538=0,0,AC538*AA538*(N538/AD538)),IF(Settings!$B$6="Points",IF(AF538=0,0,AC538*(N538*AB538)/AF538),IF(Settings!$B$6="Equally",IF(AE538=0,0,AC538*N538/AE538),0))),0)</f>
        <v>0</v>
      </c>
      <c r="AH538" s="18" t="str">
        <f t="shared" si="79"/>
        <v/>
      </c>
      <c r="AI538" s="15">
        <f>IF(S538=1,IF(COUNTIFS($R$2:R538,R538,$S$2:S538,1)=1,1,0),0)</f>
        <v>0</v>
      </c>
      <c r="AJ538" s="15">
        <f>SUM($AI$2:AI538)</f>
        <v>12</v>
      </c>
    </row>
    <row r="539" spans="18:36">
      <c r="R539" s="15" t="str">
        <f t="shared" si="80"/>
        <v/>
      </c>
      <c r="S539" s="15">
        <f t="shared" si="72"/>
        <v>0</v>
      </c>
      <c r="T539" s="16" t="str">
        <f>IF(S539=1, DATE(YEAR(Settings!$B$3), MONTH(D539), DAY(D539)), "")</f>
        <v/>
      </c>
      <c r="U539" s="15" t="str">
        <f>IF(S539=1,IFERROR(INDEX(Settings!$B$12:$B$41,MATCH($B539,Settings!$A$12:$A$41,0)),"N"),"")</f>
        <v/>
      </c>
      <c r="V539" s="15" t="str">
        <f>IF(S539=1,IFERROR(INDEX(Settings!$C$12:$C$41,MATCH($B539,Settings!$A$12:$A$41,0)),""),"")</f>
        <v/>
      </c>
      <c r="W539" s="17">
        <f>IF(S539=1,IFERROR(INDEX(Settings!$D$12:$D$41,MATCH($B539,Settings!$A$12:$A$41,0)),0),0)</f>
        <v>0</v>
      </c>
      <c r="X539" s="18">
        <f t="shared" si="73"/>
        <v>0</v>
      </c>
      <c r="Y539" s="18" t="str">
        <f t="shared" si="74"/>
        <v/>
      </c>
      <c r="Z539" s="15" t="str">
        <f>IF(S539=1,IFERROR(INDEX(Settings!$E$12:$E$41,MATCH($B539,Settings!$A$12:$A$41,0)),"N"),"")</f>
        <v/>
      </c>
      <c r="AA539" s="17">
        <f>IF(S539=1,IFERROR(INDEX(Settings!$F$12:$F$41,MATCH($B539,Settings!$A$12:$A$41,0)),0),0)</f>
        <v>0</v>
      </c>
      <c r="AB539" s="15">
        <f>IF(S539=1,IFERROR(INDEX(Settings!$G$12:$G$41,MATCH($B539,Settings!$A$12:$A$41,0)),0),0)</f>
        <v>0</v>
      </c>
      <c r="AC539" s="18" t="str">
        <f t="shared" si="75"/>
        <v/>
      </c>
      <c r="AD539" s="15" t="str">
        <f t="shared" si="76"/>
        <v/>
      </c>
      <c r="AE539" s="15" t="str">
        <f t="shared" si="77"/>
        <v/>
      </c>
      <c r="AF539" s="15" t="str">
        <f t="shared" si="78"/>
        <v/>
      </c>
      <c r="AG539" s="18">
        <f>IF(AND(S539=1,Z539="Y"),IF(Settings!$B$6="Percentage",IF(AD539=0,0,AC539*AA539*(N539/AD539)),IF(Settings!$B$6="Points",IF(AF539=0,0,AC539*(N539*AB539)/AF539),IF(Settings!$B$6="Equally",IF(AE539=0,0,AC539*N539/AE539),0))),0)</f>
        <v>0</v>
      </c>
      <c r="AH539" s="18" t="str">
        <f t="shared" si="79"/>
        <v/>
      </c>
      <c r="AI539" s="15">
        <f>IF(S539=1,IF(COUNTIFS($R$2:R539,R539,$S$2:S539,1)=1,1,0),0)</f>
        <v>0</v>
      </c>
      <c r="AJ539" s="15">
        <f>SUM($AI$2:AI539)</f>
        <v>12</v>
      </c>
    </row>
    <row r="540" spans="18:36">
      <c r="R540" s="15" t="str">
        <f t="shared" si="80"/>
        <v/>
      </c>
      <c r="S540" s="15">
        <f t="shared" si="72"/>
        <v>0</v>
      </c>
      <c r="T540" s="16" t="str">
        <f>IF(S540=1, DATE(YEAR(Settings!$B$3), MONTH(D540), DAY(D540)), "")</f>
        <v/>
      </c>
      <c r="U540" s="15" t="str">
        <f>IF(S540=1,IFERROR(INDEX(Settings!$B$12:$B$41,MATCH($B540,Settings!$A$12:$A$41,0)),"N"),"")</f>
        <v/>
      </c>
      <c r="V540" s="15" t="str">
        <f>IF(S540=1,IFERROR(INDEX(Settings!$C$12:$C$41,MATCH($B540,Settings!$A$12:$A$41,0)),""),"")</f>
        <v/>
      </c>
      <c r="W540" s="17">
        <f>IF(S540=1,IFERROR(INDEX(Settings!$D$12:$D$41,MATCH($B540,Settings!$A$12:$A$41,0)),0),0)</f>
        <v>0</v>
      </c>
      <c r="X540" s="18">
        <f t="shared" si="73"/>
        <v>0</v>
      </c>
      <c r="Y540" s="18" t="str">
        <f t="shared" si="74"/>
        <v/>
      </c>
      <c r="Z540" s="15" t="str">
        <f>IF(S540=1,IFERROR(INDEX(Settings!$E$12:$E$41,MATCH($B540,Settings!$A$12:$A$41,0)),"N"),"")</f>
        <v/>
      </c>
      <c r="AA540" s="17">
        <f>IF(S540=1,IFERROR(INDEX(Settings!$F$12:$F$41,MATCH($B540,Settings!$A$12:$A$41,0)),0),0)</f>
        <v>0</v>
      </c>
      <c r="AB540" s="15">
        <f>IF(S540=1,IFERROR(INDEX(Settings!$G$12:$G$41,MATCH($B540,Settings!$A$12:$A$41,0)),0),0)</f>
        <v>0</v>
      </c>
      <c r="AC540" s="18" t="str">
        <f t="shared" si="75"/>
        <v/>
      </c>
      <c r="AD540" s="15" t="str">
        <f t="shared" si="76"/>
        <v/>
      </c>
      <c r="AE540" s="15" t="str">
        <f t="shared" si="77"/>
        <v/>
      </c>
      <c r="AF540" s="15" t="str">
        <f t="shared" si="78"/>
        <v/>
      </c>
      <c r="AG540" s="18">
        <f>IF(AND(S540=1,Z540="Y"),IF(Settings!$B$6="Percentage",IF(AD540=0,0,AC540*AA540*(N540/AD540)),IF(Settings!$B$6="Points",IF(AF540=0,0,AC540*(N540*AB540)/AF540),IF(Settings!$B$6="Equally",IF(AE540=0,0,AC540*N540/AE540),0))),0)</f>
        <v>0</v>
      </c>
      <c r="AH540" s="18" t="str">
        <f t="shared" si="79"/>
        <v/>
      </c>
      <c r="AI540" s="15">
        <f>IF(S540=1,IF(COUNTIFS($R$2:R540,R540,$S$2:S540,1)=1,1,0),0)</f>
        <v>0</v>
      </c>
      <c r="AJ540" s="15">
        <f>SUM($AI$2:AI540)</f>
        <v>12</v>
      </c>
    </row>
    <row r="541" spans="18:36">
      <c r="R541" s="15" t="str">
        <f t="shared" si="80"/>
        <v/>
      </c>
      <c r="S541" s="15">
        <f t="shared" si="72"/>
        <v>0</v>
      </c>
      <c r="T541" s="16" t="str">
        <f>IF(S541=1, DATE(YEAR(Settings!$B$3), MONTH(D541), DAY(D541)), "")</f>
        <v/>
      </c>
      <c r="U541" s="15" t="str">
        <f>IF(S541=1,IFERROR(INDEX(Settings!$B$12:$B$41,MATCH($B541,Settings!$A$12:$A$41,0)),"N"),"")</f>
        <v/>
      </c>
      <c r="V541" s="15" t="str">
        <f>IF(S541=1,IFERROR(INDEX(Settings!$C$12:$C$41,MATCH($B541,Settings!$A$12:$A$41,0)),""),"")</f>
        <v/>
      </c>
      <c r="W541" s="17">
        <f>IF(S541=1,IFERROR(INDEX(Settings!$D$12:$D$41,MATCH($B541,Settings!$A$12:$A$41,0)),0),0)</f>
        <v>0</v>
      </c>
      <c r="X541" s="18">
        <f t="shared" si="73"/>
        <v>0</v>
      </c>
      <c r="Y541" s="18" t="str">
        <f t="shared" si="74"/>
        <v/>
      </c>
      <c r="Z541" s="15" t="str">
        <f>IF(S541=1,IFERROR(INDEX(Settings!$E$12:$E$41,MATCH($B541,Settings!$A$12:$A$41,0)),"N"),"")</f>
        <v/>
      </c>
      <c r="AA541" s="17">
        <f>IF(S541=1,IFERROR(INDEX(Settings!$F$12:$F$41,MATCH($B541,Settings!$A$12:$A$41,0)),0),0)</f>
        <v>0</v>
      </c>
      <c r="AB541" s="15">
        <f>IF(S541=1,IFERROR(INDEX(Settings!$G$12:$G$41,MATCH($B541,Settings!$A$12:$A$41,0)),0),0)</f>
        <v>0</v>
      </c>
      <c r="AC541" s="18" t="str">
        <f t="shared" si="75"/>
        <v/>
      </c>
      <c r="AD541" s="15" t="str">
        <f t="shared" si="76"/>
        <v/>
      </c>
      <c r="AE541" s="15" t="str">
        <f t="shared" si="77"/>
        <v/>
      </c>
      <c r="AF541" s="15" t="str">
        <f t="shared" si="78"/>
        <v/>
      </c>
      <c r="AG541" s="18">
        <f>IF(AND(S541=1,Z541="Y"),IF(Settings!$B$6="Percentage",IF(AD541=0,0,AC541*AA541*(N541/AD541)),IF(Settings!$B$6="Points",IF(AF541=0,0,AC541*(N541*AB541)/AF541),IF(Settings!$B$6="Equally",IF(AE541=0,0,AC541*N541/AE541),0))),0)</f>
        <v>0</v>
      </c>
      <c r="AH541" s="18" t="str">
        <f t="shared" si="79"/>
        <v/>
      </c>
      <c r="AI541" s="15">
        <f>IF(S541=1,IF(COUNTIFS($R$2:R541,R541,$S$2:S541,1)=1,1,0),0)</f>
        <v>0</v>
      </c>
      <c r="AJ541" s="15">
        <f>SUM($AI$2:AI541)</f>
        <v>12</v>
      </c>
    </row>
    <row r="542" spans="18:36">
      <c r="R542" s="15" t="str">
        <f t="shared" si="80"/>
        <v/>
      </c>
      <c r="S542" s="15">
        <f t="shared" si="72"/>
        <v>0</v>
      </c>
      <c r="T542" s="16" t="str">
        <f>IF(S542=1, DATE(YEAR(Settings!$B$3), MONTH(D542), DAY(D542)), "")</f>
        <v/>
      </c>
      <c r="U542" s="15" t="str">
        <f>IF(S542=1,IFERROR(INDEX(Settings!$B$12:$B$41,MATCH($B542,Settings!$A$12:$A$41,0)),"N"),"")</f>
        <v/>
      </c>
      <c r="V542" s="15" t="str">
        <f>IF(S542=1,IFERROR(INDEX(Settings!$C$12:$C$41,MATCH($B542,Settings!$A$12:$A$41,0)),""),"")</f>
        <v/>
      </c>
      <c r="W542" s="17">
        <f>IF(S542=1,IFERROR(INDEX(Settings!$D$12:$D$41,MATCH($B542,Settings!$A$12:$A$41,0)),0),0)</f>
        <v>0</v>
      </c>
      <c r="X542" s="18">
        <f t="shared" si="73"/>
        <v>0</v>
      </c>
      <c r="Y542" s="18" t="str">
        <f t="shared" si="74"/>
        <v/>
      </c>
      <c r="Z542" s="15" t="str">
        <f>IF(S542=1,IFERROR(INDEX(Settings!$E$12:$E$41,MATCH($B542,Settings!$A$12:$A$41,0)),"N"),"")</f>
        <v/>
      </c>
      <c r="AA542" s="17">
        <f>IF(S542=1,IFERROR(INDEX(Settings!$F$12:$F$41,MATCH($B542,Settings!$A$12:$A$41,0)),0),0)</f>
        <v>0</v>
      </c>
      <c r="AB542" s="15">
        <f>IF(S542=1,IFERROR(INDEX(Settings!$G$12:$G$41,MATCH($B542,Settings!$A$12:$A$41,0)),0),0)</f>
        <v>0</v>
      </c>
      <c r="AC542" s="18" t="str">
        <f t="shared" si="75"/>
        <v/>
      </c>
      <c r="AD542" s="15" t="str">
        <f t="shared" si="76"/>
        <v/>
      </c>
      <c r="AE542" s="15" t="str">
        <f t="shared" si="77"/>
        <v/>
      </c>
      <c r="AF542" s="15" t="str">
        <f t="shared" si="78"/>
        <v/>
      </c>
      <c r="AG542" s="18">
        <f>IF(AND(S542=1,Z542="Y"),IF(Settings!$B$6="Percentage",IF(AD542=0,0,AC542*AA542*(N542/AD542)),IF(Settings!$B$6="Points",IF(AF542=0,0,AC542*(N542*AB542)/AF542),IF(Settings!$B$6="Equally",IF(AE542=0,0,AC542*N542/AE542),0))),0)</f>
        <v>0</v>
      </c>
      <c r="AH542" s="18" t="str">
        <f t="shared" si="79"/>
        <v/>
      </c>
      <c r="AI542" s="15">
        <f>IF(S542=1,IF(COUNTIFS($R$2:R542,R542,$S$2:S542,1)=1,1,0),0)</f>
        <v>0</v>
      </c>
      <c r="AJ542" s="15">
        <f>SUM($AI$2:AI542)</f>
        <v>12</v>
      </c>
    </row>
    <row r="543" spans="18:36">
      <c r="R543" s="15" t="str">
        <f t="shared" si="80"/>
        <v/>
      </c>
      <c r="S543" s="15">
        <f t="shared" si="72"/>
        <v>0</v>
      </c>
      <c r="T543" s="16" t="str">
        <f>IF(S543=1, DATE(YEAR(Settings!$B$3), MONTH(D543), DAY(D543)), "")</f>
        <v/>
      </c>
      <c r="U543" s="15" t="str">
        <f>IF(S543=1,IFERROR(INDEX(Settings!$B$12:$B$41,MATCH($B543,Settings!$A$12:$A$41,0)),"N"),"")</f>
        <v/>
      </c>
      <c r="V543" s="15" t="str">
        <f>IF(S543=1,IFERROR(INDEX(Settings!$C$12:$C$41,MATCH($B543,Settings!$A$12:$A$41,0)),""),"")</f>
        <v/>
      </c>
      <c r="W543" s="17">
        <f>IF(S543=1,IFERROR(INDEX(Settings!$D$12:$D$41,MATCH($B543,Settings!$A$12:$A$41,0)),0),0)</f>
        <v>0</v>
      </c>
      <c r="X543" s="18">
        <f t="shared" si="73"/>
        <v>0</v>
      </c>
      <c r="Y543" s="18" t="str">
        <f t="shared" si="74"/>
        <v/>
      </c>
      <c r="Z543" s="15" t="str">
        <f>IF(S543=1,IFERROR(INDEX(Settings!$E$12:$E$41,MATCH($B543,Settings!$A$12:$A$41,0)),"N"),"")</f>
        <v/>
      </c>
      <c r="AA543" s="17">
        <f>IF(S543=1,IFERROR(INDEX(Settings!$F$12:$F$41,MATCH($B543,Settings!$A$12:$A$41,0)),0),0)</f>
        <v>0</v>
      </c>
      <c r="AB543" s="15">
        <f>IF(S543=1,IFERROR(INDEX(Settings!$G$12:$G$41,MATCH($B543,Settings!$A$12:$A$41,0)),0),0)</f>
        <v>0</v>
      </c>
      <c r="AC543" s="18" t="str">
        <f t="shared" si="75"/>
        <v/>
      </c>
      <c r="AD543" s="15" t="str">
        <f t="shared" si="76"/>
        <v/>
      </c>
      <c r="AE543" s="15" t="str">
        <f t="shared" si="77"/>
        <v/>
      </c>
      <c r="AF543" s="15" t="str">
        <f t="shared" si="78"/>
        <v/>
      </c>
      <c r="AG543" s="18">
        <f>IF(AND(S543=1,Z543="Y"),IF(Settings!$B$6="Percentage",IF(AD543=0,0,AC543*AA543*(N543/AD543)),IF(Settings!$B$6="Points",IF(AF543=0,0,AC543*(N543*AB543)/AF543),IF(Settings!$B$6="Equally",IF(AE543=0,0,AC543*N543/AE543),0))),0)</f>
        <v>0</v>
      </c>
      <c r="AH543" s="18" t="str">
        <f t="shared" si="79"/>
        <v/>
      </c>
      <c r="AI543" s="15">
        <f>IF(S543=1,IF(COUNTIFS($R$2:R543,R543,$S$2:S543,1)=1,1,0),0)</f>
        <v>0</v>
      </c>
      <c r="AJ543" s="15">
        <f>SUM($AI$2:AI543)</f>
        <v>12</v>
      </c>
    </row>
    <row r="544" spans="18:36">
      <c r="R544" s="15" t="str">
        <f t="shared" si="80"/>
        <v/>
      </c>
      <c r="S544" s="15">
        <f t="shared" si="72"/>
        <v>0</v>
      </c>
      <c r="T544" s="16" t="str">
        <f>IF(S544=1, DATE(YEAR(Settings!$B$3), MONTH(D544), DAY(D544)), "")</f>
        <v/>
      </c>
      <c r="U544" s="15" t="str">
        <f>IF(S544=1,IFERROR(INDEX(Settings!$B$12:$B$41,MATCH($B544,Settings!$A$12:$A$41,0)),"N"),"")</f>
        <v/>
      </c>
      <c r="V544" s="15" t="str">
        <f>IF(S544=1,IFERROR(INDEX(Settings!$C$12:$C$41,MATCH($B544,Settings!$A$12:$A$41,0)),""),"")</f>
        <v/>
      </c>
      <c r="W544" s="17">
        <f>IF(S544=1,IFERROR(INDEX(Settings!$D$12:$D$41,MATCH($B544,Settings!$A$12:$A$41,0)),0),0)</f>
        <v>0</v>
      </c>
      <c r="X544" s="18">
        <f t="shared" si="73"/>
        <v>0</v>
      </c>
      <c r="Y544" s="18" t="str">
        <f t="shared" si="74"/>
        <v/>
      </c>
      <c r="Z544" s="15" t="str">
        <f>IF(S544=1,IFERROR(INDEX(Settings!$E$12:$E$41,MATCH($B544,Settings!$A$12:$A$41,0)),"N"),"")</f>
        <v/>
      </c>
      <c r="AA544" s="17">
        <f>IF(S544=1,IFERROR(INDEX(Settings!$F$12:$F$41,MATCH($B544,Settings!$A$12:$A$41,0)),0),0)</f>
        <v>0</v>
      </c>
      <c r="AB544" s="15">
        <f>IF(S544=1,IFERROR(INDEX(Settings!$G$12:$G$41,MATCH($B544,Settings!$A$12:$A$41,0)),0),0)</f>
        <v>0</v>
      </c>
      <c r="AC544" s="18" t="str">
        <f t="shared" si="75"/>
        <v/>
      </c>
      <c r="AD544" s="15" t="str">
        <f t="shared" si="76"/>
        <v/>
      </c>
      <c r="AE544" s="15" t="str">
        <f t="shared" si="77"/>
        <v/>
      </c>
      <c r="AF544" s="15" t="str">
        <f t="shared" si="78"/>
        <v/>
      </c>
      <c r="AG544" s="18">
        <f>IF(AND(S544=1,Z544="Y"),IF(Settings!$B$6="Percentage",IF(AD544=0,0,AC544*AA544*(N544/AD544)),IF(Settings!$B$6="Points",IF(AF544=0,0,AC544*(N544*AB544)/AF544),IF(Settings!$B$6="Equally",IF(AE544=0,0,AC544*N544/AE544),0))),0)</f>
        <v>0</v>
      </c>
      <c r="AH544" s="18" t="str">
        <f t="shared" si="79"/>
        <v/>
      </c>
      <c r="AI544" s="15">
        <f>IF(S544=1,IF(COUNTIFS($R$2:R544,R544,$S$2:S544,1)=1,1,0),0)</f>
        <v>0</v>
      </c>
      <c r="AJ544" s="15">
        <f>SUM($AI$2:AI544)</f>
        <v>12</v>
      </c>
    </row>
    <row r="545" spans="18:36">
      <c r="R545" s="15" t="str">
        <f t="shared" si="80"/>
        <v/>
      </c>
      <c r="S545" s="15">
        <f t="shared" si="72"/>
        <v>0</v>
      </c>
      <c r="T545" s="16" t="str">
        <f>IF(S545=1, DATE(YEAR(Settings!$B$3), MONTH(D545), DAY(D545)), "")</f>
        <v/>
      </c>
      <c r="U545" s="15" t="str">
        <f>IF(S545=1,IFERROR(INDEX(Settings!$B$12:$B$41,MATCH($B545,Settings!$A$12:$A$41,0)),"N"),"")</f>
        <v/>
      </c>
      <c r="V545" s="15" t="str">
        <f>IF(S545=1,IFERROR(INDEX(Settings!$C$12:$C$41,MATCH($B545,Settings!$A$12:$A$41,0)),""),"")</f>
        <v/>
      </c>
      <c r="W545" s="17">
        <f>IF(S545=1,IFERROR(INDEX(Settings!$D$12:$D$41,MATCH($B545,Settings!$A$12:$A$41,0)),0),0)</f>
        <v>0</v>
      </c>
      <c r="X545" s="18">
        <f t="shared" si="73"/>
        <v>0</v>
      </c>
      <c r="Y545" s="18" t="str">
        <f t="shared" si="74"/>
        <v/>
      </c>
      <c r="Z545" s="15" t="str">
        <f>IF(S545=1,IFERROR(INDEX(Settings!$E$12:$E$41,MATCH($B545,Settings!$A$12:$A$41,0)),"N"),"")</f>
        <v/>
      </c>
      <c r="AA545" s="17">
        <f>IF(S545=1,IFERROR(INDEX(Settings!$F$12:$F$41,MATCH($B545,Settings!$A$12:$A$41,0)),0),0)</f>
        <v>0</v>
      </c>
      <c r="AB545" s="15">
        <f>IF(S545=1,IFERROR(INDEX(Settings!$G$12:$G$41,MATCH($B545,Settings!$A$12:$A$41,0)),0),0)</f>
        <v>0</v>
      </c>
      <c r="AC545" s="18" t="str">
        <f t="shared" si="75"/>
        <v/>
      </c>
      <c r="AD545" s="15" t="str">
        <f t="shared" si="76"/>
        <v/>
      </c>
      <c r="AE545" s="15" t="str">
        <f t="shared" si="77"/>
        <v/>
      </c>
      <c r="AF545" s="15" t="str">
        <f t="shared" si="78"/>
        <v/>
      </c>
      <c r="AG545" s="18">
        <f>IF(AND(S545=1,Z545="Y"),IF(Settings!$B$6="Percentage",IF(AD545=0,0,AC545*AA545*(N545/AD545)),IF(Settings!$B$6="Points",IF(AF545=0,0,AC545*(N545*AB545)/AF545),IF(Settings!$B$6="Equally",IF(AE545=0,0,AC545*N545/AE545),0))),0)</f>
        <v>0</v>
      </c>
      <c r="AH545" s="18" t="str">
        <f t="shared" si="79"/>
        <v/>
      </c>
      <c r="AI545" s="15">
        <f>IF(S545=1,IF(COUNTIFS($R$2:R545,R545,$S$2:S545,1)=1,1,0),0)</f>
        <v>0</v>
      </c>
      <c r="AJ545" s="15">
        <f>SUM($AI$2:AI545)</f>
        <v>12</v>
      </c>
    </row>
    <row r="546" spans="18:36">
      <c r="R546" s="15" t="str">
        <f t="shared" si="80"/>
        <v/>
      </c>
      <c r="S546" s="15">
        <f t="shared" si="72"/>
        <v>0</v>
      </c>
      <c r="T546" s="16" t="str">
        <f>IF(S546=1, DATE(YEAR(Settings!$B$3), MONTH(D546), DAY(D546)), "")</f>
        <v/>
      </c>
      <c r="U546" s="15" t="str">
        <f>IF(S546=1,IFERROR(INDEX(Settings!$B$12:$B$41,MATCH($B546,Settings!$A$12:$A$41,0)),"N"),"")</f>
        <v/>
      </c>
      <c r="V546" s="15" t="str">
        <f>IF(S546=1,IFERROR(INDEX(Settings!$C$12:$C$41,MATCH($B546,Settings!$A$12:$A$41,0)),""),"")</f>
        <v/>
      </c>
      <c r="W546" s="17">
        <f>IF(S546=1,IFERROR(INDEX(Settings!$D$12:$D$41,MATCH($B546,Settings!$A$12:$A$41,0)),0),0)</f>
        <v>0</v>
      </c>
      <c r="X546" s="18">
        <f t="shared" si="73"/>
        <v>0</v>
      </c>
      <c r="Y546" s="18" t="str">
        <f t="shared" si="74"/>
        <v/>
      </c>
      <c r="Z546" s="15" t="str">
        <f>IF(S546=1,IFERROR(INDEX(Settings!$E$12:$E$41,MATCH($B546,Settings!$A$12:$A$41,0)),"N"),"")</f>
        <v/>
      </c>
      <c r="AA546" s="17">
        <f>IF(S546=1,IFERROR(INDEX(Settings!$F$12:$F$41,MATCH($B546,Settings!$A$12:$A$41,0)),0),0)</f>
        <v>0</v>
      </c>
      <c r="AB546" s="15">
        <f>IF(S546=1,IFERROR(INDEX(Settings!$G$12:$G$41,MATCH($B546,Settings!$A$12:$A$41,0)),0),0)</f>
        <v>0</v>
      </c>
      <c r="AC546" s="18" t="str">
        <f t="shared" si="75"/>
        <v/>
      </c>
      <c r="AD546" s="15" t="str">
        <f t="shared" si="76"/>
        <v/>
      </c>
      <c r="AE546" s="15" t="str">
        <f t="shared" si="77"/>
        <v/>
      </c>
      <c r="AF546" s="15" t="str">
        <f t="shared" si="78"/>
        <v/>
      </c>
      <c r="AG546" s="18">
        <f>IF(AND(S546=1,Z546="Y"),IF(Settings!$B$6="Percentage",IF(AD546=0,0,AC546*AA546*(N546/AD546)),IF(Settings!$B$6="Points",IF(AF546=0,0,AC546*(N546*AB546)/AF546),IF(Settings!$B$6="Equally",IF(AE546=0,0,AC546*N546/AE546),0))),0)</f>
        <v>0</v>
      </c>
      <c r="AH546" s="18" t="str">
        <f t="shared" si="79"/>
        <v/>
      </c>
      <c r="AI546" s="15">
        <f>IF(S546=1,IF(COUNTIFS($R$2:R546,R546,$S$2:S546,1)=1,1,0),0)</f>
        <v>0</v>
      </c>
      <c r="AJ546" s="15">
        <f>SUM($AI$2:AI546)</f>
        <v>12</v>
      </c>
    </row>
    <row r="547" spans="18:36">
      <c r="R547" s="15" t="str">
        <f t="shared" si="80"/>
        <v/>
      </c>
      <c r="S547" s="15">
        <f t="shared" si="72"/>
        <v>0</v>
      </c>
      <c r="T547" s="16" t="str">
        <f>IF(S547=1, DATE(YEAR(Settings!$B$3), MONTH(D547), DAY(D547)), "")</f>
        <v/>
      </c>
      <c r="U547" s="15" t="str">
        <f>IF(S547=1,IFERROR(INDEX(Settings!$B$12:$B$41,MATCH($B547,Settings!$A$12:$A$41,0)),"N"),"")</f>
        <v/>
      </c>
      <c r="V547" s="15" t="str">
        <f>IF(S547=1,IFERROR(INDEX(Settings!$C$12:$C$41,MATCH($B547,Settings!$A$12:$A$41,0)),""),"")</f>
        <v/>
      </c>
      <c r="W547" s="17">
        <f>IF(S547=1,IFERROR(INDEX(Settings!$D$12:$D$41,MATCH($B547,Settings!$A$12:$A$41,0)),0),0)</f>
        <v>0</v>
      </c>
      <c r="X547" s="18">
        <f t="shared" si="73"/>
        <v>0</v>
      </c>
      <c r="Y547" s="18" t="str">
        <f t="shared" si="74"/>
        <v/>
      </c>
      <c r="Z547" s="15" t="str">
        <f>IF(S547=1,IFERROR(INDEX(Settings!$E$12:$E$41,MATCH($B547,Settings!$A$12:$A$41,0)),"N"),"")</f>
        <v/>
      </c>
      <c r="AA547" s="17">
        <f>IF(S547=1,IFERROR(INDEX(Settings!$F$12:$F$41,MATCH($B547,Settings!$A$12:$A$41,0)),0),0)</f>
        <v>0</v>
      </c>
      <c r="AB547" s="15">
        <f>IF(S547=1,IFERROR(INDEX(Settings!$G$12:$G$41,MATCH($B547,Settings!$A$12:$A$41,0)),0),0)</f>
        <v>0</v>
      </c>
      <c r="AC547" s="18" t="str">
        <f t="shared" si="75"/>
        <v/>
      </c>
      <c r="AD547" s="15" t="str">
        <f t="shared" si="76"/>
        <v/>
      </c>
      <c r="AE547" s="15" t="str">
        <f t="shared" si="77"/>
        <v/>
      </c>
      <c r="AF547" s="15" t="str">
        <f t="shared" si="78"/>
        <v/>
      </c>
      <c r="AG547" s="18">
        <f>IF(AND(S547=1,Z547="Y"),IF(Settings!$B$6="Percentage",IF(AD547=0,0,AC547*AA547*(N547/AD547)),IF(Settings!$B$6="Points",IF(AF547=0,0,AC547*(N547*AB547)/AF547),IF(Settings!$B$6="Equally",IF(AE547=0,0,AC547*N547/AE547),0))),0)</f>
        <v>0</v>
      </c>
      <c r="AH547" s="18" t="str">
        <f t="shared" si="79"/>
        <v/>
      </c>
      <c r="AI547" s="15">
        <f>IF(S547=1,IF(COUNTIFS($R$2:R547,R547,$S$2:S547,1)=1,1,0),0)</f>
        <v>0</v>
      </c>
      <c r="AJ547" s="15">
        <f>SUM($AI$2:AI547)</f>
        <v>12</v>
      </c>
    </row>
    <row r="548" spans="18:36">
      <c r="R548" s="15" t="str">
        <f t="shared" si="80"/>
        <v/>
      </c>
      <c r="S548" s="15">
        <f t="shared" si="72"/>
        <v>0</v>
      </c>
      <c r="T548" s="16" t="str">
        <f>IF(S548=1, DATE(YEAR(Settings!$B$3), MONTH(D548), DAY(D548)), "")</f>
        <v/>
      </c>
      <c r="U548" s="15" t="str">
        <f>IF(S548=1,IFERROR(INDEX(Settings!$B$12:$B$41,MATCH($B548,Settings!$A$12:$A$41,0)),"N"),"")</f>
        <v/>
      </c>
      <c r="V548" s="15" t="str">
        <f>IF(S548=1,IFERROR(INDEX(Settings!$C$12:$C$41,MATCH($B548,Settings!$A$12:$A$41,0)),""),"")</f>
        <v/>
      </c>
      <c r="W548" s="17">
        <f>IF(S548=1,IFERROR(INDEX(Settings!$D$12:$D$41,MATCH($B548,Settings!$A$12:$A$41,0)),0),0)</f>
        <v>0</v>
      </c>
      <c r="X548" s="18">
        <f t="shared" si="73"/>
        <v>0</v>
      </c>
      <c r="Y548" s="18" t="str">
        <f t="shared" si="74"/>
        <v/>
      </c>
      <c r="Z548" s="15" t="str">
        <f>IF(S548=1,IFERROR(INDEX(Settings!$E$12:$E$41,MATCH($B548,Settings!$A$12:$A$41,0)),"N"),"")</f>
        <v/>
      </c>
      <c r="AA548" s="17">
        <f>IF(S548=1,IFERROR(INDEX(Settings!$F$12:$F$41,MATCH($B548,Settings!$A$12:$A$41,0)),0),0)</f>
        <v>0</v>
      </c>
      <c r="AB548" s="15">
        <f>IF(S548=1,IFERROR(INDEX(Settings!$G$12:$G$41,MATCH($B548,Settings!$A$12:$A$41,0)),0),0)</f>
        <v>0</v>
      </c>
      <c r="AC548" s="18" t="str">
        <f t="shared" si="75"/>
        <v/>
      </c>
      <c r="AD548" s="15" t="str">
        <f t="shared" si="76"/>
        <v/>
      </c>
      <c r="AE548" s="15" t="str">
        <f t="shared" si="77"/>
        <v/>
      </c>
      <c r="AF548" s="15" t="str">
        <f t="shared" si="78"/>
        <v/>
      </c>
      <c r="AG548" s="18">
        <f>IF(AND(S548=1,Z548="Y"),IF(Settings!$B$6="Percentage",IF(AD548=0,0,AC548*AA548*(N548/AD548)),IF(Settings!$B$6="Points",IF(AF548=0,0,AC548*(N548*AB548)/AF548),IF(Settings!$B$6="Equally",IF(AE548=0,0,AC548*N548/AE548),0))),0)</f>
        <v>0</v>
      </c>
      <c r="AH548" s="18" t="str">
        <f t="shared" si="79"/>
        <v/>
      </c>
      <c r="AI548" s="15">
        <f>IF(S548=1,IF(COUNTIFS($R$2:R548,R548,$S$2:S548,1)=1,1,0),0)</f>
        <v>0</v>
      </c>
      <c r="AJ548" s="15">
        <f>SUM($AI$2:AI548)</f>
        <v>12</v>
      </c>
    </row>
    <row r="549" spans="18:36">
      <c r="R549" s="15" t="str">
        <f t="shared" si="80"/>
        <v/>
      </c>
      <c r="S549" s="15">
        <f t="shared" si="72"/>
        <v>0</v>
      </c>
      <c r="T549" s="16" t="str">
        <f>IF(S549=1, DATE(YEAR(Settings!$B$3), MONTH(D549), DAY(D549)), "")</f>
        <v/>
      </c>
      <c r="U549" s="15" t="str">
        <f>IF(S549=1,IFERROR(INDEX(Settings!$B$12:$B$41,MATCH($B549,Settings!$A$12:$A$41,0)),"N"),"")</f>
        <v/>
      </c>
      <c r="V549" s="15" t="str">
        <f>IF(S549=1,IFERROR(INDEX(Settings!$C$12:$C$41,MATCH($B549,Settings!$A$12:$A$41,0)),""),"")</f>
        <v/>
      </c>
      <c r="W549" s="17">
        <f>IF(S549=1,IFERROR(INDEX(Settings!$D$12:$D$41,MATCH($B549,Settings!$A$12:$A$41,0)),0),0)</f>
        <v>0</v>
      </c>
      <c r="X549" s="18">
        <f t="shared" si="73"/>
        <v>0</v>
      </c>
      <c r="Y549" s="18" t="str">
        <f t="shared" si="74"/>
        <v/>
      </c>
      <c r="Z549" s="15" t="str">
        <f>IF(S549=1,IFERROR(INDEX(Settings!$E$12:$E$41,MATCH($B549,Settings!$A$12:$A$41,0)),"N"),"")</f>
        <v/>
      </c>
      <c r="AA549" s="17">
        <f>IF(S549=1,IFERROR(INDEX(Settings!$F$12:$F$41,MATCH($B549,Settings!$A$12:$A$41,0)),0),0)</f>
        <v>0</v>
      </c>
      <c r="AB549" s="15">
        <f>IF(S549=1,IFERROR(INDEX(Settings!$G$12:$G$41,MATCH($B549,Settings!$A$12:$A$41,0)),0),0)</f>
        <v>0</v>
      </c>
      <c r="AC549" s="18" t="str">
        <f t="shared" si="75"/>
        <v/>
      </c>
      <c r="AD549" s="15" t="str">
        <f t="shared" si="76"/>
        <v/>
      </c>
      <c r="AE549" s="15" t="str">
        <f t="shared" si="77"/>
        <v/>
      </c>
      <c r="AF549" s="15" t="str">
        <f t="shared" si="78"/>
        <v/>
      </c>
      <c r="AG549" s="18">
        <f>IF(AND(S549=1,Z549="Y"),IF(Settings!$B$6="Percentage",IF(AD549=0,0,AC549*AA549*(N549/AD549)),IF(Settings!$B$6="Points",IF(AF549=0,0,AC549*(N549*AB549)/AF549),IF(Settings!$B$6="Equally",IF(AE549=0,0,AC549*N549/AE549),0))),0)</f>
        <v>0</v>
      </c>
      <c r="AH549" s="18" t="str">
        <f t="shared" si="79"/>
        <v/>
      </c>
      <c r="AI549" s="15">
        <f>IF(S549=1,IF(COUNTIFS($R$2:R549,R549,$S$2:S549,1)=1,1,0),0)</f>
        <v>0</v>
      </c>
      <c r="AJ549" s="15">
        <f>SUM($AI$2:AI549)</f>
        <v>12</v>
      </c>
    </row>
    <row r="550" spans="18:36">
      <c r="R550" s="15" t="str">
        <f t="shared" si="80"/>
        <v/>
      </c>
      <c r="S550" s="15">
        <f t="shared" si="72"/>
        <v>0</v>
      </c>
      <c r="T550" s="16" t="str">
        <f>IF(S550=1, DATE(YEAR(Settings!$B$3), MONTH(D550), DAY(D550)), "")</f>
        <v/>
      </c>
      <c r="U550" s="15" t="str">
        <f>IF(S550=1,IFERROR(INDEX(Settings!$B$12:$B$41,MATCH($B550,Settings!$A$12:$A$41,0)),"N"),"")</f>
        <v/>
      </c>
      <c r="V550" s="15" t="str">
        <f>IF(S550=1,IFERROR(INDEX(Settings!$C$12:$C$41,MATCH($B550,Settings!$A$12:$A$41,0)),""),"")</f>
        <v/>
      </c>
      <c r="W550" s="17">
        <f>IF(S550=1,IFERROR(INDEX(Settings!$D$12:$D$41,MATCH($B550,Settings!$A$12:$A$41,0)),0),0)</f>
        <v>0</v>
      </c>
      <c r="X550" s="18">
        <f t="shared" si="73"/>
        <v>0</v>
      </c>
      <c r="Y550" s="18" t="str">
        <f t="shared" si="74"/>
        <v/>
      </c>
      <c r="Z550" s="15" t="str">
        <f>IF(S550=1,IFERROR(INDEX(Settings!$E$12:$E$41,MATCH($B550,Settings!$A$12:$A$41,0)),"N"),"")</f>
        <v/>
      </c>
      <c r="AA550" s="17">
        <f>IF(S550=1,IFERROR(INDEX(Settings!$F$12:$F$41,MATCH($B550,Settings!$A$12:$A$41,0)),0),0)</f>
        <v>0</v>
      </c>
      <c r="AB550" s="15">
        <f>IF(S550=1,IFERROR(INDEX(Settings!$G$12:$G$41,MATCH($B550,Settings!$A$12:$A$41,0)),0),0)</f>
        <v>0</v>
      </c>
      <c r="AC550" s="18" t="str">
        <f t="shared" si="75"/>
        <v/>
      </c>
      <c r="AD550" s="15" t="str">
        <f t="shared" si="76"/>
        <v/>
      </c>
      <c r="AE550" s="15" t="str">
        <f t="shared" si="77"/>
        <v/>
      </c>
      <c r="AF550" s="15" t="str">
        <f t="shared" si="78"/>
        <v/>
      </c>
      <c r="AG550" s="18">
        <f>IF(AND(S550=1,Z550="Y"),IF(Settings!$B$6="Percentage",IF(AD550=0,0,AC550*AA550*(N550/AD550)),IF(Settings!$B$6="Points",IF(AF550=0,0,AC550*(N550*AB550)/AF550),IF(Settings!$B$6="Equally",IF(AE550=0,0,AC550*N550/AE550),0))),0)</f>
        <v>0</v>
      </c>
      <c r="AH550" s="18" t="str">
        <f t="shared" si="79"/>
        <v/>
      </c>
      <c r="AI550" s="15">
        <f>IF(S550=1,IF(COUNTIFS($R$2:R550,R550,$S$2:S550,1)=1,1,0),0)</f>
        <v>0</v>
      </c>
      <c r="AJ550" s="15">
        <f>SUM($AI$2:AI550)</f>
        <v>12</v>
      </c>
    </row>
    <row r="551" spans="18:36">
      <c r="R551" s="15" t="str">
        <f t="shared" si="80"/>
        <v/>
      </c>
      <c r="S551" s="15">
        <f t="shared" si="72"/>
        <v>0</v>
      </c>
      <c r="T551" s="16" t="str">
        <f>IF(S551=1, DATE(YEAR(Settings!$B$3), MONTH(D551), DAY(D551)), "")</f>
        <v/>
      </c>
      <c r="U551" s="15" t="str">
        <f>IF(S551=1,IFERROR(INDEX(Settings!$B$12:$B$41,MATCH($B551,Settings!$A$12:$A$41,0)),"N"),"")</f>
        <v/>
      </c>
      <c r="V551" s="15" t="str">
        <f>IF(S551=1,IFERROR(INDEX(Settings!$C$12:$C$41,MATCH($B551,Settings!$A$12:$A$41,0)),""),"")</f>
        <v/>
      </c>
      <c r="W551" s="17">
        <f>IF(S551=1,IFERROR(INDEX(Settings!$D$12:$D$41,MATCH($B551,Settings!$A$12:$A$41,0)),0),0)</f>
        <v>0</v>
      </c>
      <c r="X551" s="18">
        <f t="shared" si="73"/>
        <v>0</v>
      </c>
      <c r="Y551" s="18" t="str">
        <f t="shared" si="74"/>
        <v/>
      </c>
      <c r="Z551" s="15" t="str">
        <f>IF(S551=1,IFERROR(INDEX(Settings!$E$12:$E$41,MATCH($B551,Settings!$A$12:$A$41,0)),"N"),"")</f>
        <v/>
      </c>
      <c r="AA551" s="17">
        <f>IF(S551=1,IFERROR(INDEX(Settings!$F$12:$F$41,MATCH($B551,Settings!$A$12:$A$41,0)),0),0)</f>
        <v>0</v>
      </c>
      <c r="AB551" s="15">
        <f>IF(S551=1,IFERROR(INDEX(Settings!$G$12:$G$41,MATCH($B551,Settings!$A$12:$A$41,0)),0),0)</f>
        <v>0</v>
      </c>
      <c r="AC551" s="18" t="str">
        <f t="shared" si="75"/>
        <v/>
      </c>
      <c r="AD551" s="15" t="str">
        <f t="shared" si="76"/>
        <v/>
      </c>
      <c r="AE551" s="15" t="str">
        <f t="shared" si="77"/>
        <v/>
      </c>
      <c r="AF551" s="15" t="str">
        <f t="shared" si="78"/>
        <v/>
      </c>
      <c r="AG551" s="18">
        <f>IF(AND(S551=1,Z551="Y"),IF(Settings!$B$6="Percentage",IF(AD551=0,0,AC551*AA551*(N551/AD551)),IF(Settings!$B$6="Points",IF(AF551=0,0,AC551*(N551*AB551)/AF551),IF(Settings!$B$6="Equally",IF(AE551=0,0,AC551*N551/AE551),0))),0)</f>
        <v>0</v>
      </c>
      <c r="AH551" s="18" t="str">
        <f t="shared" si="79"/>
        <v/>
      </c>
      <c r="AI551" s="15">
        <f>IF(S551=1,IF(COUNTIFS($R$2:R551,R551,$S$2:S551,1)=1,1,0),0)</f>
        <v>0</v>
      </c>
      <c r="AJ551" s="15">
        <f>SUM($AI$2:AI551)</f>
        <v>12</v>
      </c>
    </row>
    <row r="552" spans="18:36">
      <c r="R552" s="15" t="str">
        <f t="shared" si="80"/>
        <v/>
      </c>
      <c r="S552" s="15">
        <f t="shared" si="72"/>
        <v>0</v>
      </c>
      <c r="T552" s="16" t="str">
        <f>IF(S552=1, DATE(YEAR(Settings!$B$3), MONTH(D552), DAY(D552)), "")</f>
        <v/>
      </c>
      <c r="U552" s="15" t="str">
        <f>IF(S552=1,IFERROR(INDEX(Settings!$B$12:$B$41,MATCH($B552,Settings!$A$12:$A$41,0)),"N"),"")</f>
        <v/>
      </c>
      <c r="V552" s="15" t="str">
        <f>IF(S552=1,IFERROR(INDEX(Settings!$C$12:$C$41,MATCH($B552,Settings!$A$12:$A$41,0)),""),"")</f>
        <v/>
      </c>
      <c r="W552" s="17">
        <f>IF(S552=1,IFERROR(INDEX(Settings!$D$12:$D$41,MATCH($B552,Settings!$A$12:$A$41,0)),0),0)</f>
        <v>0</v>
      </c>
      <c r="X552" s="18">
        <f t="shared" si="73"/>
        <v>0</v>
      </c>
      <c r="Y552" s="18" t="str">
        <f t="shared" si="74"/>
        <v/>
      </c>
      <c r="Z552" s="15" t="str">
        <f>IF(S552=1,IFERROR(INDEX(Settings!$E$12:$E$41,MATCH($B552,Settings!$A$12:$A$41,0)),"N"),"")</f>
        <v/>
      </c>
      <c r="AA552" s="17">
        <f>IF(S552=1,IFERROR(INDEX(Settings!$F$12:$F$41,MATCH($B552,Settings!$A$12:$A$41,0)),0),0)</f>
        <v>0</v>
      </c>
      <c r="AB552" s="15">
        <f>IF(S552=1,IFERROR(INDEX(Settings!$G$12:$G$41,MATCH($B552,Settings!$A$12:$A$41,0)),0),0)</f>
        <v>0</v>
      </c>
      <c r="AC552" s="18" t="str">
        <f t="shared" si="75"/>
        <v/>
      </c>
      <c r="AD552" s="15" t="str">
        <f t="shared" si="76"/>
        <v/>
      </c>
      <c r="AE552" s="15" t="str">
        <f t="shared" si="77"/>
        <v/>
      </c>
      <c r="AF552" s="15" t="str">
        <f t="shared" si="78"/>
        <v/>
      </c>
      <c r="AG552" s="18">
        <f>IF(AND(S552=1,Z552="Y"),IF(Settings!$B$6="Percentage",IF(AD552=0,0,AC552*AA552*(N552/AD552)),IF(Settings!$B$6="Points",IF(AF552=0,0,AC552*(N552*AB552)/AF552),IF(Settings!$B$6="Equally",IF(AE552=0,0,AC552*N552/AE552),0))),0)</f>
        <v>0</v>
      </c>
      <c r="AH552" s="18" t="str">
        <f t="shared" si="79"/>
        <v/>
      </c>
      <c r="AI552" s="15">
        <f>IF(S552=1,IF(COUNTIFS($R$2:R552,R552,$S$2:S552,1)=1,1,0),0)</f>
        <v>0</v>
      </c>
      <c r="AJ552" s="15">
        <f>SUM($AI$2:AI552)</f>
        <v>12</v>
      </c>
    </row>
    <row r="553" spans="18:36">
      <c r="R553" s="15" t="str">
        <f t="shared" si="80"/>
        <v/>
      </c>
      <c r="S553" s="15">
        <f t="shared" si="72"/>
        <v>0</v>
      </c>
      <c r="T553" s="16" t="str">
        <f>IF(S553=1, DATE(YEAR(Settings!$B$3), MONTH(D553), DAY(D553)), "")</f>
        <v/>
      </c>
      <c r="U553" s="15" t="str">
        <f>IF(S553=1,IFERROR(INDEX(Settings!$B$12:$B$41,MATCH($B553,Settings!$A$12:$A$41,0)),"N"),"")</f>
        <v/>
      </c>
      <c r="V553" s="15" t="str">
        <f>IF(S553=1,IFERROR(INDEX(Settings!$C$12:$C$41,MATCH($B553,Settings!$A$12:$A$41,0)),""),"")</f>
        <v/>
      </c>
      <c r="W553" s="17">
        <f>IF(S553=1,IFERROR(INDEX(Settings!$D$12:$D$41,MATCH($B553,Settings!$A$12:$A$41,0)),0),0)</f>
        <v>0</v>
      </c>
      <c r="X553" s="18">
        <f t="shared" si="73"/>
        <v>0</v>
      </c>
      <c r="Y553" s="18" t="str">
        <f t="shared" si="74"/>
        <v/>
      </c>
      <c r="Z553" s="15" t="str">
        <f>IF(S553=1,IFERROR(INDEX(Settings!$E$12:$E$41,MATCH($B553,Settings!$A$12:$A$41,0)),"N"),"")</f>
        <v/>
      </c>
      <c r="AA553" s="17">
        <f>IF(S553=1,IFERROR(INDEX(Settings!$F$12:$F$41,MATCH($B553,Settings!$A$12:$A$41,0)),0),0)</f>
        <v>0</v>
      </c>
      <c r="AB553" s="15">
        <f>IF(S553=1,IFERROR(INDEX(Settings!$G$12:$G$41,MATCH($B553,Settings!$A$12:$A$41,0)),0),0)</f>
        <v>0</v>
      </c>
      <c r="AC553" s="18" t="str">
        <f t="shared" si="75"/>
        <v/>
      </c>
      <c r="AD553" s="15" t="str">
        <f t="shared" si="76"/>
        <v/>
      </c>
      <c r="AE553" s="15" t="str">
        <f t="shared" si="77"/>
        <v/>
      </c>
      <c r="AF553" s="15" t="str">
        <f t="shared" si="78"/>
        <v/>
      </c>
      <c r="AG553" s="18">
        <f>IF(AND(S553=1,Z553="Y"),IF(Settings!$B$6="Percentage",IF(AD553=0,0,AC553*AA553*(N553/AD553)),IF(Settings!$B$6="Points",IF(AF553=0,0,AC553*(N553*AB553)/AF553),IF(Settings!$B$6="Equally",IF(AE553=0,0,AC553*N553/AE553),0))),0)</f>
        <v>0</v>
      </c>
      <c r="AH553" s="18" t="str">
        <f t="shared" si="79"/>
        <v/>
      </c>
      <c r="AI553" s="15">
        <f>IF(S553=1,IF(COUNTIFS($R$2:R553,R553,$S$2:S553,1)=1,1,0),0)</f>
        <v>0</v>
      </c>
      <c r="AJ553" s="15">
        <f>SUM($AI$2:AI553)</f>
        <v>12</v>
      </c>
    </row>
    <row r="554" spans="18:36">
      <c r="R554" s="15" t="str">
        <f t="shared" si="80"/>
        <v/>
      </c>
      <c r="S554" s="15">
        <f t="shared" si="72"/>
        <v>0</v>
      </c>
      <c r="T554" s="16" t="str">
        <f>IF(S554=1, DATE(YEAR(Settings!$B$3), MONTH(D554), DAY(D554)), "")</f>
        <v/>
      </c>
      <c r="U554" s="15" t="str">
        <f>IF(S554=1,IFERROR(INDEX(Settings!$B$12:$B$41,MATCH($B554,Settings!$A$12:$A$41,0)),"N"),"")</f>
        <v/>
      </c>
      <c r="V554" s="15" t="str">
        <f>IF(S554=1,IFERROR(INDEX(Settings!$C$12:$C$41,MATCH($B554,Settings!$A$12:$A$41,0)),""),"")</f>
        <v/>
      </c>
      <c r="W554" s="17">
        <f>IF(S554=1,IFERROR(INDEX(Settings!$D$12:$D$41,MATCH($B554,Settings!$A$12:$A$41,0)),0),0)</f>
        <v>0</v>
      </c>
      <c r="X554" s="18">
        <f t="shared" si="73"/>
        <v>0</v>
      </c>
      <c r="Y554" s="18" t="str">
        <f t="shared" si="74"/>
        <v/>
      </c>
      <c r="Z554" s="15" t="str">
        <f>IF(S554=1,IFERROR(INDEX(Settings!$E$12:$E$41,MATCH($B554,Settings!$A$12:$A$41,0)),"N"),"")</f>
        <v/>
      </c>
      <c r="AA554" s="17">
        <f>IF(S554=1,IFERROR(INDEX(Settings!$F$12:$F$41,MATCH($B554,Settings!$A$12:$A$41,0)),0),0)</f>
        <v>0</v>
      </c>
      <c r="AB554" s="15">
        <f>IF(S554=1,IFERROR(INDEX(Settings!$G$12:$G$41,MATCH($B554,Settings!$A$12:$A$41,0)),0),0)</f>
        <v>0</v>
      </c>
      <c r="AC554" s="18" t="str">
        <f t="shared" si="75"/>
        <v/>
      </c>
      <c r="AD554" s="15" t="str">
        <f t="shared" si="76"/>
        <v/>
      </c>
      <c r="AE554" s="15" t="str">
        <f t="shared" si="77"/>
        <v/>
      </c>
      <c r="AF554" s="15" t="str">
        <f t="shared" si="78"/>
        <v/>
      </c>
      <c r="AG554" s="18">
        <f>IF(AND(S554=1,Z554="Y"),IF(Settings!$B$6="Percentage",IF(AD554=0,0,AC554*AA554*(N554/AD554)),IF(Settings!$B$6="Points",IF(AF554=0,0,AC554*(N554*AB554)/AF554),IF(Settings!$B$6="Equally",IF(AE554=0,0,AC554*N554/AE554),0))),0)</f>
        <v>0</v>
      </c>
      <c r="AH554" s="18" t="str">
        <f t="shared" si="79"/>
        <v/>
      </c>
      <c r="AI554" s="15">
        <f>IF(S554=1,IF(COUNTIFS($R$2:R554,R554,$S$2:S554,1)=1,1,0),0)</f>
        <v>0</v>
      </c>
      <c r="AJ554" s="15">
        <f>SUM($AI$2:AI554)</f>
        <v>12</v>
      </c>
    </row>
    <row r="555" spans="18:36">
      <c r="R555" s="15" t="str">
        <f t="shared" si="80"/>
        <v/>
      </c>
      <c r="S555" s="15">
        <f t="shared" si="72"/>
        <v>0</v>
      </c>
      <c r="T555" s="16" t="str">
        <f>IF(S555=1, DATE(YEAR(Settings!$B$3), MONTH(D555), DAY(D555)), "")</f>
        <v/>
      </c>
      <c r="U555" s="15" t="str">
        <f>IF(S555=1,IFERROR(INDEX(Settings!$B$12:$B$41,MATCH($B555,Settings!$A$12:$A$41,0)),"N"),"")</f>
        <v/>
      </c>
      <c r="V555" s="15" t="str">
        <f>IF(S555=1,IFERROR(INDEX(Settings!$C$12:$C$41,MATCH($B555,Settings!$A$12:$A$41,0)),""),"")</f>
        <v/>
      </c>
      <c r="W555" s="17">
        <f>IF(S555=1,IFERROR(INDEX(Settings!$D$12:$D$41,MATCH($B555,Settings!$A$12:$A$41,0)),0),0)</f>
        <v>0</v>
      </c>
      <c r="X555" s="18">
        <f t="shared" si="73"/>
        <v>0</v>
      </c>
      <c r="Y555" s="18" t="str">
        <f t="shared" si="74"/>
        <v/>
      </c>
      <c r="Z555" s="15" t="str">
        <f>IF(S555=1,IFERROR(INDEX(Settings!$E$12:$E$41,MATCH($B555,Settings!$A$12:$A$41,0)),"N"),"")</f>
        <v/>
      </c>
      <c r="AA555" s="17">
        <f>IF(S555=1,IFERROR(INDEX(Settings!$F$12:$F$41,MATCH($B555,Settings!$A$12:$A$41,0)),0),0)</f>
        <v>0</v>
      </c>
      <c r="AB555" s="15">
        <f>IF(S555=1,IFERROR(INDEX(Settings!$G$12:$G$41,MATCH($B555,Settings!$A$12:$A$41,0)),0),0)</f>
        <v>0</v>
      </c>
      <c r="AC555" s="18" t="str">
        <f t="shared" si="75"/>
        <v/>
      </c>
      <c r="AD555" s="15" t="str">
        <f t="shared" si="76"/>
        <v/>
      </c>
      <c r="AE555" s="15" t="str">
        <f t="shared" si="77"/>
        <v/>
      </c>
      <c r="AF555" s="15" t="str">
        <f t="shared" si="78"/>
        <v/>
      </c>
      <c r="AG555" s="18">
        <f>IF(AND(S555=1,Z555="Y"),IF(Settings!$B$6="Percentage",IF(AD555=0,0,AC555*AA555*(N555/AD555)),IF(Settings!$B$6="Points",IF(AF555=0,0,AC555*(N555*AB555)/AF555),IF(Settings!$B$6="Equally",IF(AE555=0,0,AC555*N555/AE555),0))),0)</f>
        <v>0</v>
      </c>
      <c r="AH555" s="18" t="str">
        <f t="shared" si="79"/>
        <v/>
      </c>
      <c r="AI555" s="15">
        <f>IF(S555=1,IF(COUNTIFS($R$2:R555,R555,$S$2:S555,1)=1,1,0),0)</f>
        <v>0</v>
      </c>
      <c r="AJ555" s="15">
        <f>SUM($AI$2:AI555)</f>
        <v>12</v>
      </c>
    </row>
    <row r="556" spans="18:36">
      <c r="R556" s="15" t="str">
        <f t="shared" si="80"/>
        <v/>
      </c>
      <c r="S556" s="15">
        <f t="shared" si="72"/>
        <v>0</v>
      </c>
      <c r="T556" s="16" t="str">
        <f>IF(S556=1, DATE(YEAR(Settings!$B$3), MONTH(D556), DAY(D556)), "")</f>
        <v/>
      </c>
      <c r="U556" s="15" t="str">
        <f>IF(S556=1,IFERROR(INDEX(Settings!$B$12:$B$41,MATCH($B556,Settings!$A$12:$A$41,0)),"N"),"")</f>
        <v/>
      </c>
      <c r="V556" s="15" t="str">
        <f>IF(S556=1,IFERROR(INDEX(Settings!$C$12:$C$41,MATCH($B556,Settings!$A$12:$A$41,0)),""),"")</f>
        <v/>
      </c>
      <c r="W556" s="17">
        <f>IF(S556=1,IFERROR(INDEX(Settings!$D$12:$D$41,MATCH($B556,Settings!$A$12:$A$41,0)),0),0)</f>
        <v>0</v>
      </c>
      <c r="X556" s="18">
        <f t="shared" si="73"/>
        <v>0</v>
      </c>
      <c r="Y556" s="18" t="str">
        <f t="shared" si="74"/>
        <v/>
      </c>
      <c r="Z556" s="15" t="str">
        <f>IF(S556=1,IFERROR(INDEX(Settings!$E$12:$E$41,MATCH($B556,Settings!$A$12:$A$41,0)),"N"),"")</f>
        <v/>
      </c>
      <c r="AA556" s="17">
        <f>IF(S556=1,IFERROR(INDEX(Settings!$F$12:$F$41,MATCH($B556,Settings!$A$12:$A$41,0)),0),0)</f>
        <v>0</v>
      </c>
      <c r="AB556" s="15">
        <f>IF(S556=1,IFERROR(INDEX(Settings!$G$12:$G$41,MATCH($B556,Settings!$A$12:$A$41,0)),0),0)</f>
        <v>0</v>
      </c>
      <c r="AC556" s="18" t="str">
        <f t="shared" si="75"/>
        <v/>
      </c>
      <c r="AD556" s="15" t="str">
        <f t="shared" si="76"/>
        <v/>
      </c>
      <c r="AE556" s="15" t="str">
        <f t="shared" si="77"/>
        <v/>
      </c>
      <c r="AF556" s="15" t="str">
        <f t="shared" si="78"/>
        <v/>
      </c>
      <c r="AG556" s="18">
        <f>IF(AND(S556=1,Z556="Y"),IF(Settings!$B$6="Percentage",IF(AD556=0,0,AC556*AA556*(N556/AD556)),IF(Settings!$B$6="Points",IF(AF556=0,0,AC556*(N556*AB556)/AF556),IF(Settings!$B$6="Equally",IF(AE556=0,0,AC556*N556/AE556),0))),0)</f>
        <v>0</v>
      </c>
      <c r="AH556" s="18" t="str">
        <f t="shared" si="79"/>
        <v/>
      </c>
      <c r="AI556" s="15">
        <f>IF(S556=1,IF(COUNTIFS($R$2:R556,R556,$S$2:S556,1)=1,1,0),0)</f>
        <v>0</v>
      </c>
      <c r="AJ556" s="15">
        <f>SUM($AI$2:AI556)</f>
        <v>12</v>
      </c>
    </row>
    <row r="557" spans="18:36">
      <c r="R557" s="15" t="str">
        <f t="shared" si="80"/>
        <v/>
      </c>
      <c r="S557" s="15">
        <f t="shared" si="72"/>
        <v>0</v>
      </c>
      <c r="T557" s="16" t="str">
        <f>IF(S557=1, DATE(YEAR(Settings!$B$3), MONTH(D557), DAY(D557)), "")</f>
        <v/>
      </c>
      <c r="U557" s="15" t="str">
        <f>IF(S557=1,IFERROR(INDEX(Settings!$B$12:$B$41,MATCH($B557,Settings!$A$12:$A$41,0)),"N"),"")</f>
        <v/>
      </c>
      <c r="V557" s="15" t="str">
        <f>IF(S557=1,IFERROR(INDEX(Settings!$C$12:$C$41,MATCH($B557,Settings!$A$12:$A$41,0)),""),"")</f>
        <v/>
      </c>
      <c r="W557" s="17">
        <f>IF(S557=1,IFERROR(INDEX(Settings!$D$12:$D$41,MATCH($B557,Settings!$A$12:$A$41,0)),0),0)</f>
        <v>0</v>
      </c>
      <c r="X557" s="18">
        <f t="shared" si="73"/>
        <v>0</v>
      </c>
      <c r="Y557" s="18" t="str">
        <f t="shared" si="74"/>
        <v/>
      </c>
      <c r="Z557" s="15" t="str">
        <f>IF(S557=1,IFERROR(INDEX(Settings!$E$12:$E$41,MATCH($B557,Settings!$A$12:$A$41,0)),"N"),"")</f>
        <v/>
      </c>
      <c r="AA557" s="17">
        <f>IF(S557=1,IFERROR(INDEX(Settings!$F$12:$F$41,MATCH($B557,Settings!$A$12:$A$41,0)),0),0)</f>
        <v>0</v>
      </c>
      <c r="AB557" s="15">
        <f>IF(S557=1,IFERROR(INDEX(Settings!$G$12:$G$41,MATCH($B557,Settings!$A$12:$A$41,0)),0),0)</f>
        <v>0</v>
      </c>
      <c r="AC557" s="18" t="str">
        <f t="shared" si="75"/>
        <v/>
      </c>
      <c r="AD557" s="15" t="str">
        <f t="shared" si="76"/>
        <v/>
      </c>
      <c r="AE557" s="15" t="str">
        <f t="shared" si="77"/>
        <v/>
      </c>
      <c r="AF557" s="15" t="str">
        <f t="shared" si="78"/>
        <v/>
      </c>
      <c r="AG557" s="18">
        <f>IF(AND(S557=1,Z557="Y"),IF(Settings!$B$6="Percentage",IF(AD557=0,0,AC557*AA557*(N557/AD557)),IF(Settings!$B$6="Points",IF(AF557=0,0,AC557*(N557*AB557)/AF557),IF(Settings!$B$6="Equally",IF(AE557=0,0,AC557*N557/AE557),0))),0)</f>
        <v>0</v>
      </c>
      <c r="AH557" s="18" t="str">
        <f t="shared" si="79"/>
        <v/>
      </c>
      <c r="AI557" s="15">
        <f>IF(S557=1,IF(COUNTIFS($R$2:R557,R557,$S$2:S557,1)=1,1,0),0)</f>
        <v>0</v>
      </c>
      <c r="AJ557" s="15">
        <f>SUM($AI$2:AI557)</f>
        <v>12</v>
      </c>
    </row>
    <row r="558" spans="18:36">
      <c r="R558" s="15" t="str">
        <f t="shared" si="80"/>
        <v/>
      </c>
      <c r="S558" s="15">
        <f t="shared" si="72"/>
        <v>0</v>
      </c>
      <c r="T558" s="16" t="str">
        <f>IF(S558=1, DATE(YEAR(Settings!$B$3), MONTH(D558), DAY(D558)), "")</f>
        <v/>
      </c>
      <c r="U558" s="15" t="str">
        <f>IF(S558=1,IFERROR(INDEX(Settings!$B$12:$B$41,MATCH($B558,Settings!$A$12:$A$41,0)),"N"),"")</f>
        <v/>
      </c>
      <c r="V558" s="15" t="str">
        <f>IF(S558=1,IFERROR(INDEX(Settings!$C$12:$C$41,MATCH($B558,Settings!$A$12:$A$41,0)),""),"")</f>
        <v/>
      </c>
      <c r="W558" s="17">
        <f>IF(S558=1,IFERROR(INDEX(Settings!$D$12:$D$41,MATCH($B558,Settings!$A$12:$A$41,0)),0),0)</f>
        <v>0</v>
      </c>
      <c r="X558" s="18">
        <f t="shared" si="73"/>
        <v>0</v>
      </c>
      <c r="Y558" s="18" t="str">
        <f t="shared" si="74"/>
        <v/>
      </c>
      <c r="Z558" s="15" t="str">
        <f>IF(S558=1,IFERROR(INDEX(Settings!$E$12:$E$41,MATCH($B558,Settings!$A$12:$A$41,0)),"N"),"")</f>
        <v/>
      </c>
      <c r="AA558" s="17">
        <f>IF(S558=1,IFERROR(INDEX(Settings!$F$12:$F$41,MATCH($B558,Settings!$A$12:$A$41,0)),0),0)</f>
        <v>0</v>
      </c>
      <c r="AB558" s="15">
        <f>IF(S558=1,IFERROR(INDEX(Settings!$G$12:$G$41,MATCH($B558,Settings!$A$12:$A$41,0)),0),0)</f>
        <v>0</v>
      </c>
      <c r="AC558" s="18" t="str">
        <f t="shared" si="75"/>
        <v/>
      </c>
      <c r="AD558" s="15" t="str">
        <f t="shared" si="76"/>
        <v/>
      </c>
      <c r="AE558" s="15" t="str">
        <f t="shared" si="77"/>
        <v/>
      </c>
      <c r="AF558" s="15" t="str">
        <f t="shared" si="78"/>
        <v/>
      </c>
      <c r="AG558" s="18">
        <f>IF(AND(S558=1,Z558="Y"),IF(Settings!$B$6="Percentage",IF(AD558=0,0,AC558*AA558*(N558/AD558)),IF(Settings!$B$6="Points",IF(AF558=0,0,AC558*(N558*AB558)/AF558),IF(Settings!$B$6="Equally",IF(AE558=0,0,AC558*N558/AE558),0))),0)</f>
        <v>0</v>
      </c>
      <c r="AH558" s="18" t="str">
        <f t="shared" si="79"/>
        <v/>
      </c>
      <c r="AI558" s="15">
        <f>IF(S558=1,IF(COUNTIFS($R$2:R558,R558,$S$2:S558,1)=1,1,0),0)</f>
        <v>0</v>
      </c>
      <c r="AJ558" s="15">
        <f>SUM($AI$2:AI558)</f>
        <v>12</v>
      </c>
    </row>
    <row r="559" spans="18:36">
      <c r="R559" s="15" t="str">
        <f t="shared" si="80"/>
        <v/>
      </c>
      <c r="S559" s="15">
        <f t="shared" si="72"/>
        <v>0</v>
      </c>
      <c r="T559" s="16" t="str">
        <f>IF(S559=1, DATE(YEAR(Settings!$B$3), MONTH(D559), DAY(D559)), "")</f>
        <v/>
      </c>
      <c r="U559" s="15" t="str">
        <f>IF(S559=1,IFERROR(INDEX(Settings!$B$12:$B$41,MATCH($B559,Settings!$A$12:$A$41,0)),"N"),"")</f>
        <v/>
      </c>
      <c r="V559" s="15" t="str">
        <f>IF(S559=1,IFERROR(INDEX(Settings!$C$12:$C$41,MATCH($B559,Settings!$A$12:$A$41,0)),""),"")</f>
        <v/>
      </c>
      <c r="W559" s="17">
        <f>IF(S559=1,IFERROR(INDEX(Settings!$D$12:$D$41,MATCH($B559,Settings!$A$12:$A$41,0)),0),0)</f>
        <v>0</v>
      </c>
      <c r="X559" s="18">
        <f t="shared" si="73"/>
        <v>0</v>
      </c>
      <c r="Y559" s="18" t="str">
        <f t="shared" si="74"/>
        <v/>
      </c>
      <c r="Z559" s="15" t="str">
        <f>IF(S559=1,IFERROR(INDEX(Settings!$E$12:$E$41,MATCH($B559,Settings!$A$12:$A$41,0)),"N"),"")</f>
        <v/>
      </c>
      <c r="AA559" s="17">
        <f>IF(S559=1,IFERROR(INDEX(Settings!$F$12:$F$41,MATCH($B559,Settings!$A$12:$A$41,0)),0),0)</f>
        <v>0</v>
      </c>
      <c r="AB559" s="15">
        <f>IF(S559=1,IFERROR(INDEX(Settings!$G$12:$G$41,MATCH($B559,Settings!$A$12:$A$41,0)),0),0)</f>
        <v>0</v>
      </c>
      <c r="AC559" s="18" t="str">
        <f t="shared" si="75"/>
        <v/>
      </c>
      <c r="AD559" s="15" t="str">
        <f t="shared" si="76"/>
        <v/>
      </c>
      <c r="AE559" s="15" t="str">
        <f t="shared" si="77"/>
        <v/>
      </c>
      <c r="AF559" s="15" t="str">
        <f t="shared" si="78"/>
        <v/>
      </c>
      <c r="AG559" s="18">
        <f>IF(AND(S559=1,Z559="Y"),IF(Settings!$B$6="Percentage",IF(AD559=0,0,AC559*AA559*(N559/AD559)),IF(Settings!$B$6="Points",IF(AF559=0,0,AC559*(N559*AB559)/AF559),IF(Settings!$B$6="Equally",IF(AE559=0,0,AC559*N559/AE559),0))),0)</f>
        <v>0</v>
      </c>
      <c r="AH559" s="18" t="str">
        <f t="shared" si="79"/>
        <v/>
      </c>
      <c r="AI559" s="15">
        <f>IF(S559=1,IF(COUNTIFS($R$2:R559,R559,$S$2:S559,1)=1,1,0),0)</f>
        <v>0</v>
      </c>
      <c r="AJ559" s="15">
        <f>SUM($AI$2:AI559)</f>
        <v>12</v>
      </c>
    </row>
    <row r="560" spans="18:36">
      <c r="R560" s="15" t="str">
        <f t="shared" si="80"/>
        <v/>
      </c>
      <c r="S560" s="15">
        <f t="shared" si="72"/>
        <v>0</v>
      </c>
      <c r="T560" s="16" t="str">
        <f>IF(S560=1, DATE(YEAR(Settings!$B$3), MONTH(D560), DAY(D560)), "")</f>
        <v/>
      </c>
      <c r="U560" s="15" t="str">
        <f>IF(S560=1,IFERROR(INDEX(Settings!$B$12:$B$41,MATCH($B560,Settings!$A$12:$A$41,0)),"N"),"")</f>
        <v/>
      </c>
      <c r="V560" s="15" t="str">
        <f>IF(S560=1,IFERROR(INDEX(Settings!$C$12:$C$41,MATCH($B560,Settings!$A$12:$A$41,0)),""),"")</f>
        <v/>
      </c>
      <c r="W560" s="17">
        <f>IF(S560=1,IFERROR(INDEX(Settings!$D$12:$D$41,MATCH($B560,Settings!$A$12:$A$41,0)),0),0)</f>
        <v>0</v>
      </c>
      <c r="X560" s="18">
        <f t="shared" si="73"/>
        <v>0</v>
      </c>
      <c r="Y560" s="18" t="str">
        <f t="shared" si="74"/>
        <v/>
      </c>
      <c r="Z560" s="15" t="str">
        <f>IF(S560=1,IFERROR(INDEX(Settings!$E$12:$E$41,MATCH($B560,Settings!$A$12:$A$41,0)),"N"),"")</f>
        <v/>
      </c>
      <c r="AA560" s="17">
        <f>IF(S560=1,IFERROR(INDEX(Settings!$F$12:$F$41,MATCH($B560,Settings!$A$12:$A$41,0)),0),0)</f>
        <v>0</v>
      </c>
      <c r="AB560" s="15">
        <f>IF(S560=1,IFERROR(INDEX(Settings!$G$12:$G$41,MATCH($B560,Settings!$A$12:$A$41,0)),0),0)</f>
        <v>0</v>
      </c>
      <c r="AC560" s="18" t="str">
        <f t="shared" si="75"/>
        <v/>
      </c>
      <c r="AD560" s="15" t="str">
        <f t="shared" si="76"/>
        <v/>
      </c>
      <c r="AE560" s="15" t="str">
        <f t="shared" si="77"/>
        <v/>
      </c>
      <c r="AF560" s="15" t="str">
        <f t="shared" si="78"/>
        <v/>
      </c>
      <c r="AG560" s="18">
        <f>IF(AND(S560=1,Z560="Y"),IF(Settings!$B$6="Percentage",IF(AD560=0,0,AC560*AA560*(N560/AD560)),IF(Settings!$B$6="Points",IF(AF560=0,0,AC560*(N560*AB560)/AF560),IF(Settings!$B$6="Equally",IF(AE560=0,0,AC560*N560/AE560),0))),0)</f>
        <v>0</v>
      </c>
      <c r="AH560" s="18" t="str">
        <f t="shared" si="79"/>
        <v/>
      </c>
      <c r="AI560" s="15">
        <f>IF(S560=1,IF(COUNTIFS($R$2:R560,R560,$S$2:S560,1)=1,1,0),0)</f>
        <v>0</v>
      </c>
      <c r="AJ560" s="15">
        <f>SUM($AI$2:AI560)</f>
        <v>12</v>
      </c>
    </row>
    <row r="561" spans="18:36">
      <c r="R561" s="15" t="str">
        <f t="shared" si="80"/>
        <v/>
      </c>
      <c r="S561" s="15">
        <f t="shared" si="72"/>
        <v>0</v>
      </c>
      <c r="T561" s="16" t="str">
        <f>IF(S561=1, DATE(YEAR(Settings!$B$3), MONTH(D561), DAY(D561)), "")</f>
        <v/>
      </c>
      <c r="U561" s="15" t="str">
        <f>IF(S561=1,IFERROR(INDEX(Settings!$B$12:$B$41,MATCH($B561,Settings!$A$12:$A$41,0)),"N"),"")</f>
        <v/>
      </c>
      <c r="V561" s="15" t="str">
        <f>IF(S561=1,IFERROR(INDEX(Settings!$C$12:$C$41,MATCH($B561,Settings!$A$12:$A$41,0)),""),"")</f>
        <v/>
      </c>
      <c r="W561" s="17">
        <f>IF(S561=1,IFERROR(INDEX(Settings!$D$12:$D$41,MATCH($B561,Settings!$A$12:$A$41,0)),0),0)</f>
        <v>0</v>
      </c>
      <c r="X561" s="18">
        <f t="shared" si="73"/>
        <v>0</v>
      </c>
      <c r="Y561" s="18" t="str">
        <f t="shared" si="74"/>
        <v/>
      </c>
      <c r="Z561" s="15" t="str">
        <f>IF(S561=1,IFERROR(INDEX(Settings!$E$12:$E$41,MATCH($B561,Settings!$A$12:$A$41,0)),"N"),"")</f>
        <v/>
      </c>
      <c r="AA561" s="17">
        <f>IF(S561=1,IFERROR(INDEX(Settings!$F$12:$F$41,MATCH($B561,Settings!$A$12:$A$41,0)),0),0)</f>
        <v>0</v>
      </c>
      <c r="AB561" s="15">
        <f>IF(S561=1,IFERROR(INDEX(Settings!$G$12:$G$41,MATCH($B561,Settings!$A$12:$A$41,0)),0),0)</f>
        <v>0</v>
      </c>
      <c r="AC561" s="18" t="str">
        <f t="shared" si="75"/>
        <v/>
      </c>
      <c r="AD561" s="15" t="str">
        <f t="shared" si="76"/>
        <v/>
      </c>
      <c r="AE561" s="15" t="str">
        <f t="shared" si="77"/>
        <v/>
      </c>
      <c r="AF561" s="15" t="str">
        <f t="shared" si="78"/>
        <v/>
      </c>
      <c r="AG561" s="18">
        <f>IF(AND(S561=1,Z561="Y"),IF(Settings!$B$6="Percentage",IF(AD561=0,0,AC561*AA561*(N561/AD561)),IF(Settings!$B$6="Points",IF(AF561=0,0,AC561*(N561*AB561)/AF561),IF(Settings!$B$6="Equally",IF(AE561=0,0,AC561*N561/AE561),0))),0)</f>
        <v>0</v>
      </c>
      <c r="AH561" s="18" t="str">
        <f t="shared" si="79"/>
        <v/>
      </c>
      <c r="AI561" s="15">
        <f>IF(S561=1,IF(COUNTIFS($R$2:R561,R561,$S$2:S561,1)=1,1,0),0)</f>
        <v>0</v>
      </c>
      <c r="AJ561" s="15">
        <f>SUM($AI$2:AI561)</f>
        <v>12</v>
      </c>
    </row>
    <row r="562" spans="18:36">
      <c r="R562" s="15" t="str">
        <f t="shared" si="80"/>
        <v/>
      </c>
      <c r="S562" s="15">
        <f t="shared" si="72"/>
        <v>0</v>
      </c>
      <c r="T562" s="16" t="str">
        <f>IF(S562=1, DATE(YEAR(Settings!$B$3), MONTH(D562), DAY(D562)), "")</f>
        <v/>
      </c>
      <c r="U562" s="15" t="str">
        <f>IF(S562=1,IFERROR(INDEX(Settings!$B$12:$B$41,MATCH($B562,Settings!$A$12:$A$41,0)),"N"),"")</f>
        <v/>
      </c>
      <c r="V562" s="15" t="str">
        <f>IF(S562=1,IFERROR(INDEX(Settings!$C$12:$C$41,MATCH($B562,Settings!$A$12:$A$41,0)),""),"")</f>
        <v/>
      </c>
      <c r="W562" s="17">
        <f>IF(S562=1,IFERROR(INDEX(Settings!$D$12:$D$41,MATCH($B562,Settings!$A$12:$A$41,0)),0),0)</f>
        <v>0</v>
      </c>
      <c r="X562" s="18">
        <f t="shared" si="73"/>
        <v>0</v>
      </c>
      <c r="Y562" s="18" t="str">
        <f t="shared" si="74"/>
        <v/>
      </c>
      <c r="Z562" s="15" t="str">
        <f>IF(S562=1,IFERROR(INDEX(Settings!$E$12:$E$41,MATCH($B562,Settings!$A$12:$A$41,0)),"N"),"")</f>
        <v/>
      </c>
      <c r="AA562" s="17">
        <f>IF(S562=1,IFERROR(INDEX(Settings!$F$12:$F$41,MATCH($B562,Settings!$A$12:$A$41,0)),0),0)</f>
        <v>0</v>
      </c>
      <c r="AB562" s="15">
        <f>IF(S562=1,IFERROR(INDEX(Settings!$G$12:$G$41,MATCH($B562,Settings!$A$12:$A$41,0)),0),0)</f>
        <v>0</v>
      </c>
      <c r="AC562" s="18" t="str">
        <f t="shared" si="75"/>
        <v/>
      </c>
      <c r="AD562" s="15" t="str">
        <f t="shared" si="76"/>
        <v/>
      </c>
      <c r="AE562" s="15" t="str">
        <f t="shared" si="77"/>
        <v/>
      </c>
      <c r="AF562" s="15" t="str">
        <f t="shared" si="78"/>
        <v/>
      </c>
      <c r="AG562" s="18">
        <f>IF(AND(S562=1,Z562="Y"),IF(Settings!$B$6="Percentage",IF(AD562=0,0,AC562*AA562*(N562/AD562)),IF(Settings!$B$6="Points",IF(AF562=0,0,AC562*(N562*AB562)/AF562),IF(Settings!$B$6="Equally",IF(AE562=0,0,AC562*N562/AE562),0))),0)</f>
        <v>0</v>
      </c>
      <c r="AH562" s="18" t="str">
        <f t="shared" si="79"/>
        <v/>
      </c>
      <c r="AI562" s="15">
        <f>IF(S562=1,IF(COUNTIFS($R$2:R562,R562,$S$2:S562,1)=1,1,0),0)</f>
        <v>0</v>
      </c>
      <c r="AJ562" s="15">
        <f>SUM($AI$2:AI562)</f>
        <v>12</v>
      </c>
    </row>
    <row r="563" spans="18:36">
      <c r="R563" s="15" t="str">
        <f t="shared" si="80"/>
        <v/>
      </c>
      <c r="S563" s="15">
        <f t="shared" si="72"/>
        <v>0</v>
      </c>
      <c r="T563" s="16" t="str">
        <f>IF(S563=1, DATE(YEAR(Settings!$B$3), MONTH(D563), DAY(D563)), "")</f>
        <v/>
      </c>
      <c r="U563" s="15" t="str">
        <f>IF(S563=1,IFERROR(INDEX(Settings!$B$12:$B$41,MATCH($B563,Settings!$A$12:$A$41,0)),"N"),"")</f>
        <v/>
      </c>
      <c r="V563" s="15" t="str">
        <f>IF(S563=1,IFERROR(INDEX(Settings!$C$12:$C$41,MATCH($B563,Settings!$A$12:$A$41,0)),""),"")</f>
        <v/>
      </c>
      <c r="W563" s="17">
        <f>IF(S563=1,IFERROR(INDEX(Settings!$D$12:$D$41,MATCH($B563,Settings!$A$12:$A$41,0)),0),0)</f>
        <v>0</v>
      </c>
      <c r="X563" s="18">
        <f t="shared" si="73"/>
        <v>0</v>
      </c>
      <c r="Y563" s="18" t="str">
        <f t="shared" si="74"/>
        <v/>
      </c>
      <c r="Z563" s="15" t="str">
        <f>IF(S563=1,IFERROR(INDEX(Settings!$E$12:$E$41,MATCH($B563,Settings!$A$12:$A$41,0)),"N"),"")</f>
        <v/>
      </c>
      <c r="AA563" s="17">
        <f>IF(S563=1,IFERROR(INDEX(Settings!$F$12:$F$41,MATCH($B563,Settings!$A$12:$A$41,0)),0),0)</f>
        <v>0</v>
      </c>
      <c r="AB563" s="15">
        <f>IF(S563=1,IFERROR(INDEX(Settings!$G$12:$G$41,MATCH($B563,Settings!$A$12:$A$41,0)),0),0)</f>
        <v>0</v>
      </c>
      <c r="AC563" s="18" t="str">
        <f t="shared" si="75"/>
        <v/>
      </c>
      <c r="AD563" s="15" t="str">
        <f t="shared" si="76"/>
        <v/>
      </c>
      <c r="AE563" s="15" t="str">
        <f t="shared" si="77"/>
        <v/>
      </c>
      <c r="AF563" s="15" t="str">
        <f t="shared" si="78"/>
        <v/>
      </c>
      <c r="AG563" s="18">
        <f>IF(AND(S563=1,Z563="Y"),IF(Settings!$B$6="Percentage",IF(AD563=0,0,AC563*AA563*(N563/AD563)),IF(Settings!$B$6="Points",IF(AF563=0,0,AC563*(N563*AB563)/AF563),IF(Settings!$B$6="Equally",IF(AE563=0,0,AC563*N563/AE563),0))),0)</f>
        <v>0</v>
      </c>
      <c r="AH563" s="18" t="str">
        <f t="shared" si="79"/>
        <v/>
      </c>
      <c r="AI563" s="15">
        <f>IF(S563=1,IF(COUNTIFS($R$2:R563,R563,$S$2:S563,1)=1,1,0),0)</f>
        <v>0</v>
      </c>
      <c r="AJ563" s="15">
        <f>SUM($AI$2:AI563)</f>
        <v>12</v>
      </c>
    </row>
    <row r="564" spans="18:36">
      <c r="R564" s="15" t="str">
        <f t="shared" si="80"/>
        <v/>
      </c>
      <c r="S564" s="15">
        <f t="shared" si="72"/>
        <v>0</v>
      </c>
      <c r="T564" s="16" t="str">
        <f>IF(S564=1, DATE(YEAR(Settings!$B$3), MONTH(D564), DAY(D564)), "")</f>
        <v/>
      </c>
      <c r="U564" s="15" t="str">
        <f>IF(S564=1,IFERROR(INDEX(Settings!$B$12:$B$41,MATCH($B564,Settings!$A$12:$A$41,0)),"N"),"")</f>
        <v/>
      </c>
      <c r="V564" s="15" t="str">
        <f>IF(S564=1,IFERROR(INDEX(Settings!$C$12:$C$41,MATCH($B564,Settings!$A$12:$A$41,0)),""),"")</f>
        <v/>
      </c>
      <c r="W564" s="17">
        <f>IF(S564=1,IFERROR(INDEX(Settings!$D$12:$D$41,MATCH($B564,Settings!$A$12:$A$41,0)),0),0)</f>
        <v>0</v>
      </c>
      <c r="X564" s="18">
        <f t="shared" si="73"/>
        <v>0</v>
      </c>
      <c r="Y564" s="18" t="str">
        <f t="shared" si="74"/>
        <v/>
      </c>
      <c r="Z564" s="15" t="str">
        <f>IF(S564=1,IFERROR(INDEX(Settings!$E$12:$E$41,MATCH($B564,Settings!$A$12:$A$41,0)),"N"),"")</f>
        <v/>
      </c>
      <c r="AA564" s="17">
        <f>IF(S564=1,IFERROR(INDEX(Settings!$F$12:$F$41,MATCH($B564,Settings!$A$12:$A$41,0)),0),0)</f>
        <v>0</v>
      </c>
      <c r="AB564" s="15">
        <f>IF(S564=1,IFERROR(INDEX(Settings!$G$12:$G$41,MATCH($B564,Settings!$A$12:$A$41,0)),0),0)</f>
        <v>0</v>
      </c>
      <c r="AC564" s="18" t="str">
        <f t="shared" si="75"/>
        <v/>
      </c>
      <c r="AD564" s="15" t="str">
        <f t="shared" si="76"/>
        <v/>
      </c>
      <c r="AE564" s="15" t="str">
        <f t="shared" si="77"/>
        <v/>
      </c>
      <c r="AF564" s="15" t="str">
        <f t="shared" si="78"/>
        <v/>
      </c>
      <c r="AG564" s="18">
        <f>IF(AND(S564=1,Z564="Y"),IF(Settings!$B$6="Percentage",IF(AD564=0,0,AC564*AA564*(N564/AD564)),IF(Settings!$B$6="Points",IF(AF564=0,0,AC564*(N564*AB564)/AF564),IF(Settings!$B$6="Equally",IF(AE564=0,0,AC564*N564/AE564),0))),0)</f>
        <v>0</v>
      </c>
      <c r="AH564" s="18" t="str">
        <f t="shared" si="79"/>
        <v/>
      </c>
      <c r="AI564" s="15">
        <f>IF(S564=1,IF(COUNTIFS($R$2:R564,R564,$S$2:S564,1)=1,1,0),0)</f>
        <v>0</v>
      </c>
      <c r="AJ564" s="15">
        <f>SUM($AI$2:AI564)</f>
        <v>12</v>
      </c>
    </row>
    <row r="565" spans="18:36">
      <c r="R565" s="15" t="str">
        <f t="shared" si="80"/>
        <v/>
      </c>
      <c r="S565" s="15">
        <f t="shared" si="72"/>
        <v>0</v>
      </c>
      <c r="T565" s="16" t="str">
        <f>IF(S565=1, DATE(YEAR(Settings!$B$3), MONTH(D565), DAY(D565)), "")</f>
        <v/>
      </c>
      <c r="U565" s="15" t="str">
        <f>IF(S565=1,IFERROR(INDEX(Settings!$B$12:$B$41,MATCH($B565,Settings!$A$12:$A$41,0)),"N"),"")</f>
        <v/>
      </c>
      <c r="V565" s="15" t="str">
        <f>IF(S565=1,IFERROR(INDEX(Settings!$C$12:$C$41,MATCH($B565,Settings!$A$12:$A$41,0)),""),"")</f>
        <v/>
      </c>
      <c r="W565" s="17">
        <f>IF(S565=1,IFERROR(INDEX(Settings!$D$12:$D$41,MATCH($B565,Settings!$A$12:$A$41,0)),0),0)</f>
        <v>0</v>
      </c>
      <c r="X565" s="18">
        <f t="shared" si="73"/>
        <v>0</v>
      </c>
      <c r="Y565" s="18" t="str">
        <f t="shared" si="74"/>
        <v/>
      </c>
      <c r="Z565" s="15" t="str">
        <f>IF(S565=1,IFERROR(INDEX(Settings!$E$12:$E$41,MATCH($B565,Settings!$A$12:$A$41,0)),"N"),"")</f>
        <v/>
      </c>
      <c r="AA565" s="17">
        <f>IF(S565=1,IFERROR(INDEX(Settings!$F$12:$F$41,MATCH($B565,Settings!$A$12:$A$41,0)),0),0)</f>
        <v>0</v>
      </c>
      <c r="AB565" s="15">
        <f>IF(S565=1,IFERROR(INDEX(Settings!$G$12:$G$41,MATCH($B565,Settings!$A$12:$A$41,0)),0),0)</f>
        <v>0</v>
      </c>
      <c r="AC565" s="18" t="str">
        <f t="shared" si="75"/>
        <v/>
      </c>
      <c r="AD565" s="15" t="str">
        <f t="shared" si="76"/>
        <v/>
      </c>
      <c r="AE565" s="15" t="str">
        <f t="shared" si="77"/>
        <v/>
      </c>
      <c r="AF565" s="15" t="str">
        <f t="shared" si="78"/>
        <v/>
      </c>
      <c r="AG565" s="18">
        <f>IF(AND(S565=1,Z565="Y"),IF(Settings!$B$6="Percentage",IF(AD565=0,0,AC565*AA565*(N565/AD565)),IF(Settings!$B$6="Points",IF(AF565=0,0,AC565*(N565*AB565)/AF565),IF(Settings!$B$6="Equally",IF(AE565=0,0,AC565*N565/AE565),0))),0)</f>
        <v>0</v>
      </c>
      <c r="AH565" s="18" t="str">
        <f t="shared" si="79"/>
        <v/>
      </c>
      <c r="AI565" s="15">
        <f>IF(S565=1,IF(COUNTIFS($R$2:R565,R565,$S$2:S565,1)=1,1,0),0)</f>
        <v>0</v>
      </c>
      <c r="AJ565" s="15">
        <f>SUM($AI$2:AI565)</f>
        <v>12</v>
      </c>
    </row>
    <row r="566" spans="18:36">
      <c r="R566" s="15" t="str">
        <f t="shared" si="80"/>
        <v/>
      </c>
      <c r="S566" s="15">
        <f t="shared" si="72"/>
        <v>0</v>
      </c>
      <c r="T566" s="16" t="str">
        <f>IF(S566=1, DATE(YEAR(Settings!$B$3), MONTH(D566), DAY(D566)), "")</f>
        <v/>
      </c>
      <c r="U566" s="15" t="str">
        <f>IF(S566=1,IFERROR(INDEX(Settings!$B$12:$B$41,MATCH($B566,Settings!$A$12:$A$41,0)),"N"),"")</f>
        <v/>
      </c>
      <c r="V566" s="15" t="str">
        <f>IF(S566=1,IFERROR(INDEX(Settings!$C$12:$C$41,MATCH($B566,Settings!$A$12:$A$41,0)),""),"")</f>
        <v/>
      </c>
      <c r="W566" s="17">
        <f>IF(S566=1,IFERROR(INDEX(Settings!$D$12:$D$41,MATCH($B566,Settings!$A$12:$A$41,0)),0),0)</f>
        <v>0</v>
      </c>
      <c r="X566" s="18">
        <f t="shared" si="73"/>
        <v>0</v>
      </c>
      <c r="Y566" s="18" t="str">
        <f t="shared" si="74"/>
        <v/>
      </c>
      <c r="Z566" s="15" t="str">
        <f>IF(S566=1,IFERROR(INDEX(Settings!$E$12:$E$41,MATCH($B566,Settings!$A$12:$A$41,0)),"N"),"")</f>
        <v/>
      </c>
      <c r="AA566" s="17">
        <f>IF(S566=1,IFERROR(INDEX(Settings!$F$12:$F$41,MATCH($B566,Settings!$A$12:$A$41,0)),0),0)</f>
        <v>0</v>
      </c>
      <c r="AB566" s="15">
        <f>IF(S566=1,IFERROR(INDEX(Settings!$G$12:$G$41,MATCH($B566,Settings!$A$12:$A$41,0)),0),0)</f>
        <v>0</v>
      </c>
      <c r="AC566" s="18" t="str">
        <f t="shared" si="75"/>
        <v/>
      </c>
      <c r="AD566" s="15" t="str">
        <f t="shared" si="76"/>
        <v/>
      </c>
      <c r="AE566" s="15" t="str">
        <f t="shared" si="77"/>
        <v/>
      </c>
      <c r="AF566" s="15" t="str">
        <f t="shared" si="78"/>
        <v/>
      </c>
      <c r="AG566" s="18">
        <f>IF(AND(S566=1,Z566="Y"),IF(Settings!$B$6="Percentage",IF(AD566=0,0,AC566*AA566*(N566/AD566)),IF(Settings!$B$6="Points",IF(AF566=0,0,AC566*(N566*AB566)/AF566),IF(Settings!$B$6="Equally",IF(AE566=0,0,AC566*N566/AE566),0))),0)</f>
        <v>0</v>
      </c>
      <c r="AH566" s="18" t="str">
        <f t="shared" si="79"/>
        <v/>
      </c>
      <c r="AI566" s="15">
        <f>IF(S566=1,IF(COUNTIFS($R$2:R566,R566,$S$2:S566,1)=1,1,0),0)</f>
        <v>0</v>
      </c>
      <c r="AJ566" s="15">
        <f>SUM($AI$2:AI566)</f>
        <v>12</v>
      </c>
    </row>
    <row r="567" spans="18:36">
      <c r="R567" s="15" t="str">
        <f t="shared" si="80"/>
        <v/>
      </c>
      <c r="S567" s="15">
        <f t="shared" si="72"/>
        <v>0</v>
      </c>
      <c r="T567" s="16" t="str">
        <f>IF(S567=1, DATE(YEAR(Settings!$B$3), MONTH(D567), DAY(D567)), "")</f>
        <v/>
      </c>
      <c r="U567" s="15" t="str">
        <f>IF(S567=1,IFERROR(INDEX(Settings!$B$12:$B$41,MATCH($B567,Settings!$A$12:$A$41,0)),"N"),"")</f>
        <v/>
      </c>
      <c r="V567" s="15" t="str">
        <f>IF(S567=1,IFERROR(INDEX(Settings!$C$12:$C$41,MATCH($B567,Settings!$A$12:$A$41,0)),""),"")</f>
        <v/>
      </c>
      <c r="W567" s="17">
        <f>IF(S567=1,IFERROR(INDEX(Settings!$D$12:$D$41,MATCH($B567,Settings!$A$12:$A$41,0)),0),0)</f>
        <v>0</v>
      </c>
      <c r="X567" s="18">
        <f t="shared" si="73"/>
        <v>0</v>
      </c>
      <c r="Y567" s="18" t="str">
        <f t="shared" si="74"/>
        <v/>
      </c>
      <c r="Z567" s="15" t="str">
        <f>IF(S567=1,IFERROR(INDEX(Settings!$E$12:$E$41,MATCH($B567,Settings!$A$12:$A$41,0)),"N"),"")</f>
        <v/>
      </c>
      <c r="AA567" s="17">
        <f>IF(S567=1,IFERROR(INDEX(Settings!$F$12:$F$41,MATCH($B567,Settings!$A$12:$A$41,0)),0),0)</f>
        <v>0</v>
      </c>
      <c r="AB567" s="15">
        <f>IF(S567=1,IFERROR(INDEX(Settings!$G$12:$G$41,MATCH($B567,Settings!$A$12:$A$41,0)),0),0)</f>
        <v>0</v>
      </c>
      <c r="AC567" s="18" t="str">
        <f t="shared" si="75"/>
        <v/>
      </c>
      <c r="AD567" s="15" t="str">
        <f t="shared" si="76"/>
        <v/>
      </c>
      <c r="AE567" s="15" t="str">
        <f t="shared" si="77"/>
        <v/>
      </c>
      <c r="AF567" s="15" t="str">
        <f t="shared" si="78"/>
        <v/>
      </c>
      <c r="AG567" s="18">
        <f>IF(AND(S567=1,Z567="Y"),IF(Settings!$B$6="Percentage",IF(AD567=0,0,AC567*AA567*(N567/AD567)),IF(Settings!$B$6="Points",IF(AF567=0,0,AC567*(N567*AB567)/AF567),IF(Settings!$B$6="Equally",IF(AE567=0,0,AC567*N567/AE567),0))),0)</f>
        <v>0</v>
      </c>
      <c r="AH567" s="18" t="str">
        <f t="shared" si="79"/>
        <v/>
      </c>
      <c r="AI567" s="15">
        <f>IF(S567=1,IF(COUNTIFS($R$2:R567,R567,$S$2:S567,1)=1,1,0),0)</f>
        <v>0</v>
      </c>
      <c r="AJ567" s="15">
        <f>SUM($AI$2:AI567)</f>
        <v>12</v>
      </c>
    </row>
    <row r="568" spans="18:36">
      <c r="R568" s="15" t="str">
        <f t="shared" si="80"/>
        <v/>
      </c>
      <c r="S568" s="15">
        <f t="shared" si="72"/>
        <v>0</v>
      </c>
      <c r="T568" s="16" t="str">
        <f>IF(S568=1, DATE(YEAR(Settings!$B$3), MONTH(D568), DAY(D568)), "")</f>
        <v/>
      </c>
      <c r="U568" s="15" t="str">
        <f>IF(S568=1,IFERROR(INDEX(Settings!$B$12:$B$41,MATCH($B568,Settings!$A$12:$A$41,0)),"N"),"")</f>
        <v/>
      </c>
      <c r="V568" s="15" t="str">
        <f>IF(S568=1,IFERROR(INDEX(Settings!$C$12:$C$41,MATCH($B568,Settings!$A$12:$A$41,0)),""),"")</f>
        <v/>
      </c>
      <c r="W568" s="17">
        <f>IF(S568=1,IFERROR(INDEX(Settings!$D$12:$D$41,MATCH($B568,Settings!$A$12:$A$41,0)),0),0)</f>
        <v>0</v>
      </c>
      <c r="X568" s="18">
        <f t="shared" si="73"/>
        <v>0</v>
      </c>
      <c r="Y568" s="18" t="str">
        <f t="shared" si="74"/>
        <v/>
      </c>
      <c r="Z568" s="15" t="str">
        <f>IF(S568=1,IFERROR(INDEX(Settings!$E$12:$E$41,MATCH($B568,Settings!$A$12:$A$41,0)),"N"),"")</f>
        <v/>
      </c>
      <c r="AA568" s="17">
        <f>IF(S568=1,IFERROR(INDEX(Settings!$F$12:$F$41,MATCH($B568,Settings!$A$12:$A$41,0)),0),0)</f>
        <v>0</v>
      </c>
      <c r="AB568" s="15">
        <f>IF(S568=1,IFERROR(INDEX(Settings!$G$12:$G$41,MATCH($B568,Settings!$A$12:$A$41,0)),0),0)</f>
        <v>0</v>
      </c>
      <c r="AC568" s="18" t="str">
        <f t="shared" si="75"/>
        <v/>
      </c>
      <c r="AD568" s="15" t="str">
        <f t="shared" si="76"/>
        <v/>
      </c>
      <c r="AE568" s="15" t="str">
        <f t="shared" si="77"/>
        <v/>
      </c>
      <c r="AF568" s="15" t="str">
        <f t="shared" si="78"/>
        <v/>
      </c>
      <c r="AG568" s="18">
        <f>IF(AND(S568=1,Z568="Y"),IF(Settings!$B$6="Percentage",IF(AD568=0,0,AC568*AA568*(N568/AD568)),IF(Settings!$B$6="Points",IF(AF568=0,0,AC568*(N568*AB568)/AF568),IF(Settings!$B$6="Equally",IF(AE568=0,0,AC568*N568/AE568),0))),0)</f>
        <v>0</v>
      </c>
      <c r="AH568" s="18" t="str">
        <f t="shared" si="79"/>
        <v/>
      </c>
      <c r="AI568" s="15">
        <f>IF(S568=1,IF(COUNTIFS($R$2:R568,R568,$S$2:S568,1)=1,1,0),0)</f>
        <v>0</v>
      </c>
      <c r="AJ568" s="15">
        <f>SUM($AI$2:AI568)</f>
        <v>12</v>
      </c>
    </row>
    <row r="569" spans="18:36">
      <c r="R569" s="15" t="str">
        <f t="shared" si="80"/>
        <v/>
      </c>
      <c r="S569" s="15">
        <f t="shared" si="72"/>
        <v>0</v>
      </c>
      <c r="T569" s="16" t="str">
        <f>IF(S569=1, DATE(YEAR(Settings!$B$3), MONTH(D569), DAY(D569)), "")</f>
        <v/>
      </c>
      <c r="U569" s="15" t="str">
        <f>IF(S569=1,IFERROR(INDEX(Settings!$B$12:$B$41,MATCH($B569,Settings!$A$12:$A$41,0)),"N"),"")</f>
        <v/>
      </c>
      <c r="V569" s="15" t="str">
        <f>IF(S569=1,IFERROR(INDEX(Settings!$C$12:$C$41,MATCH($B569,Settings!$A$12:$A$41,0)),""),"")</f>
        <v/>
      </c>
      <c r="W569" s="17">
        <f>IF(S569=1,IFERROR(INDEX(Settings!$D$12:$D$41,MATCH($B569,Settings!$A$12:$A$41,0)),0),0)</f>
        <v>0</v>
      </c>
      <c r="X569" s="18">
        <f t="shared" si="73"/>
        <v>0</v>
      </c>
      <c r="Y569" s="18" t="str">
        <f t="shared" si="74"/>
        <v/>
      </c>
      <c r="Z569" s="15" t="str">
        <f>IF(S569=1,IFERROR(INDEX(Settings!$E$12:$E$41,MATCH($B569,Settings!$A$12:$A$41,0)),"N"),"")</f>
        <v/>
      </c>
      <c r="AA569" s="17">
        <f>IF(S569=1,IFERROR(INDEX(Settings!$F$12:$F$41,MATCH($B569,Settings!$A$12:$A$41,0)),0),0)</f>
        <v>0</v>
      </c>
      <c r="AB569" s="15">
        <f>IF(S569=1,IFERROR(INDEX(Settings!$G$12:$G$41,MATCH($B569,Settings!$A$12:$A$41,0)),0),0)</f>
        <v>0</v>
      </c>
      <c r="AC569" s="18" t="str">
        <f t="shared" si="75"/>
        <v/>
      </c>
      <c r="AD569" s="15" t="str">
        <f t="shared" si="76"/>
        <v/>
      </c>
      <c r="AE569" s="15" t="str">
        <f t="shared" si="77"/>
        <v/>
      </c>
      <c r="AF569" s="15" t="str">
        <f t="shared" si="78"/>
        <v/>
      </c>
      <c r="AG569" s="18">
        <f>IF(AND(S569=1,Z569="Y"),IF(Settings!$B$6="Percentage",IF(AD569=0,0,AC569*AA569*(N569/AD569)),IF(Settings!$B$6="Points",IF(AF569=0,0,AC569*(N569*AB569)/AF569),IF(Settings!$B$6="Equally",IF(AE569=0,0,AC569*N569/AE569),0))),0)</f>
        <v>0</v>
      </c>
      <c r="AH569" s="18" t="str">
        <f t="shared" si="79"/>
        <v/>
      </c>
      <c r="AI569" s="15">
        <f>IF(S569=1,IF(COUNTIFS($R$2:R569,R569,$S$2:S569,1)=1,1,0),0)</f>
        <v>0</v>
      </c>
      <c r="AJ569" s="15">
        <f>SUM($AI$2:AI569)</f>
        <v>12</v>
      </c>
    </row>
    <row r="570" spans="18:36">
      <c r="R570" s="15" t="str">
        <f t="shared" si="80"/>
        <v/>
      </c>
      <c r="S570" s="15">
        <f t="shared" si="72"/>
        <v>0</v>
      </c>
      <c r="T570" s="16" t="str">
        <f>IF(S570=1, DATE(YEAR(Settings!$B$3), MONTH(D570), DAY(D570)), "")</f>
        <v/>
      </c>
      <c r="U570" s="15" t="str">
        <f>IF(S570=1,IFERROR(INDEX(Settings!$B$12:$B$41,MATCH($B570,Settings!$A$12:$A$41,0)),"N"),"")</f>
        <v/>
      </c>
      <c r="V570" s="15" t="str">
        <f>IF(S570=1,IFERROR(INDEX(Settings!$C$12:$C$41,MATCH($B570,Settings!$A$12:$A$41,0)),""),"")</f>
        <v/>
      </c>
      <c r="W570" s="17">
        <f>IF(S570=1,IFERROR(INDEX(Settings!$D$12:$D$41,MATCH($B570,Settings!$A$12:$A$41,0)),0),0)</f>
        <v>0</v>
      </c>
      <c r="X570" s="18">
        <f t="shared" si="73"/>
        <v>0</v>
      </c>
      <c r="Y570" s="18" t="str">
        <f t="shared" si="74"/>
        <v/>
      </c>
      <c r="Z570" s="15" t="str">
        <f>IF(S570=1,IFERROR(INDEX(Settings!$E$12:$E$41,MATCH($B570,Settings!$A$12:$A$41,0)),"N"),"")</f>
        <v/>
      </c>
      <c r="AA570" s="17">
        <f>IF(S570=1,IFERROR(INDEX(Settings!$F$12:$F$41,MATCH($B570,Settings!$A$12:$A$41,0)),0),0)</f>
        <v>0</v>
      </c>
      <c r="AB570" s="15">
        <f>IF(S570=1,IFERROR(INDEX(Settings!$G$12:$G$41,MATCH($B570,Settings!$A$12:$A$41,0)),0),0)</f>
        <v>0</v>
      </c>
      <c r="AC570" s="18" t="str">
        <f t="shared" si="75"/>
        <v/>
      </c>
      <c r="AD570" s="15" t="str">
        <f t="shared" si="76"/>
        <v/>
      </c>
      <c r="AE570" s="15" t="str">
        <f t="shared" si="77"/>
        <v/>
      </c>
      <c r="AF570" s="15" t="str">
        <f t="shared" si="78"/>
        <v/>
      </c>
      <c r="AG570" s="18">
        <f>IF(AND(S570=1,Z570="Y"),IF(Settings!$B$6="Percentage",IF(AD570=0,0,AC570*AA570*(N570/AD570)),IF(Settings!$B$6="Points",IF(AF570=0,0,AC570*(N570*AB570)/AF570),IF(Settings!$B$6="Equally",IF(AE570=0,0,AC570*N570/AE570),0))),0)</f>
        <v>0</v>
      </c>
      <c r="AH570" s="18" t="str">
        <f t="shared" si="79"/>
        <v/>
      </c>
      <c r="AI570" s="15">
        <f>IF(S570=1,IF(COUNTIFS($R$2:R570,R570,$S$2:S570,1)=1,1,0),0)</f>
        <v>0</v>
      </c>
      <c r="AJ570" s="15">
        <f>SUM($AI$2:AI570)</f>
        <v>12</v>
      </c>
    </row>
    <row r="571" spans="18:36">
      <c r="R571" s="15" t="str">
        <f t="shared" si="80"/>
        <v/>
      </c>
      <c r="S571" s="15">
        <f t="shared" si="72"/>
        <v>0</v>
      </c>
      <c r="T571" s="16" t="str">
        <f>IF(S571=1, DATE(YEAR(Settings!$B$3), MONTH(D571), DAY(D571)), "")</f>
        <v/>
      </c>
      <c r="U571" s="15" t="str">
        <f>IF(S571=1,IFERROR(INDEX(Settings!$B$12:$B$41,MATCH($B571,Settings!$A$12:$A$41,0)),"N"),"")</f>
        <v/>
      </c>
      <c r="V571" s="15" t="str">
        <f>IF(S571=1,IFERROR(INDEX(Settings!$C$12:$C$41,MATCH($B571,Settings!$A$12:$A$41,0)),""),"")</f>
        <v/>
      </c>
      <c r="W571" s="17">
        <f>IF(S571=1,IFERROR(INDEX(Settings!$D$12:$D$41,MATCH($B571,Settings!$A$12:$A$41,0)),0),0)</f>
        <v>0</v>
      </c>
      <c r="X571" s="18">
        <f t="shared" si="73"/>
        <v>0</v>
      </c>
      <c r="Y571" s="18" t="str">
        <f t="shared" si="74"/>
        <v/>
      </c>
      <c r="Z571" s="15" t="str">
        <f>IF(S571=1,IFERROR(INDEX(Settings!$E$12:$E$41,MATCH($B571,Settings!$A$12:$A$41,0)),"N"),"")</f>
        <v/>
      </c>
      <c r="AA571" s="17">
        <f>IF(S571=1,IFERROR(INDEX(Settings!$F$12:$F$41,MATCH($B571,Settings!$A$12:$A$41,0)),0),0)</f>
        <v>0</v>
      </c>
      <c r="AB571" s="15">
        <f>IF(S571=1,IFERROR(INDEX(Settings!$G$12:$G$41,MATCH($B571,Settings!$A$12:$A$41,0)),0),0)</f>
        <v>0</v>
      </c>
      <c r="AC571" s="18" t="str">
        <f t="shared" si="75"/>
        <v/>
      </c>
      <c r="AD571" s="15" t="str">
        <f t="shared" si="76"/>
        <v/>
      </c>
      <c r="AE571" s="15" t="str">
        <f t="shared" si="77"/>
        <v/>
      </c>
      <c r="AF571" s="15" t="str">
        <f t="shared" si="78"/>
        <v/>
      </c>
      <c r="AG571" s="18">
        <f>IF(AND(S571=1,Z571="Y"),IF(Settings!$B$6="Percentage",IF(AD571=0,0,AC571*AA571*(N571/AD571)),IF(Settings!$B$6="Points",IF(AF571=0,0,AC571*(N571*AB571)/AF571),IF(Settings!$B$6="Equally",IF(AE571=0,0,AC571*N571/AE571),0))),0)</f>
        <v>0</v>
      </c>
      <c r="AH571" s="18" t="str">
        <f t="shared" si="79"/>
        <v/>
      </c>
      <c r="AI571" s="15">
        <f>IF(S571=1,IF(COUNTIFS($R$2:R571,R571,$S$2:S571,1)=1,1,0),0)</f>
        <v>0</v>
      </c>
      <c r="AJ571" s="15">
        <f>SUM($AI$2:AI571)</f>
        <v>12</v>
      </c>
    </row>
    <row r="572" spans="18:36">
      <c r="R572" s="15" t="str">
        <f t="shared" si="80"/>
        <v/>
      </c>
      <c r="S572" s="15">
        <f t="shared" si="72"/>
        <v>0</v>
      </c>
      <c r="T572" s="16" t="str">
        <f>IF(S572=1, DATE(YEAR(Settings!$B$3), MONTH(D572), DAY(D572)), "")</f>
        <v/>
      </c>
      <c r="U572" s="15" t="str">
        <f>IF(S572=1,IFERROR(INDEX(Settings!$B$12:$B$41,MATCH($B572,Settings!$A$12:$A$41,0)),"N"),"")</f>
        <v/>
      </c>
      <c r="V572" s="15" t="str">
        <f>IF(S572=1,IFERROR(INDEX(Settings!$C$12:$C$41,MATCH($B572,Settings!$A$12:$A$41,0)),""),"")</f>
        <v/>
      </c>
      <c r="W572" s="17">
        <f>IF(S572=1,IFERROR(INDEX(Settings!$D$12:$D$41,MATCH($B572,Settings!$A$12:$A$41,0)),0),0)</f>
        <v>0</v>
      </c>
      <c r="X572" s="18">
        <f t="shared" si="73"/>
        <v>0</v>
      </c>
      <c r="Y572" s="18" t="str">
        <f t="shared" si="74"/>
        <v/>
      </c>
      <c r="Z572" s="15" t="str">
        <f>IF(S572=1,IFERROR(INDEX(Settings!$E$12:$E$41,MATCH($B572,Settings!$A$12:$A$41,0)),"N"),"")</f>
        <v/>
      </c>
      <c r="AA572" s="17">
        <f>IF(S572=1,IFERROR(INDEX(Settings!$F$12:$F$41,MATCH($B572,Settings!$A$12:$A$41,0)),0),0)</f>
        <v>0</v>
      </c>
      <c r="AB572" s="15">
        <f>IF(S572=1,IFERROR(INDEX(Settings!$G$12:$G$41,MATCH($B572,Settings!$A$12:$A$41,0)),0),0)</f>
        <v>0</v>
      </c>
      <c r="AC572" s="18" t="str">
        <f t="shared" si="75"/>
        <v/>
      </c>
      <c r="AD572" s="15" t="str">
        <f t="shared" si="76"/>
        <v/>
      </c>
      <c r="AE572" s="15" t="str">
        <f t="shared" si="77"/>
        <v/>
      </c>
      <c r="AF572" s="15" t="str">
        <f t="shared" si="78"/>
        <v/>
      </c>
      <c r="AG572" s="18">
        <f>IF(AND(S572=1,Z572="Y"),IF(Settings!$B$6="Percentage",IF(AD572=0,0,AC572*AA572*(N572/AD572)),IF(Settings!$B$6="Points",IF(AF572=0,0,AC572*(N572*AB572)/AF572),IF(Settings!$B$6="Equally",IF(AE572=0,0,AC572*N572/AE572),0))),0)</f>
        <v>0</v>
      </c>
      <c r="AH572" s="18" t="str">
        <f t="shared" si="79"/>
        <v/>
      </c>
      <c r="AI572" s="15">
        <f>IF(S572=1,IF(COUNTIFS($R$2:R572,R572,$S$2:S572,1)=1,1,0),0)</f>
        <v>0</v>
      </c>
      <c r="AJ572" s="15">
        <f>SUM($AI$2:AI572)</f>
        <v>12</v>
      </c>
    </row>
    <row r="573" spans="18:36">
      <c r="R573" s="15" t="str">
        <f t="shared" si="80"/>
        <v/>
      </c>
      <c r="S573" s="15">
        <f t="shared" si="72"/>
        <v>0</v>
      </c>
      <c r="T573" s="16" t="str">
        <f>IF(S573=1, DATE(YEAR(Settings!$B$3), MONTH(D573), DAY(D573)), "")</f>
        <v/>
      </c>
      <c r="U573" s="15" t="str">
        <f>IF(S573=1,IFERROR(INDEX(Settings!$B$12:$B$41,MATCH($B573,Settings!$A$12:$A$41,0)),"N"),"")</f>
        <v/>
      </c>
      <c r="V573" s="15" t="str">
        <f>IF(S573=1,IFERROR(INDEX(Settings!$C$12:$C$41,MATCH($B573,Settings!$A$12:$A$41,0)),""),"")</f>
        <v/>
      </c>
      <c r="W573" s="17">
        <f>IF(S573=1,IFERROR(INDEX(Settings!$D$12:$D$41,MATCH($B573,Settings!$A$12:$A$41,0)),0),0)</f>
        <v>0</v>
      </c>
      <c r="X573" s="18">
        <f t="shared" si="73"/>
        <v>0</v>
      </c>
      <c r="Y573" s="18" t="str">
        <f t="shared" si="74"/>
        <v/>
      </c>
      <c r="Z573" s="15" t="str">
        <f>IF(S573=1,IFERROR(INDEX(Settings!$E$12:$E$41,MATCH($B573,Settings!$A$12:$A$41,0)),"N"),"")</f>
        <v/>
      </c>
      <c r="AA573" s="17">
        <f>IF(S573=1,IFERROR(INDEX(Settings!$F$12:$F$41,MATCH($B573,Settings!$A$12:$A$41,0)),0),0)</f>
        <v>0</v>
      </c>
      <c r="AB573" s="15">
        <f>IF(S573=1,IFERROR(INDEX(Settings!$G$12:$G$41,MATCH($B573,Settings!$A$12:$A$41,0)),0),0)</f>
        <v>0</v>
      </c>
      <c r="AC573" s="18" t="str">
        <f t="shared" si="75"/>
        <v/>
      </c>
      <c r="AD573" s="15" t="str">
        <f t="shared" si="76"/>
        <v/>
      </c>
      <c r="AE573" s="15" t="str">
        <f t="shared" si="77"/>
        <v/>
      </c>
      <c r="AF573" s="15" t="str">
        <f t="shared" si="78"/>
        <v/>
      </c>
      <c r="AG573" s="18">
        <f>IF(AND(S573=1,Z573="Y"),IF(Settings!$B$6="Percentage",IF(AD573=0,0,AC573*AA573*(N573/AD573)),IF(Settings!$B$6="Points",IF(AF573=0,0,AC573*(N573*AB573)/AF573),IF(Settings!$B$6="Equally",IF(AE573=0,0,AC573*N573/AE573),0))),0)</f>
        <v>0</v>
      </c>
      <c r="AH573" s="18" t="str">
        <f t="shared" si="79"/>
        <v/>
      </c>
      <c r="AI573" s="15">
        <f>IF(S573=1,IF(COUNTIFS($R$2:R573,R573,$S$2:S573,1)=1,1,0),0)</f>
        <v>0</v>
      </c>
      <c r="AJ573" s="15">
        <f>SUM($AI$2:AI573)</f>
        <v>12</v>
      </c>
    </row>
    <row r="574" spans="18:36">
      <c r="R574" s="15" t="str">
        <f t="shared" si="80"/>
        <v/>
      </c>
      <c r="S574" s="15">
        <f t="shared" si="72"/>
        <v>0</v>
      </c>
      <c r="T574" s="16" t="str">
        <f>IF(S574=1, DATE(YEAR(Settings!$B$3), MONTH(D574), DAY(D574)), "")</f>
        <v/>
      </c>
      <c r="U574" s="15" t="str">
        <f>IF(S574=1,IFERROR(INDEX(Settings!$B$12:$B$41,MATCH($B574,Settings!$A$12:$A$41,0)),"N"),"")</f>
        <v/>
      </c>
      <c r="V574" s="15" t="str">
        <f>IF(S574=1,IFERROR(INDEX(Settings!$C$12:$C$41,MATCH($B574,Settings!$A$12:$A$41,0)),""),"")</f>
        <v/>
      </c>
      <c r="W574" s="17">
        <f>IF(S574=1,IFERROR(INDEX(Settings!$D$12:$D$41,MATCH($B574,Settings!$A$12:$A$41,0)),0),0)</f>
        <v>0</v>
      </c>
      <c r="X574" s="18">
        <f t="shared" si="73"/>
        <v>0</v>
      </c>
      <c r="Y574" s="18" t="str">
        <f t="shared" si="74"/>
        <v/>
      </c>
      <c r="Z574" s="15" t="str">
        <f>IF(S574=1,IFERROR(INDEX(Settings!$E$12:$E$41,MATCH($B574,Settings!$A$12:$A$41,0)),"N"),"")</f>
        <v/>
      </c>
      <c r="AA574" s="17">
        <f>IF(S574=1,IFERROR(INDEX(Settings!$F$12:$F$41,MATCH($B574,Settings!$A$12:$A$41,0)),0),0)</f>
        <v>0</v>
      </c>
      <c r="AB574" s="15">
        <f>IF(S574=1,IFERROR(INDEX(Settings!$G$12:$G$41,MATCH($B574,Settings!$A$12:$A$41,0)),0),0)</f>
        <v>0</v>
      </c>
      <c r="AC574" s="18" t="str">
        <f t="shared" si="75"/>
        <v/>
      </c>
      <c r="AD574" s="15" t="str">
        <f t="shared" si="76"/>
        <v/>
      </c>
      <c r="AE574" s="15" t="str">
        <f t="shared" si="77"/>
        <v/>
      </c>
      <c r="AF574" s="15" t="str">
        <f t="shared" si="78"/>
        <v/>
      </c>
      <c r="AG574" s="18">
        <f>IF(AND(S574=1,Z574="Y"),IF(Settings!$B$6="Percentage",IF(AD574=0,0,AC574*AA574*(N574/AD574)),IF(Settings!$B$6="Points",IF(AF574=0,0,AC574*(N574*AB574)/AF574),IF(Settings!$B$6="Equally",IF(AE574=0,0,AC574*N574/AE574),0))),0)</f>
        <v>0</v>
      </c>
      <c r="AH574" s="18" t="str">
        <f t="shared" si="79"/>
        <v/>
      </c>
      <c r="AI574" s="15">
        <f>IF(S574=1,IF(COUNTIFS($R$2:R574,R574,$S$2:S574,1)=1,1,0),0)</f>
        <v>0</v>
      </c>
      <c r="AJ574" s="15">
        <f>SUM($AI$2:AI574)</f>
        <v>12</v>
      </c>
    </row>
    <row r="575" spans="18:36">
      <c r="R575" s="15" t="str">
        <f t="shared" si="80"/>
        <v/>
      </c>
      <c r="S575" s="15">
        <f t="shared" si="72"/>
        <v>0</v>
      </c>
      <c r="T575" s="16" t="str">
        <f>IF(S575=1, DATE(YEAR(Settings!$B$3), MONTH(D575), DAY(D575)), "")</f>
        <v/>
      </c>
      <c r="U575" s="15" t="str">
        <f>IF(S575=1,IFERROR(INDEX(Settings!$B$12:$B$41,MATCH($B575,Settings!$A$12:$A$41,0)),"N"),"")</f>
        <v/>
      </c>
      <c r="V575" s="15" t="str">
        <f>IF(S575=1,IFERROR(INDEX(Settings!$C$12:$C$41,MATCH($B575,Settings!$A$12:$A$41,0)),""),"")</f>
        <v/>
      </c>
      <c r="W575" s="17">
        <f>IF(S575=1,IFERROR(INDEX(Settings!$D$12:$D$41,MATCH($B575,Settings!$A$12:$A$41,0)),0),0)</f>
        <v>0</v>
      </c>
      <c r="X575" s="18">
        <f t="shared" si="73"/>
        <v>0</v>
      </c>
      <c r="Y575" s="18" t="str">
        <f t="shared" si="74"/>
        <v/>
      </c>
      <c r="Z575" s="15" t="str">
        <f>IF(S575=1,IFERROR(INDEX(Settings!$E$12:$E$41,MATCH($B575,Settings!$A$12:$A$41,0)),"N"),"")</f>
        <v/>
      </c>
      <c r="AA575" s="17">
        <f>IF(S575=1,IFERROR(INDEX(Settings!$F$12:$F$41,MATCH($B575,Settings!$A$12:$A$41,0)),0),0)</f>
        <v>0</v>
      </c>
      <c r="AB575" s="15">
        <f>IF(S575=1,IFERROR(INDEX(Settings!$G$12:$G$41,MATCH($B575,Settings!$A$12:$A$41,0)),0),0)</f>
        <v>0</v>
      </c>
      <c r="AC575" s="18" t="str">
        <f t="shared" si="75"/>
        <v/>
      </c>
      <c r="AD575" s="15" t="str">
        <f t="shared" si="76"/>
        <v/>
      </c>
      <c r="AE575" s="15" t="str">
        <f t="shared" si="77"/>
        <v/>
      </c>
      <c r="AF575" s="15" t="str">
        <f t="shared" si="78"/>
        <v/>
      </c>
      <c r="AG575" s="18">
        <f>IF(AND(S575=1,Z575="Y"),IF(Settings!$B$6="Percentage",IF(AD575=0,0,AC575*AA575*(N575/AD575)),IF(Settings!$B$6="Points",IF(AF575=0,0,AC575*(N575*AB575)/AF575),IF(Settings!$B$6="Equally",IF(AE575=0,0,AC575*N575/AE575),0))),0)</f>
        <v>0</v>
      </c>
      <c r="AH575" s="18" t="str">
        <f t="shared" si="79"/>
        <v/>
      </c>
      <c r="AI575" s="15">
        <f>IF(S575=1,IF(COUNTIFS($R$2:R575,R575,$S$2:S575,1)=1,1,0),0)</f>
        <v>0</v>
      </c>
      <c r="AJ575" s="15">
        <f>SUM($AI$2:AI575)</f>
        <v>12</v>
      </c>
    </row>
    <row r="576" spans="18:36">
      <c r="R576" s="15" t="str">
        <f t="shared" si="80"/>
        <v/>
      </c>
      <c r="S576" s="15">
        <f t="shared" si="72"/>
        <v>0</v>
      </c>
      <c r="T576" s="16" t="str">
        <f>IF(S576=1, DATE(YEAR(Settings!$B$3), MONTH(D576), DAY(D576)), "")</f>
        <v/>
      </c>
      <c r="U576" s="15" t="str">
        <f>IF(S576=1,IFERROR(INDEX(Settings!$B$12:$B$41,MATCH($B576,Settings!$A$12:$A$41,0)),"N"),"")</f>
        <v/>
      </c>
      <c r="V576" s="15" t="str">
        <f>IF(S576=1,IFERROR(INDEX(Settings!$C$12:$C$41,MATCH($B576,Settings!$A$12:$A$41,0)),""),"")</f>
        <v/>
      </c>
      <c r="W576" s="17">
        <f>IF(S576=1,IFERROR(INDEX(Settings!$D$12:$D$41,MATCH($B576,Settings!$A$12:$A$41,0)),0),0)</f>
        <v>0</v>
      </c>
      <c r="X576" s="18">
        <f t="shared" si="73"/>
        <v>0</v>
      </c>
      <c r="Y576" s="18" t="str">
        <f t="shared" si="74"/>
        <v/>
      </c>
      <c r="Z576" s="15" t="str">
        <f>IF(S576=1,IFERROR(INDEX(Settings!$E$12:$E$41,MATCH($B576,Settings!$A$12:$A$41,0)),"N"),"")</f>
        <v/>
      </c>
      <c r="AA576" s="17">
        <f>IF(S576=1,IFERROR(INDEX(Settings!$F$12:$F$41,MATCH($B576,Settings!$A$12:$A$41,0)),0),0)</f>
        <v>0</v>
      </c>
      <c r="AB576" s="15">
        <f>IF(S576=1,IFERROR(INDEX(Settings!$G$12:$G$41,MATCH($B576,Settings!$A$12:$A$41,0)),0),0)</f>
        <v>0</v>
      </c>
      <c r="AC576" s="18" t="str">
        <f t="shared" si="75"/>
        <v/>
      </c>
      <c r="AD576" s="15" t="str">
        <f t="shared" si="76"/>
        <v/>
      </c>
      <c r="AE576" s="15" t="str">
        <f t="shared" si="77"/>
        <v/>
      </c>
      <c r="AF576" s="15" t="str">
        <f t="shared" si="78"/>
        <v/>
      </c>
      <c r="AG576" s="18">
        <f>IF(AND(S576=1,Z576="Y"),IF(Settings!$B$6="Percentage",IF(AD576=0,0,AC576*AA576*(N576/AD576)),IF(Settings!$B$6="Points",IF(AF576=0,0,AC576*(N576*AB576)/AF576),IF(Settings!$B$6="Equally",IF(AE576=0,0,AC576*N576/AE576),0))),0)</f>
        <v>0</v>
      </c>
      <c r="AH576" s="18" t="str">
        <f t="shared" si="79"/>
        <v/>
      </c>
      <c r="AI576" s="15">
        <f>IF(S576=1,IF(COUNTIFS($R$2:R576,R576,$S$2:S576,1)=1,1,0),0)</f>
        <v>0</v>
      </c>
      <c r="AJ576" s="15">
        <f>SUM($AI$2:AI576)</f>
        <v>12</v>
      </c>
    </row>
    <row r="577" spans="18:36">
      <c r="R577" s="15" t="str">
        <f t="shared" si="80"/>
        <v/>
      </c>
      <c r="S577" s="15">
        <f t="shared" si="72"/>
        <v>0</v>
      </c>
      <c r="T577" s="16" t="str">
        <f>IF(S577=1, DATE(YEAR(Settings!$B$3), MONTH(D577), DAY(D577)), "")</f>
        <v/>
      </c>
      <c r="U577" s="15" t="str">
        <f>IF(S577=1,IFERROR(INDEX(Settings!$B$12:$B$41,MATCH($B577,Settings!$A$12:$A$41,0)),"N"),"")</f>
        <v/>
      </c>
      <c r="V577" s="15" t="str">
        <f>IF(S577=1,IFERROR(INDEX(Settings!$C$12:$C$41,MATCH($B577,Settings!$A$12:$A$41,0)),""),"")</f>
        <v/>
      </c>
      <c r="W577" s="17">
        <f>IF(S577=1,IFERROR(INDEX(Settings!$D$12:$D$41,MATCH($B577,Settings!$A$12:$A$41,0)),0),0)</f>
        <v>0</v>
      </c>
      <c r="X577" s="18">
        <f t="shared" si="73"/>
        <v>0</v>
      </c>
      <c r="Y577" s="18" t="str">
        <f t="shared" si="74"/>
        <v/>
      </c>
      <c r="Z577" s="15" t="str">
        <f>IF(S577=1,IFERROR(INDEX(Settings!$E$12:$E$41,MATCH($B577,Settings!$A$12:$A$41,0)),"N"),"")</f>
        <v/>
      </c>
      <c r="AA577" s="17">
        <f>IF(S577=1,IFERROR(INDEX(Settings!$F$12:$F$41,MATCH($B577,Settings!$A$12:$A$41,0)),0),0)</f>
        <v>0</v>
      </c>
      <c r="AB577" s="15">
        <f>IF(S577=1,IFERROR(INDEX(Settings!$G$12:$G$41,MATCH($B577,Settings!$A$12:$A$41,0)),0),0)</f>
        <v>0</v>
      </c>
      <c r="AC577" s="18" t="str">
        <f t="shared" si="75"/>
        <v/>
      </c>
      <c r="AD577" s="15" t="str">
        <f t="shared" si="76"/>
        <v/>
      </c>
      <c r="AE577" s="15" t="str">
        <f t="shared" si="77"/>
        <v/>
      </c>
      <c r="AF577" s="15" t="str">
        <f t="shared" si="78"/>
        <v/>
      </c>
      <c r="AG577" s="18">
        <f>IF(AND(S577=1,Z577="Y"),IF(Settings!$B$6="Percentage",IF(AD577=0,0,AC577*AA577*(N577/AD577)),IF(Settings!$B$6="Points",IF(AF577=0,0,AC577*(N577*AB577)/AF577),IF(Settings!$B$6="Equally",IF(AE577=0,0,AC577*N577/AE577),0))),0)</f>
        <v>0</v>
      </c>
      <c r="AH577" s="18" t="str">
        <f t="shared" si="79"/>
        <v/>
      </c>
      <c r="AI577" s="15">
        <f>IF(S577=1,IF(COUNTIFS($R$2:R577,R577,$S$2:S577,1)=1,1,0),0)</f>
        <v>0</v>
      </c>
      <c r="AJ577" s="15">
        <f>SUM($AI$2:AI577)</f>
        <v>12</v>
      </c>
    </row>
    <row r="578" spans="18:36">
      <c r="R578" s="15" t="str">
        <f t="shared" si="80"/>
        <v/>
      </c>
      <c r="S578" s="15">
        <f t="shared" ref="S578:S601" si="81">IF(AND(D578&lt;&gt;"",A578&lt;&gt;"Total"),1,0)</f>
        <v>0</v>
      </c>
      <c r="T578" s="16" t="str">
        <f>IF(S578=1, DATE(YEAR(Settings!$B$3), MONTH(D578), DAY(D578)), "")</f>
        <v/>
      </c>
      <c r="U578" s="15" t="str">
        <f>IF(S578=1,IFERROR(INDEX(Settings!$B$12:$B$41,MATCH($B578,Settings!$A$12:$A$41,0)),"N"),"")</f>
        <v/>
      </c>
      <c r="V578" s="15" t="str">
        <f>IF(S578=1,IFERROR(INDEX(Settings!$C$12:$C$41,MATCH($B578,Settings!$A$12:$A$41,0)),""),"")</f>
        <v/>
      </c>
      <c r="W578" s="17">
        <f>IF(S578=1,IFERROR(INDEX(Settings!$D$12:$D$41,MATCH($B578,Settings!$A$12:$A$41,0)),0),0)</f>
        <v>0</v>
      </c>
      <c r="X578" s="18">
        <f t="shared" ref="X578:X601" si="82">IF(AND(S578=1,U578="Y"),IF(V578="% of Sales",O578*W578,IF(V578="% of Tips",P578*W578,0)),0)</f>
        <v>0</v>
      </c>
      <c r="Y578" s="18" t="str">
        <f t="shared" ref="Y578:Y601" si="83">IF(S578=1,P578-X578,"")</f>
        <v/>
      </c>
      <c r="Z578" s="15" t="str">
        <f>IF(S578=1,IFERROR(INDEX(Settings!$E$12:$E$41,MATCH($B578,Settings!$A$12:$A$41,0)),"N"),"")</f>
        <v/>
      </c>
      <c r="AA578" s="17">
        <f>IF(S578=1,IFERROR(INDEX(Settings!$F$12:$F$41,MATCH($B578,Settings!$A$12:$A$41,0)),0),0)</f>
        <v>0</v>
      </c>
      <c r="AB578" s="15">
        <f>IF(S578=1,IFERROR(INDEX(Settings!$G$12:$G$41,MATCH($B578,Settings!$A$12:$A$41,0)),0),0)</f>
        <v>0</v>
      </c>
      <c r="AC578" s="18" t="str">
        <f t="shared" ref="AC578:AC601" si="84">IF(S578=1,SUMIFS($X$2:$X$601,$S$2:$S$601,1,$T$2:$T$601,T578),"")</f>
        <v/>
      </c>
      <c r="AD578" s="15" t="str">
        <f t="shared" ref="AD578:AD601" si="85">IF(S578=1,SUMIFS($N$2:$N$601,$S$2:$S$601,1,$T$2:$T$601,T578,$B$2:$B$601,B578),"")</f>
        <v/>
      </c>
      <c r="AE578" s="15" t="str">
        <f t="shared" ref="AE578:AE601" si="86">IF(S578=1,SUMIFS($N$2:$N$601,$S$2:$S$601,1,$T$2:$T$601,T578,$Z$2:$Z$601,"Y"),"")</f>
        <v/>
      </c>
      <c r="AF578" s="15" t="str">
        <f t="shared" ref="AF578:AF601" si="87">IF(S578=1,SUMPRODUCT(($S$2:$S$601=1)*($T$2:$T$601=T578)*($Z$2:$Z$601="Y")*($N$2:$N$601)*($AB$2:$AB$601)),"")</f>
        <v/>
      </c>
      <c r="AG578" s="18">
        <f>IF(AND(S578=1,Z578="Y"),IF(Settings!$B$6="Percentage",IF(AD578=0,0,AC578*AA578*(N578/AD578)),IF(Settings!$B$6="Points",IF(AF578=0,0,AC578*(N578*AB578)/AF578),IF(Settings!$B$6="Equally",IF(AE578=0,0,AC578*N578/AE578),0))),0)</f>
        <v>0</v>
      </c>
      <c r="AH578" s="18" t="str">
        <f t="shared" ref="AH578:AH601" si="88">IF(S578=1,Y578+AG578,"")</f>
        <v/>
      </c>
      <c r="AI578" s="15">
        <f>IF(S578=1,IF(COUNTIFS($R$2:R578,R578,$S$2:S578,1)=1,1,0),0)</f>
        <v>0</v>
      </c>
      <c r="AJ578" s="15">
        <f>SUM($AI$2:AI578)</f>
        <v>12</v>
      </c>
    </row>
    <row r="579" spans="18:36">
      <c r="R579" s="15" t="str">
        <f t="shared" ref="R579:R601" si="89">IF(A579&lt;&gt;"",IF(A579="Total","",A579),IF(D579&lt;&gt;"",R578,""))</f>
        <v/>
      </c>
      <c r="S579" s="15">
        <f t="shared" si="81"/>
        <v>0</v>
      </c>
      <c r="T579" s="16" t="str">
        <f>IF(S579=1, DATE(YEAR(Settings!$B$3), MONTH(D579), DAY(D579)), "")</f>
        <v/>
      </c>
      <c r="U579" s="15" t="str">
        <f>IF(S579=1,IFERROR(INDEX(Settings!$B$12:$B$41,MATCH($B579,Settings!$A$12:$A$41,0)),"N"),"")</f>
        <v/>
      </c>
      <c r="V579" s="15" t="str">
        <f>IF(S579=1,IFERROR(INDEX(Settings!$C$12:$C$41,MATCH($B579,Settings!$A$12:$A$41,0)),""),"")</f>
        <v/>
      </c>
      <c r="W579" s="17">
        <f>IF(S579=1,IFERROR(INDEX(Settings!$D$12:$D$41,MATCH($B579,Settings!$A$12:$A$41,0)),0),0)</f>
        <v>0</v>
      </c>
      <c r="X579" s="18">
        <f t="shared" si="82"/>
        <v>0</v>
      </c>
      <c r="Y579" s="18" t="str">
        <f t="shared" si="83"/>
        <v/>
      </c>
      <c r="Z579" s="15" t="str">
        <f>IF(S579=1,IFERROR(INDEX(Settings!$E$12:$E$41,MATCH($B579,Settings!$A$12:$A$41,0)),"N"),"")</f>
        <v/>
      </c>
      <c r="AA579" s="17">
        <f>IF(S579=1,IFERROR(INDEX(Settings!$F$12:$F$41,MATCH($B579,Settings!$A$12:$A$41,0)),0),0)</f>
        <v>0</v>
      </c>
      <c r="AB579" s="15">
        <f>IF(S579=1,IFERROR(INDEX(Settings!$G$12:$G$41,MATCH($B579,Settings!$A$12:$A$41,0)),0),0)</f>
        <v>0</v>
      </c>
      <c r="AC579" s="18" t="str">
        <f t="shared" si="84"/>
        <v/>
      </c>
      <c r="AD579" s="15" t="str">
        <f t="shared" si="85"/>
        <v/>
      </c>
      <c r="AE579" s="15" t="str">
        <f t="shared" si="86"/>
        <v/>
      </c>
      <c r="AF579" s="15" t="str">
        <f t="shared" si="87"/>
        <v/>
      </c>
      <c r="AG579" s="18">
        <f>IF(AND(S579=1,Z579="Y"),IF(Settings!$B$6="Percentage",IF(AD579=0,0,AC579*AA579*(N579/AD579)),IF(Settings!$B$6="Points",IF(AF579=0,0,AC579*(N579*AB579)/AF579),IF(Settings!$B$6="Equally",IF(AE579=0,0,AC579*N579/AE579),0))),0)</f>
        <v>0</v>
      </c>
      <c r="AH579" s="18" t="str">
        <f t="shared" si="88"/>
        <v/>
      </c>
      <c r="AI579" s="15">
        <f>IF(S579=1,IF(COUNTIFS($R$2:R579,R579,$S$2:S579,1)=1,1,0),0)</f>
        <v>0</v>
      </c>
      <c r="AJ579" s="15">
        <f>SUM($AI$2:AI579)</f>
        <v>12</v>
      </c>
    </row>
    <row r="580" spans="18:36">
      <c r="R580" s="15" t="str">
        <f t="shared" si="89"/>
        <v/>
      </c>
      <c r="S580" s="15">
        <f t="shared" si="81"/>
        <v>0</v>
      </c>
      <c r="T580" s="16" t="str">
        <f>IF(S580=1, DATE(YEAR(Settings!$B$3), MONTH(D580), DAY(D580)), "")</f>
        <v/>
      </c>
      <c r="U580" s="15" t="str">
        <f>IF(S580=1,IFERROR(INDEX(Settings!$B$12:$B$41,MATCH($B580,Settings!$A$12:$A$41,0)),"N"),"")</f>
        <v/>
      </c>
      <c r="V580" s="15" t="str">
        <f>IF(S580=1,IFERROR(INDEX(Settings!$C$12:$C$41,MATCH($B580,Settings!$A$12:$A$41,0)),""),"")</f>
        <v/>
      </c>
      <c r="W580" s="17">
        <f>IF(S580=1,IFERROR(INDEX(Settings!$D$12:$D$41,MATCH($B580,Settings!$A$12:$A$41,0)),0),0)</f>
        <v>0</v>
      </c>
      <c r="X580" s="18">
        <f t="shared" si="82"/>
        <v>0</v>
      </c>
      <c r="Y580" s="18" t="str">
        <f t="shared" si="83"/>
        <v/>
      </c>
      <c r="Z580" s="15" t="str">
        <f>IF(S580=1,IFERROR(INDEX(Settings!$E$12:$E$41,MATCH($B580,Settings!$A$12:$A$41,0)),"N"),"")</f>
        <v/>
      </c>
      <c r="AA580" s="17">
        <f>IF(S580=1,IFERROR(INDEX(Settings!$F$12:$F$41,MATCH($B580,Settings!$A$12:$A$41,0)),0),0)</f>
        <v>0</v>
      </c>
      <c r="AB580" s="15">
        <f>IF(S580=1,IFERROR(INDEX(Settings!$G$12:$G$41,MATCH($B580,Settings!$A$12:$A$41,0)),0),0)</f>
        <v>0</v>
      </c>
      <c r="AC580" s="18" t="str">
        <f t="shared" si="84"/>
        <v/>
      </c>
      <c r="AD580" s="15" t="str">
        <f t="shared" si="85"/>
        <v/>
      </c>
      <c r="AE580" s="15" t="str">
        <f t="shared" si="86"/>
        <v/>
      </c>
      <c r="AF580" s="15" t="str">
        <f t="shared" si="87"/>
        <v/>
      </c>
      <c r="AG580" s="18">
        <f>IF(AND(S580=1,Z580="Y"),IF(Settings!$B$6="Percentage",IF(AD580=0,0,AC580*AA580*(N580/AD580)),IF(Settings!$B$6="Points",IF(AF580=0,0,AC580*(N580*AB580)/AF580),IF(Settings!$B$6="Equally",IF(AE580=0,0,AC580*N580/AE580),0))),0)</f>
        <v>0</v>
      </c>
      <c r="AH580" s="18" t="str">
        <f t="shared" si="88"/>
        <v/>
      </c>
      <c r="AI580" s="15">
        <f>IF(S580=1,IF(COUNTIFS($R$2:R580,R580,$S$2:S580,1)=1,1,0),0)</f>
        <v>0</v>
      </c>
      <c r="AJ580" s="15">
        <f>SUM($AI$2:AI580)</f>
        <v>12</v>
      </c>
    </row>
    <row r="581" spans="18:36">
      <c r="R581" s="15" t="str">
        <f t="shared" si="89"/>
        <v/>
      </c>
      <c r="S581" s="15">
        <f t="shared" si="81"/>
        <v>0</v>
      </c>
      <c r="T581" s="16" t="str">
        <f>IF(S581=1, DATE(YEAR(Settings!$B$3), MONTH(D581), DAY(D581)), "")</f>
        <v/>
      </c>
      <c r="U581" s="15" t="str">
        <f>IF(S581=1,IFERROR(INDEX(Settings!$B$12:$B$41,MATCH($B581,Settings!$A$12:$A$41,0)),"N"),"")</f>
        <v/>
      </c>
      <c r="V581" s="15" t="str">
        <f>IF(S581=1,IFERROR(INDEX(Settings!$C$12:$C$41,MATCH($B581,Settings!$A$12:$A$41,0)),""),"")</f>
        <v/>
      </c>
      <c r="W581" s="17">
        <f>IF(S581=1,IFERROR(INDEX(Settings!$D$12:$D$41,MATCH($B581,Settings!$A$12:$A$41,0)),0),0)</f>
        <v>0</v>
      </c>
      <c r="X581" s="18">
        <f t="shared" si="82"/>
        <v>0</v>
      </c>
      <c r="Y581" s="18" t="str">
        <f t="shared" si="83"/>
        <v/>
      </c>
      <c r="Z581" s="15" t="str">
        <f>IF(S581=1,IFERROR(INDEX(Settings!$E$12:$E$41,MATCH($B581,Settings!$A$12:$A$41,0)),"N"),"")</f>
        <v/>
      </c>
      <c r="AA581" s="17">
        <f>IF(S581=1,IFERROR(INDEX(Settings!$F$12:$F$41,MATCH($B581,Settings!$A$12:$A$41,0)),0),0)</f>
        <v>0</v>
      </c>
      <c r="AB581" s="15">
        <f>IF(S581=1,IFERROR(INDEX(Settings!$G$12:$G$41,MATCH($B581,Settings!$A$12:$A$41,0)),0),0)</f>
        <v>0</v>
      </c>
      <c r="AC581" s="18" t="str">
        <f t="shared" si="84"/>
        <v/>
      </c>
      <c r="AD581" s="15" t="str">
        <f t="shared" si="85"/>
        <v/>
      </c>
      <c r="AE581" s="15" t="str">
        <f t="shared" si="86"/>
        <v/>
      </c>
      <c r="AF581" s="15" t="str">
        <f t="shared" si="87"/>
        <v/>
      </c>
      <c r="AG581" s="18">
        <f>IF(AND(S581=1,Z581="Y"),IF(Settings!$B$6="Percentage",IF(AD581=0,0,AC581*AA581*(N581/AD581)),IF(Settings!$B$6="Points",IF(AF581=0,0,AC581*(N581*AB581)/AF581),IF(Settings!$B$6="Equally",IF(AE581=0,0,AC581*N581/AE581),0))),0)</f>
        <v>0</v>
      </c>
      <c r="AH581" s="18" t="str">
        <f t="shared" si="88"/>
        <v/>
      </c>
      <c r="AI581" s="15">
        <f>IF(S581=1,IF(COUNTIFS($R$2:R581,R581,$S$2:S581,1)=1,1,0),0)</f>
        <v>0</v>
      </c>
      <c r="AJ581" s="15">
        <f>SUM($AI$2:AI581)</f>
        <v>12</v>
      </c>
    </row>
    <row r="582" spans="18:36">
      <c r="R582" s="15" t="str">
        <f t="shared" si="89"/>
        <v/>
      </c>
      <c r="S582" s="15">
        <f t="shared" si="81"/>
        <v>0</v>
      </c>
      <c r="T582" s="16" t="str">
        <f>IF(S582=1, DATE(YEAR(Settings!$B$3), MONTH(D582), DAY(D582)), "")</f>
        <v/>
      </c>
      <c r="U582" s="15" t="str">
        <f>IF(S582=1,IFERROR(INDEX(Settings!$B$12:$B$41,MATCH($B582,Settings!$A$12:$A$41,0)),"N"),"")</f>
        <v/>
      </c>
      <c r="V582" s="15" t="str">
        <f>IF(S582=1,IFERROR(INDEX(Settings!$C$12:$C$41,MATCH($B582,Settings!$A$12:$A$41,0)),""),"")</f>
        <v/>
      </c>
      <c r="W582" s="17">
        <f>IF(S582=1,IFERROR(INDEX(Settings!$D$12:$D$41,MATCH($B582,Settings!$A$12:$A$41,0)),0),0)</f>
        <v>0</v>
      </c>
      <c r="X582" s="18">
        <f t="shared" si="82"/>
        <v>0</v>
      </c>
      <c r="Y582" s="18" t="str">
        <f t="shared" si="83"/>
        <v/>
      </c>
      <c r="Z582" s="15" t="str">
        <f>IF(S582=1,IFERROR(INDEX(Settings!$E$12:$E$41,MATCH($B582,Settings!$A$12:$A$41,0)),"N"),"")</f>
        <v/>
      </c>
      <c r="AA582" s="17">
        <f>IF(S582=1,IFERROR(INDEX(Settings!$F$12:$F$41,MATCH($B582,Settings!$A$12:$A$41,0)),0),0)</f>
        <v>0</v>
      </c>
      <c r="AB582" s="15">
        <f>IF(S582=1,IFERROR(INDEX(Settings!$G$12:$G$41,MATCH($B582,Settings!$A$12:$A$41,0)),0),0)</f>
        <v>0</v>
      </c>
      <c r="AC582" s="18" t="str">
        <f t="shared" si="84"/>
        <v/>
      </c>
      <c r="AD582" s="15" t="str">
        <f t="shared" si="85"/>
        <v/>
      </c>
      <c r="AE582" s="15" t="str">
        <f t="shared" si="86"/>
        <v/>
      </c>
      <c r="AF582" s="15" t="str">
        <f t="shared" si="87"/>
        <v/>
      </c>
      <c r="AG582" s="18">
        <f>IF(AND(S582=1,Z582="Y"),IF(Settings!$B$6="Percentage",IF(AD582=0,0,AC582*AA582*(N582/AD582)),IF(Settings!$B$6="Points",IF(AF582=0,0,AC582*(N582*AB582)/AF582),IF(Settings!$B$6="Equally",IF(AE582=0,0,AC582*N582/AE582),0))),0)</f>
        <v>0</v>
      </c>
      <c r="AH582" s="18" t="str">
        <f t="shared" si="88"/>
        <v/>
      </c>
      <c r="AI582" s="15">
        <f>IF(S582=1,IF(COUNTIFS($R$2:R582,R582,$S$2:S582,1)=1,1,0),0)</f>
        <v>0</v>
      </c>
      <c r="AJ582" s="15">
        <f>SUM($AI$2:AI582)</f>
        <v>12</v>
      </c>
    </row>
    <row r="583" spans="18:36">
      <c r="R583" s="15" t="str">
        <f t="shared" si="89"/>
        <v/>
      </c>
      <c r="S583" s="15">
        <f t="shared" si="81"/>
        <v>0</v>
      </c>
      <c r="T583" s="16" t="str">
        <f>IF(S583=1, DATE(YEAR(Settings!$B$3), MONTH(D583), DAY(D583)), "")</f>
        <v/>
      </c>
      <c r="U583" s="15" t="str">
        <f>IF(S583=1,IFERROR(INDEX(Settings!$B$12:$B$41,MATCH($B583,Settings!$A$12:$A$41,0)),"N"),"")</f>
        <v/>
      </c>
      <c r="V583" s="15" t="str">
        <f>IF(S583=1,IFERROR(INDEX(Settings!$C$12:$C$41,MATCH($B583,Settings!$A$12:$A$41,0)),""),"")</f>
        <v/>
      </c>
      <c r="W583" s="17">
        <f>IF(S583=1,IFERROR(INDEX(Settings!$D$12:$D$41,MATCH($B583,Settings!$A$12:$A$41,0)),0),0)</f>
        <v>0</v>
      </c>
      <c r="X583" s="18">
        <f t="shared" si="82"/>
        <v>0</v>
      </c>
      <c r="Y583" s="18" t="str">
        <f t="shared" si="83"/>
        <v/>
      </c>
      <c r="Z583" s="15" t="str">
        <f>IF(S583=1,IFERROR(INDEX(Settings!$E$12:$E$41,MATCH($B583,Settings!$A$12:$A$41,0)),"N"),"")</f>
        <v/>
      </c>
      <c r="AA583" s="17">
        <f>IF(S583=1,IFERROR(INDEX(Settings!$F$12:$F$41,MATCH($B583,Settings!$A$12:$A$41,0)),0),0)</f>
        <v>0</v>
      </c>
      <c r="AB583" s="15">
        <f>IF(S583=1,IFERROR(INDEX(Settings!$G$12:$G$41,MATCH($B583,Settings!$A$12:$A$41,0)),0),0)</f>
        <v>0</v>
      </c>
      <c r="AC583" s="18" t="str">
        <f t="shared" si="84"/>
        <v/>
      </c>
      <c r="AD583" s="15" t="str">
        <f t="shared" si="85"/>
        <v/>
      </c>
      <c r="AE583" s="15" t="str">
        <f t="shared" si="86"/>
        <v/>
      </c>
      <c r="AF583" s="15" t="str">
        <f t="shared" si="87"/>
        <v/>
      </c>
      <c r="AG583" s="18">
        <f>IF(AND(S583=1,Z583="Y"),IF(Settings!$B$6="Percentage",IF(AD583=0,0,AC583*AA583*(N583/AD583)),IF(Settings!$B$6="Points",IF(AF583=0,0,AC583*(N583*AB583)/AF583),IF(Settings!$B$6="Equally",IF(AE583=0,0,AC583*N583/AE583),0))),0)</f>
        <v>0</v>
      </c>
      <c r="AH583" s="18" t="str">
        <f t="shared" si="88"/>
        <v/>
      </c>
      <c r="AI583" s="15">
        <f>IF(S583=1,IF(COUNTIFS($R$2:R583,R583,$S$2:S583,1)=1,1,0),0)</f>
        <v>0</v>
      </c>
      <c r="AJ583" s="15">
        <f>SUM($AI$2:AI583)</f>
        <v>12</v>
      </c>
    </row>
    <row r="584" spans="18:36">
      <c r="R584" s="15" t="str">
        <f t="shared" si="89"/>
        <v/>
      </c>
      <c r="S584" s="15">
        <f t="shared" si="81"/>
        <v>0</v>
      </c>
      <c r="T584" s="16" t="str">
        <f>IF(S584=1, DATE(YEAR(Settings!$B$3), MONTH(D584), DAY(D584)), "")</f>
        <v/>
      </c>
      <c r="U584" s="15" t="str">
        <f>IF(S584=1,IFERROR(INDEX(Settings!$B$12:$B$41,MATCH($B584,Settings!$A$12:$A$41,0)),"N"),"")</f>
        <v/>
      </c>
      <c r="V584" s="15" t="str">
        <f>IF(S584=1,IFERROR(INDEX(Settings!$C$12:$C$41,MATCH($B584,Settings!$A$12:$A$41,0)),""),"")</f>
        <v/>
      </c>
      <c r="W584" s="17">
        <f>IF(S584=1,IFERROR(INDEX(Settings!$D$12:$D$41,MATCH($B584,Settings!$A$12:$A$41,0)),0),0)</f>
        <v>0</v>
      </c>
      <c r="X584" s="18">
        <f t="shared" si="82"/>
        <v>0</v>
      </c>
      <c r="Y584" s="18" t="str">
        <f t="shared" si="83"/>
        <v/>
      </c>
      <c r="Z584" s="15" t="str">
        <f>IF(S584=1,IFERROR(INDEX(Settings!$E$12:$E$41,MATCH($B584,Settings!$A$12:$A$41,0)),"N"),"")</f>
        <v/>
      </c>
      <c r="AA584" s="17">
        <f>IF(S584=1,IFERROR(INDEX(Settings!$F$12:$F$41,MATCH($B584,Settings!$A$12:$A$41,0)),0),0)</f>
        <v>0</v>
      </c>
      <c r="AB584" s="15">
        <f>IF(S584=1,IFERROR(INDEX(Settings!$G$12:$G$41,MATCH($B584,Settings!$A$12:$A$41,0)),0),0)</f>
        <v>0</v>
      </c>
      <c r="AC584" s="18" t="str">
        <f t="shared" si="84"/>
        <v/>
      </c>
      <c r="AD584" s="15" t="str">
        <f t="shared" si="85"/>
        <v/>
      </c>
      <c r="AE584" s="15" t="str">
        <f t="shared" si="86"/>
        <v/>
      </c>
      <c r="AF584" s="15" t="str">
        <f t="shared" si="87"/>
        <v/>
      </c>
      <c r="AG584" s="18">
        <f>IF(AND(S584=1,Z584="Y"),IF(Settings!$B$6="Percentage",IF(AD584=0,0,AC584*AA584*(N584/AD584)),IF(Settings!$B$6="Points",IF(AF584=0,0,AC584*(N584*AB584)/AF584),IF(Settings!$B$6="Equally",IF(AE584=0,0,AC584*N584/AE584),0))),0)</f>
        <v>0</v>
      </c>
      <c r="AH584" s="18" t="str">
        <f t="shared" si="88"/>
        <v/>
      </c>
      <c r="AI584" s="15">
        <f>IF(S584=1,IF(COUNTIFS($R$2:R584,R584,$S$2:S584,1)=1,1,0),0)</f>
        <v>0</v>
      </c>
      <c r="AJ584" s="15">
        <f>SUM($AI$2:AI584)</f>
        <v>12</v>
      </c>
    </row>
    <row r="585" spans="18:36">
      <c r="R585" s="15" t="str">
        <f t="shared" si="89"/>
        <v/>
      </c>
      <c r="S585" s="15">
        <f t="shared" si="81"/>
        <v>0</v>
      </c>
      <c r="T585" s="16" t="str">
        <f>IF(S585=1, DATE(YEAR(Settings!$B$3), MONTH(D585), DAY(D585)), "")</f>
        <v/>
      </c>
      <c r="U585" s="15" t="str">
        <f>IF(S585=1,IFERROR(INDEX(Settings!$B$12:$B$41,MATCH($B585,Settings!$A$12:$A$41,0)),"N"),"")</f>
        <v/>
      </c>
      <c r="V585" s="15" t="str">
        <f>IF(S585=1,IFERROR(INDEX(Settings!$C$12:$C$41,MATCH($B585,Settings!$A$12:$A$41,0)),""),"")</f>
        <v/>
      </c>
      <c r="W585" s="17">
        <f>IF(S585=1,IFERROR(INDEX(Settings!$D$12:$D$41,MATCH($B585,Settings!$A$12:$A$41,0)),0),0)</f>
        <v>0</v>
      </c>
      <c r="X585" s="18">
        <f t="shared" si="82"/>
        <v>0</v>
      </c>
      <c r="Y585" s="18" t="str">
        <f t="shared" si="83"/>
        <v/>
      </c>
      <c r="Z585" s="15" t="str">
        <f>IF(S585=1,IFERROR(INDEX(Settings!$E$12:$E$41,MATCH($B585,Settings!$A$12:$A$41,0)),"N"),"")</f>
        <v/>
      </c>
      <c r="AA585" s="17">
        <f>IF(S585=1,IFERROR(INDEX(Settings!$F$12:$F$41,MATCH($B585,Settings!$A$12:$A$41,0)),0),0)</f>
        <v>0</v>
      </c>
      <c r="AB585" s="15">
        <f>IF(S585=1,IFERROR(INDEX(Settings!$G$12:$G$41,MATCH($B585,Settings!$A$12:$A$41,0)),0),0)</f>
        <v>0</v>
      </c>
      <c r="AC585" s="18" t="str">
        <f t="shared" si="84"/>
        <v/>
      </c>
      <c r="AD585" s="15" t="str">
        <f t="shared" si="85"/>
        <v/>
      </c>
      <c r="AE585" s="15" t="str">
        <f t="shared" si="86"/>
        <v/>
      </c>
      <c r="AF585" s="15" t="str">
        <f t="shared" si="87"/>
        <v/>
      </c>
      <c r="AG585" s="18">
        <f>IF(AND(S585=1,Z585="Y"),IF(Settings!$B$6="Percentage",IF(AD585=0,0,AC585*AA585*(N585/AD585)),IF(Settings!$B$6="Points",IF(AF585=0,0,AC585*(N585*AB585)/AF585),IF(Settings!$B$6="Equally",IF(AE585=0,0,AC585*N585/AE585),0))),0)</f>
        <v>0</v>
      </c>
      <c r="AH585" s="18" t="str">
        <f t="shared" si="88"/>
        <v/>
      </c>
      <c r="AI585" s="15">
        <f>IF(S585=1,IF(COUNTIFS($R$2:R585,R585,$S$2:S585,1)=1,1,0),0)</f>
        <v>0</v>
      </c>
      <c r="AJ585" s="15">
        <f>SUM($AI$2:AI585)</f>
        <v>12</v>
      </c>
    </row>
    <row r="586" spans="18:36">
      <c r="R586" s="15" t="str">
        <f t="shared" si="89"/>
        <v/>
      </c>
      <c r="S586" s="15">
        <f t="shared" si="81"/>
        <v>0</v>
      </c>
      <c r="T586" s="16" t="str">
        <f>IF(S586=1, DATE(YEAR(Settings!$B$3), MONTH(D586), DAY(D586)), "")</f>
        <v/>
      </c>
      <c r="U586" s="15" t="str">
        <f>IF(S586=1,IFERROR(INDEX(Settings!$B$12:$B$41,MATCH($B586,Settings!$A$12:$A$41,0)),"N"),"")</f>
        <v/>
      </c>
      <c r="V586" s="15" t="str">
        <f>IF(S586=1,IFERROR(INDEX(Settings!$C$12:$C$41,MATCH($B586,Settings!$A$12:$A$41,0)),""),"")</f>
        <v/>
      </c>
      <c r="W586" s="17">
        <f>IF(S586=1,IFERROR(INDEX(Settings!$D$12:$D$41,MATCH($B586,Settings!$A$12:$A$41,0)),0),0)</f>
        <v>0</v>
      </c>
      <c r="X586" s="18">
        <f t="shared" si="82"/>
        <v>0</v>
      </c>
      <c r="Y586" s="18" t="str">
        <f t="shared" si="83"/>
        <v/>
      </c>
      <c r="Z586" s="15" t="str">
        <f>IF(S586=1,IFERROR(INDEX(Settings!$E$12:$E$41,MATCH($B586,Settings!$A$12:$A$41,0)),"N"),"")</f>
        <v/>
      </c>
      <c r="AA586" s="17">
        <f>IF(S586=1,IFERROR(INDEX(Settings!$F$12:$F$41,MATCH($B586,Settings!$A$12:$A$41,0)),0),0)</f>
        <v>0</v>
      </c>
      <c r="AB586" s="15">
        <f>IF(S586=1,IFERROR(INDEX(Settings!$G$12:$G$41,MATCH($B586,Settings!$A$12:$A$41,0)),0),0)</f>
        <v>0</v>
      </c>
      <c r="AC586" s="18" t="str">
        <f t="shared" si="84"/>
        <v/>
      </c>
      <c r="AD586" s="15" t="str">
        <f t="shared" si="85"/>
        <v/>
      </c>
      <c r="AE586" s="15" t="str">
        <f t="shared" si="86"/>
        <v/>
      </c>
      <c r="AF586" s="15" t="str">
        <f t="shared" si="87"/>
        <v/>
      </c>
      <c r="AG586" s="18">
        <f>IF(AND(S586=1,Z586="Y"),IF(Settings!$B$6="Percentage",IF(AD586=0,0,AC586*AA586*(N586/AD586)),IF(Settings!$B$6="Points",IF(AF586=0,0,AC586*(N586*AB586)/AF586),IF(Settings!$B$6="Equally",IF(AE586=0,0,AC586*N586/AE586),0))),0)</f>
        <v>0</v>
      </c>
      <c r="AH586" s="18" t="str">
        <f t="shared" si="88"/>
        <v/>
      </c>
      <c r="AI586" s="15">
        <f>IF(S586=1,IF(COUNTIFS($R$2:R586,R586,$S$2:S586,1)=1,1,0),0)</f>
        <v>0</v>
      </c>
      <c r="AJ586" s="15">
        <f>SUM($AI$2:AI586)</f>
        <v>12</v>
      </c>
    </row>
    <row r="587" spans="18:36">
      <c r="R587" s="15" t="str">
        <f t="shared" si="89"/>
        <v/>
      </c>
      <c r="S587" s="15">
        <f t="shared" si="81"/>
        <v>0</v>
      </c>
      <c r="T587" s="16" t="str">
        <f>IF(S587=1, DATE(YEAR(Settings!$B$3), MONTH(D587), DAY(D587)), "")</f>
        <v/>
      </c>
      <c r="U587" s="15" t="str">
        <f>IF(S587=1,IFERROR(INDEX(Settings!$B$12:$B$41,MATCH($B587,Settings!$A$12:$A$41,0)),"N"),"")</f>
        <v/>
      </c>
      <c r="V587" s="15" t="str">
        <f>IF(S587=1,IFERROR(INDEX(Settings!$C$12:$C$41,MATCH($B587,Settings!$A$12:$A$41,0)),""),"")</f>
        <v/>
      </c>
      <c r="W587" s="17">
        <f>IF(S587=1,IFERROR(INDEX(Settings!$D$12:$D$41,MATCH($B587,Settings!$A$12:$A$41,0)),0),0)</f>
        <v>0</v>
      </c>
      <c r="X587" s="18">
        <f t="shared" si="82"/>
        <v>0</v>
      </c>
      <c r="Y587" s="18" t="str">
        <f t="shared" si="83"/>
        <v/>
      </c>
      <c r="Z587" s="15" t="str">
        <f>IF(S587=1,IFERROR(INDEX(Settings!$E$12:$E$41,MATCH($B587,Settings!$A$12:$A$41,0)),"N"),"")</f>
        <v/>
      </c>
      <c r="AA587" s="17">
        <f>IF(S587=1,IFERROR(INDEX(Settings!$F$12:$F$41,MATCH($B587,Settings!$A$12:$A$41,0)),0),0)</f>
        <v>0</v>
      </c>
      <c r="AB587" s="15">
        <f>IF(S587=1,IFERROR(INDEX(Settings!$G$12:$G$41,MATCH($B587,Settings!$A$12:$A$41,0)),0),0)</f>
        <v>0</v>
      </c>
      <c r="AC587" s="18" t="str">
        <f t="shared" si="84"/>
        <v/>
      </c>
      <c r="AD587" s="15" t="str">
        <f t="shared" si="85"/>
        <v/>
      </c>
      <c r="AE587" s="15" t="str">
        <f t="shared" si="86"/>
        <v/>
      </c>
      <c r="AF587" s="15" t="str">
        <f t="shared" si="87"/>
        <v/>
      </c>
      <c r="AG587" s="18">
        <f>IF(AND(S587=1,Z587="Y"),IF(Settings!$B$6="Percentage",IF(AD587=0,0,AC587*AA587*(N587/AD587)),IF(Settings!$B$6="Points",IF(AF587=0,0,AC587*(N587*AB587)/AF587),IF(Settings!$B$6="Equally",IF(AE587=0,0,AC587*N587/AE587),0))),0)</f>
        <v>0</v>
      </c>
      <c r="AH587" s="18" t="str">
        <f t="shared" si="88"/>
        <v/>
      </c>
      <c r="AI587" s="15">
        <f>IF(S587=1,IF(COUNTIFS($R$2:R587,R587,$S$2:S587,1)=1,1,0),0)</f>
        <v>0</v>
      </c>
      <c r="AJ587" s="15">
        <f>SUM($AI$2:AI587)</f>
        <v>12</v>
      </c>
    </row>
    <row r="588" spans="18:36">
      <c r="R588" s="15" t="str">
        <f t="shared" si="89"/>
        <v/>
      </c>
      <c r="S588" s="15">
        <f t="shared" si="81"/>
        <v>0</v>
      </c>
      <c r="T588" s="16" t="str">
        <f>IF(S588=1, DATE(YEAR(Settings!$B$3), MONTH(D588), DAY(D588)), "")</f>
        <v/>
      </c>
      <c r="U588" s="15" t="str">
        <f>IF(S588=1,IFERROR(INDEX(Settings!$B$12:$B$41,MATCH($B588,Settings!$A$12:$A$41,0)),"N"),"")</f>
        <v/>
      </c>
      <c r="V588" s="15" t="str">
        <f>IF(S588=1,IFERROR(INDEX(Settings!$C$12:$C$41,MATCH($B588,Settings!$A$12:$A$41,0)),""),"")</f>
        <v/>
      </c>
      <c r="W588" s="17">
        <f>IF(S588=1,IFERROR(INDEX(Settings!$D$12:$D$41,MATCH($B588,Settings!$A$12:$A$41,0)),0),0)</f>
        <v>0</v>
      </c>
      <c r="X588" s="18">
        <f t="shared" si="82"/>
        <v>0</v>
      </c>
      <c r="Y588" s="18" t="str">
        <f t="shared" si="83"/>
        <v/>
      </c>
      <c r="Z588" s="15" t="str">
        <f>IF(S588=1,IFERROR(INDEX(Settings!$E$12:$E$41,MATCH($B588,Settings!$A$12:$A$41,0)),"N"),"")</f>
        <v/>
      </c>
      <c r="AA588" s="17">
        <f>IF(S588=1,IFERROR(INDEX(Settings!$F$12:$F$41,MATCH($B588,Settings!$A$12:$A$41,0)),0),0)</f>
        <v>0</v>
      </c>
      <c r="AB588" s="15">
        <f>IF(S588=1,IFERROR(INDEX(Settings!$G$12:$G$41,MATCH($B588,Settings!$A$12:$A$41,0)),0),0)</f>
        <v>0</v>
      </c>
      <c r="AC588" s="18" t="str">
        <f t="shared" si="84"/>
        <v/>
      </c>
      <c r="AD588" s="15" t="str">
        <f t="shared" si="85"/>
        <v/>
      </c>
      <c r="AE588" s="15" t="str">
        <f t="shared" si="86"/>
        <v/>
      </c>
      <c r="AF588" s="15" t="str">
        <f t="shared" si="87"/>
        <v/>
      </c>
      <c r="AG588" s="18">
        <f>IF(AND(S588=1,Z588="Y"),IF(Settings!$B$6="Percentage",IF(AD588=0,0,AC588*AA588*(N588/AD588)),IF(Settings!$B$6="Points",IF(AF588=0,0,AC588*(N588*AB588)/AF588),IF(Settings!$B$6="Equally",IF(AE588=0,0,AC588*N588/AE588),0))),0)</f>
        <v>0</v>
      </c>
      <c r="AH588" s="18" t="str">
        <f t="shared" si="88"/>
        <v/>
      </c>
      <c r="AI588" s="15">
        <f>IF(S588=1,IF(COUNTIFS($R$2:R588,R588,$S$2:S588,1)=1,1,0),0)</f>
        <v>0</v>
      </c>
      <c r="AJ588" s="15">
        <f>SUM($AI$2:AI588)</f>
        <v>12</v>
      </c>
    </row>
    <row r="589" spans="18:36">
      <c r="R589" s="15" t="str">
        <f t="shared" si="89"/>
        <v/>
      </c>
      <c r="S589" s="15">
        <f t="shared" si="81"/>
        <v>0</v>
      </c>
      <c r="T589" s="16" t="str">
        <f>IF(S589=1, DATE(YEAR(Settings!$B$3), MONTH(D589), DAY(D589)), "")</f>
        <v/>
      </c>
      <c r="U589" s="15" t="str">
        <f>IF(S589=1,IFERROR(INDEX(Settings!$B$12:$B$41,MATCH($B589,Settings!$A$12:$A$41,0)),"N"),"")</f>
        <v/>
      </c>
      <c r="V589" s="15" t="str">
        <f>IF(S589=1,IFERROR(INDEX(Settings!$C$12:$C$41,MATCH($B589,Settings!$A$12:$A$41,0)),""),"")</f>
        <v/>
      </c>
      <c r="W589" s="17">
        <f>IF(S589=1,IFERROR(INDEX(Settings!$D$12:$D$41,MATCH($B589,Settings!$A$12:$A$41,0)),0),0)</f>
        <v>0</v>
      </c>
      <c r="X589" s="18">
        <f t="shared" si="82"/>
        <v>0</v>
      </c>
      <c r="Y589" s="18" t="str">
        <f t="shared" si="83"/>
        <v/>
      </c>
      <c r="Z589" s="15" t="str">
        <f>IF(S589=1,IFERROR(INDEX(Settings!$E$12:$E$41,MATCH($B589,Settings!$A$12:$A$41,0)),"N"),"")</f>
        <v/>
      </c>
      <c r="AA589" s="17">
        <f>IF(S589=1,IFERROR(INDEX(Settings!$F$12:$F$41,MATCH($B589,Settings!$A$12:$A$41,0)),0),0)</f>
        <v>0</v>
      </c>
      <c r="AB589" s="15">
        <f>IF(S589=1,IFERROR(INDEX(Settings!$G$12:$G$41,MATCH($B589,Settings!$A$12:$A$41,0)),0),0)</f>
        <v>0</v>
      </c>
      <c r="AC589" s="18" t="str">
        <f t="shared" si="84"/>
        <v/>
      </c>
      <c r="AD589" s="15" t="str">
        <f t="shared" si="85"/>
        <v/>
      </c>
      <c r="AE589" s="15" t="str">
        <f t="shared" si="86"/>
        <v/>
      </c>
      <c r="AF589" s="15" t="str">
        <f t="shared" si="87"/>
        <v/>
      </c>
      <c r="AG589" s="18">
        <f>IF(AND(S589=1,Z589="Y"),IF(Settings!$B$6="Percentage",IF(AD589=0,0,AC589*AA589*(N589/AD589)),IF(Settings!$B$6="Points",IF(AF589=0,0,AC589*(N589*AB589)/AF589),IF(Settings!$B$6="Equally",IF(AE589=0,0,AC589*N589/AE589),0))),0)</f>
        <v>0</v>
      </c>
      <c r="AH589" s="18" t="str">
        <f t="shared" si="88"/>
        <v/>
      </c>
      <c r="AI589" s="15">
        <f>IF(S589=1,IF(COUNTIFS($R$2:R589,R589,$S$2:S589,1)=1,1,0),0)</f>
        <v>0</v>
      </c>
      <c r="AJ589" s="15">
        <f>SUM($AI$2:AI589)</f>
        <v>12</v>
      </c>
    </row>
    <row r="590" spans="18:36">
      <c r="R590" s="15" t="str">
        <f t="shared" si="89"/>
        <v/>
      </c>
      <c r="S590" s="15">
        <f t="shared" si="81"/>
        <v>0</v>
      </c>
      <c r="T590" s="16" t="str">
        <f>IF(S590=1, DATE(YEAR(Settings!$B$3), MONTH(D590), DAY(D590)), "")</f>
        <v/>
      </c>
      <c r="U590" s="15" t="str">
        <f>IF(S590=1,IFERROR(INDEX(Settings!$B$12:$B$41,MATCH($B590,Settings!$A$12:$A$41,0)),"N"),"")</f>
        <v/>
      </c>
      <c r="V590" s="15" t="str">
        <f>IF(S590=1,IFERROR(INDEX(Settings!$C$12:$C$41,MATCH($B590,Settings!$A$12:$A$41,0)),""),"")</f>
        <v/>
      </c>
      <c r="W590" s="17">
        <f>IF(S590=1,IFERROR(INDEX(Settings!$D$12:$D$41,MATCH($B590,Settings!$A$12:$A$41,0)),0),0)</f>
        <v>0</v>
      </c>
      <c r="X590" s="18">
        <f t="shared" si="82"/>
        <v>0</v>
      </c>
      <c r="Y590" s="18" t="str">
        <f t="shared" si="83"/>
        <v/>
      </c>
      <c r="Z590" s="15" t="str">
        <f>IF(S590=1,IFERROR(INDEX(Settings!$E$12:$E$41,MATCH($B590,Settings!$A$12:$A$41,0)),"N"),"")</f>
        <v/>
      </c>
      <c r="AA590" s="17">
        <f>IF(S590=1,IFERROR(INDEX(Settings!$F$12:$F$41,MATCH($B590,Settings!$A$12:$A$41,0)),0),0)</f>
        <v>0</v>
      </c>
      <c r="AB590" s="15">
        <f>IF(S590=1,IFERROR(INDEX(Settings!$G$12:$G$41,MATCH($B590,Settings!$A$12:$A$41,0)),0),0)</f>
        <v>0</v>
      </c>
      <c r="AC590" s="18" t="str">
        <f t="shared" si="84"/>
        <v/>
      </c>
      <c r="AD590" s="15" t="str">
        <f t="shared" si="85"/>
        <v/>
      </c>
      <c r="AE590" s="15" t="str">
        <f t="shared" si="86"/>
        <v/>
      </c>
      <c r="AF590" s="15" t="str">
        <f t="shared" si="87"/>
        <v/>
      </c>
      <c r="AG590" s="18">
        <f>IF(AND(S590=1,Z590="Y"),IF(Settings!$B$6="Percentage",IF(AD590=0,0,AC590*AA590*(N590/AD590)),IF(Settings!$B$6="Points",IF(AF590=0,0,AC590*(N590*AB590)/AF590),IF(Settings!$B$6="Equally",IF(AE590=0,0,AC590*N590/AE590),0))),0)</f>
        <v>0</v>
      </c>
      <c r="AH590" s="18" t="str">
        <f t="shared" si="88"/>
        <v/>
      </c>
      <c r="AI590" s="15">
        <f>IF(S590=1,IF(COUNTIFS($R$2:R590,R590,$S$2:S590,1)=1,1,0),0)</f>
        <v>0</v>
      </c>
      <c r="AJ590" s="15">
        <f>SUM($AI$2:AI590)</f>
        <v>12</v>
      </c>
    </row>
    <row r="591" spans="18:36">
      <c r="R591" s="15" t="str">
        <f t="shared" si="89"/>
        <v/>
      </c>
      <c r="S591" s="15">
        <f t="shared" si="81"/>
        <v>0</v>
      </c>
      <c r="T591" s="16" t="str">
        <f>IF(S591=1, DATE(YEAR(Settings!$B$3), MONTH(D591), DAY(D591)), "")</f>
        <v/>
      </c>
      <c r="U591" s="15" t="str">
        <f>IF(S591=1,IFERROR(INDEX(Settings!$B$12:$B$41,MATCH($B591,Settings!$A$12:$A$41,0)),"N"),"")</f>
        <v/>
      </c>
      <c r="V591" s="15" t="str">
        <f>IF(S591=1,IFERROR(INDEX(Settings!$C$12:$C$41,MATCH($B591,Settings!$A$12:$A$41,0)),""),"")</f>
        <v/>
      </c>
      <c r="W591" s="17">
        <f>IF(S591=1,IFERROR(INDEX(Settings!$D$12:$D$41,MATCH($B591,Settings!$A$12:$A$41,0)),0),0)</f>
        <v>0</v>
      </c>
      <c r="X591" s="18">
        <f t="shared" si="82"/>
        <v>0</v>
      </c>
      <c r="Y591" s="18" t="str">
        <f t="shared" si="83"/>
        <v/>
      </c>
      <c r="Z591" s="15" t="str">
        <f>IF(S591=1,IFERROR(INDEX(Settings!$E$12:$E$41,MATCH($B591,Settings!$A$12:$A$41,0)),"N"),"")</f>
        <v/>
      </c>
      <c r="AA591" s="17">
        <f>IF(S591=1,IFERROR(INDEX(Settings!$F$12:$F$41,MATCH($B591,Settings!$A$12:$A$41,0)),0),0)</f>
        <v>0</v>
      </c>
      <c r="AB591" s="15">
        <f>IF(S591=1,IFERROR(INDEX(Settings!$G$12:$G$41,MATCH($B591,Settings!$A$12:$A$41,0)),0),0)</f>
        <v>0</v>
      </c>
      <c r="AC591" s="18" t="str">
        <f t="shared" si="84"/>
        <v/>
      </c>
      <c r="AD591" s="15" t="str">
        <f t="shared" si="85"/>
        <v/>
      </c>
      <c r="AE591" s="15" t="str">
        <f t="shared" si="86"/>
        <v/>
      </c>
      <c r="AF591" s="15" t="str">
        <f t="shared" si="87"/>
        <v/>
      </c>
      <c r="AG591" s="18">
        <f>IF(AND(S591=1,Z591="Y"),IF(Settings!$B$6="Percentage",IF(AD591=0,0,AC591*AA591*(N591/AD591)),IF(Settings!$B$6="Points",IF(AF591=0,0,AC591*(N591*AB591)/AF591),IF(Settings!$B$6="Equally",IF(AE591=0,0,AC591*N591/AE591),0))),0)</f>
        <v>0</v>
      </c>
      <c r="AH591" s="18" t="str">
        <f t="shared" si="88"/>
        <v/>
      </c>
      <c r="AI591" s="15">
        <f>IF(S591=1,IF(COUNTIFS($R$2:R591,R591,$S$2:S591,1)=1,1,0),0)</f>
        <v>0</v>
      </c>
      <c r="AJ591" s="15">
        <f>SUM($AI$2:AI591)</f>
        <v>12</v>
      </c>
    </row>
    <row r="592" spans="18:36">
      <c r="R592" s="15" t="str">
        <f t="shared" si="89"/>
        <v/>
      </c>
      <c r="S592" s="15">
        <f t="shared" si="81"/>
        <v>0</v>
      </c>
      <c r="T592" s="16" t="str">
        <f>IF(S592=1, DATE(YEAR(Settings!$B$3), MONTH(D592), DAY(D592)), "")</f>
        <v/>
      </c>
      <c r="U592" s="15" t="str">
        <f>IF(S592=1,IFERROR(INDEX(Settings!$B$12:$B$41,MATCH($B592,Settings!$A$12:$A$41,0)),"N"),"")</f>
        <v/>
      </c>
      <c r="V592" s="15" t="str">
        <f>IF(S592=1,IFERROR(INDEX(Settings!$C$12:$C$41,MATCH($B592,Settings!$A$12:$A$41,0)),""),"")</f>
        <v/>
      </c>
      <c r="W592" s="17">
        <f>IF(S592=1,IFERROR(INDEX(Settings!$D$12:$D$41,MATCH($B592,Settings!$A$12:$A$41,0)),0),0)</f>
        <v>0</v>
      </c>
      <c r="X592" s="18">
        <f t="shared" si="82"/>
        <v>0</v>
      </c>
      <c r="Y592" s="18" t="str">
        <f t="shared" si="83"/>
        <v/>
      </c>
      <c r="Z592" s="15" t="str">
        <f>IF(S592=1,IFERROR(INDEX(Settings!$E$12:$E$41,MATCH($B592,Settings!$A$12:$A$41,0)),"N"),"")</f>
        <v/>
      </c>
      <c r="AA592" s="17">
        <f>IF(S592=1,IFERROR(INDEX(Settings!$F$12:$F$41,MATCH($B592,Settings!$A$12:$A$41,0)),0),0)</f>
        <v>0</v>
      </c>
      <c r="AB592" s="15">
        <f>IF(S592=1,IFERROR(INDEX(Settings!$G$12:$G$41,MATCH($B592,Settings!$A$12:$A$41,0)),0),0)</f>
        <v>0</v>
      </c>
      <c r="AC592" s="18" t="str">
        <f t="shared" si="84"/>
        <v/>
      </c>
      <c r="AD592" s="15" t="str">
        <f t="shared" si="85"/>
        <v/>
      </c>
      <c r="AE592" s="15" t="str">
        <f t="shared" si="86"/>
        <v/>
      </c>
      <c r="AF592" s="15" t="str">
        <f t="shared" si="87"/>
        <v/>
      </c>
      <c r="AG592" s="18">
        <f>IF(AND(S592=1,Z592="Y"),IF(Settings!$B$6="Percentage",IF(AD592=0,0,AC592*AA592*(N592/AD592)),IF(Settings!$B$6="Points",IF(AF592=0,0,AC592*(N592*AB592)/AF592),IF(Settings!$B$6="Equally",IF(AE592=0,0,AC592*N592/AE592),0))),0)</f>
        <v>0</v>
      </c>
      <c r="AH592" s="18" t="str">
        <f t="shared" si="88"/>
        <v/>
      </c>
      <c r="AI592" s="15">
        <f>IF(S592=1,IF(COUNTIFS($R$2:R592,R592,$S$2:S592,1)=1,1,0),0)</f>
        <v>0</v>
      </c>
      <c r="AJ592" s="15">
        <f>SUM($AI$2:AI592)</f>
        <v>12</v>
      </c>
    </row>
    <row r="593" spans="18:36">
      <c r="R593" s="15" t="str">
        <f t="shared" si="89"/>
        <v/>
      </c>
      <c r="S593" s="15">
        <f t="shared" si="81"/>
        <v>0</v>
      </c>
      <c r="T593" s="16" t="str">
        <f>IF(S593=1, DATE(YEAR(Settings!$B$3), MONTH(D593), DAY(D593)), "")</f>
        <v/>
      </c>
      <c r="U593" s="15" t="str">
        <f>IF(S593=1,IFERROR(INDEX(Settings!$B$12:$B$41,MATCH($B593,Settings!$A$12:$A$41,0)),"N"),"")</f>
        <v/>
      </c>
      <c r="V593" s="15" t="str">
        <f>IF(S593=1,IFERROR(INDEX(Settings!$C$12:$C$41,MATCH($B593,Settings!$A$12:$A$41,0)),""),"")</f>
        <v/>
      </c>
      <c r="W593" s="17">
        <f>IF(S593=1,IFERROR(INDEX(Settings!$D$12:$D$41,MATCH($B593,Settings!$A$12:$A$41,0)),0),0)</f>
        <v>0</v>
      </c>
      <c r="X593" s="18">
        <f t="shared" si="82"/>
        <v>0</v>
      </c>
      <c r="Y593" s="18" t="str">
        <f t="shared" si="83"/>
        <v/>
      </c>
      <c r="Z593" s="15" t="str">
        <f>IF(S593=1,IFERROR(INDEX(Settings!$E$12:$E$41,MATCH($B593,Settings!$A$12:$A$41,0)),"N"),"")</f>
        <v/>
      </c>
      <c r="AA593" s="17">
        <f>IF(S593=1,IFERROR(INDEX(Settings!$F$12:$F$41,MATCH($B593,Settings!$A$12:$A$41,0)),0),0)</f>
        <v>0</v>
      </c>
      <c r="AB593" s="15">
        <f>IF(S593=1,IFERROR(INDEX(Settings!$G$12:$G$41,MATCH($B593,Settings!$A$12:$A$41,0)),0),0)</f>
        <v>0</v>
      </c>
      <c r="AC593" s="18" t="str">
        <f t="shared" si="84"/>
        <v/>
      </c>
      <c r="AD593" s="15" t="str">
        <f t="shared" si="85"/>
        <v/>
      </c>
      <c r="AE593" s="15" t="str">
        <f t="shared" si="86"/>
        <v/>
      </c>
      <c r="AF593" s="15" t="str">
        <f t="shared" si="87"/>
        <v/>
      </c>
      <c r="AG593" s="18">
        <f>IF(AND(S593=1,Z593="Y"),IF(Settings!$B$6="Percentage",IF(AD593=0,0,AC593*AA593*(N593/AD593)),IF(Settings!$B$6="Points",IF(AF593=0,0,AC593*(N593*AB593)/AF593),IF(Settings!$B$6="Equally",IF(AE593=0,0,AC593*N593/AE593),0))),0)</f>
        <v>0</v>
      </c>
      <c r="AH593" s="18" t="str">
        <f t="shared" si="88"/>
        <v/>
      </c>
      <c r="AI593" s="15">
        <f>IF(S593=1,IF(COUNTIFS($R$2:R593,R593,$S$2:S593,1)=1,1,0),0)</f>
        <v>0</v>
      </c>
      <c r="AJ593" s="15">
        <f>SUM($AI$2:AI593)</f>
        <v>12</v>
      </c>
    </row>
    <row r="594" spans="18:36">
      <c r="R594" s="15" t="str">
        <f t="shared" si="89"/>
        <v/>
      </c>
      <c r="S594" s="15">
        <f t="shared" si="81"/>
        <v>0</v>
      </c>
      <c r="T594" s="16" t="str">
        <f>IF(S594=1, DATE(YEAR(Settings!$B$3), MONTH(D594), DAY(D594)), "")</f>
        <v/>
      </c>
      <c r="U594" s="15" t="str">
        <f>IF(S594=1,IFERROR(INDEX(Settings!$B$12:$B$41,MATCH($B594,Settings!$A$12:$A$41,0)),"N"),"")</f>
        <v/>
      </c>
      <c r="V594" s="15" t="str">
        <f>IF(S594=1,IFERROR(INDEX(Settings!$C$12:$C$41,MATCH($B594,Settings!$A$12:$A$41,0)),""),"")</f>
        <v/>
      </c>
      <c r="W594" s="17">
        <f>IF(S594=1,IFERROR(INDEX(Settings!$D$12:$D$41,MATCH($B594,Settings!$A$12:$A$41,0)),0),0)</f>
        <v>0</v>
      </c>
      <c r="X594" s="18">
        <f t="shared" si="82"/>
        <v>0</v>
      </c>
      <c r="Y594" s="18" t="str">
        <f t="shared" si="83"/>
        <v/>
      </c>
      <c r="Z594" s="15" t="str">
        <f>IF(S594=1,IFERROR(INDEX(Settings!$E$12:$E$41,MATCH($B594,Settings!$A$12:$A$41,0)),"N"),"")</f>
        <v/>
      </c>
      <c r="AA594" s="17">
        <f>IF(S594=1,IFERROR(INDEX(Settings!$F$12:$F$41,MATCH($B594,Settings!$A$12:$A$41,0)),0),0)</f>
        <v>0</v>
      </c>
      <c r="AB594" s="15">
        <f>IF(S594=1,IFERROR(INDEX(Settings!$G$12:$G$41,MATCH($B594,Settings!$A$12:$A$41,0)),0),0)</f>
        <v>0</v>
      </c>
      <c r="AC594" s="18" t="str">
        <f t="shared" si="84"/>
        <v/>
      </c>
      <c r="AD594" s="15" t="str">
        <f t="shared" si="85"/>
        <v/>
      </c>
      <c r="AE594" s="15" t="str">
        <f t="shared" si="86"/>
        <v/>
      </c>
      <c r="AF594" s="15" t="str">
        <f t="shared" si="87"/>
        <v/>
      </c>
      <c r="AG594" s="18">
        <f>IF(AND(S594=1,Z594="Y"),IF(Settings!$B$6="Percentage",IF(AD594=0,0,AC594*AA594*(N594/AD594)),IF(Settings!$B$6="Points",IF(AF594=0,0,AC594*(N594*AB594)/AF594),IF(Settings!$B$6="Equally",IF(AE594=0,0,AC594*N594/AE594),0))),0)</f>
        <v>0</v>
      </c>
      <c r="AH594" s="18" t="str">
        <f t="shared" si="88"/>
        <v/>
      </c>
      <c r="AI594" s="15">
        <f>IF(S594=1,IF(COUNTIFS($R$2:R594,R594,$S$2:S594,1)=1,1,0),0)</f>
        <v>0</v>
      </c>
      <c r="AJ594" s="15">
        <f>SUM($AI$2:AI594)</f>
        <v>12</v>
      </c>
    </row>
    <row r="595" spans="18:36">
      <c r="R595" s="15" t="str">
        <f t="shared" si="89"/>
        <v/>
      </c>
      <c r="S595" s="15">
        <f t="shared" si="81"/>
        <v>0</v>
      </c>
      <c r="T595" s="16" t="str">
        <f>IF(S595=1, DATE(YEAR(Settings!$B$3), MONTH(D595), DAY(D595)), "")</f>
        <v/>
      </c>
      <c r="U595" s="15" t="str">
        <f>IF(S595=1,IFERROR(INDEX(Settings!$B$12:$B$41,MATCH($B595,Settings!$A$12:$A$41,0)),"N"),"")</f>
        <v/>
      </c>
      <c r="V595" s="15" t="str">
        <f>IF(S595=1,IFERROR(INDEX(Settings!$C$12:$C$41,MATCH($B595,Settings!$A$12:$A$41,0)),""),"")</f>
        <v/>
      </c>
      <c r="W595" s="17">
        <f>IF(S595=1,IFERROR(INDEX(Settings!$D$12:$D$41,MATCH($B595,Settings!$A$12:$A$41,0)),0),0)</f>
        <v>0</v>
      </c>
      <c r="X595" s="18">
        <f t="shared" si="82"/>
        <v>0</v>
      </c>
      <c r="Y595" s="18" t="str">
        <f t="shared" si="83"/>
        <v/>
      </c>
      <c r="Z595" s="15" t="str">
        <f>IF(S595=1,IFERROR(INDEX(Settings!$E$12:$E$41,MATCH($B595,Settings!$A$12:$A$41,0)),"N"),"")</f>
        <v/>
      </c>
      <c r="AA595" s="17">
        <f>IF(S595=1,IFERROR(INDEX(Settings!$F$12:$F$41,MATCH($B595,Settings!$A$12:$A$41,0)),0),0)</f>
        <v>0</v>
      </c>
      <c r="AB595" s="15">
        <f>IF(S595=1,IFERROR(INDEX(Settings!$G$12:$G$41,MATCH($B595,Settings!$A$12:$A$41,0)),0),0)</f>
        <v>0</v>
      </c>
      <c r="AC595" s="18" t="str">
        <f t="shared" si="84"/>
        <v/>
      </c>
      <c r="AD595" s="15" t="str">
        <f t="shared" si="85"/>
        <v/>
      </c>
      <c r="AE595" s="15" t="str">
        <f t="shared" si="86"/>
        <v/>
      </c>
      <c r="AF595" s="15" t="str">
        <f t="shared" si="87"/>
        <v/>
      </c>
      <c r="AG595" s="18">
        <f>IF(AND(S595=1,Z595="Y"),IF(Settings!$B$6="Percentage",IF(AD595=0,0,AC595*AA595*(N595/AD595)),IF(Settings!$B$6="Points",IF(AF595=0,0,AC595*(N595*AB595)/AF595),IF(Settings!$B$6="Equally",IF(AE595=0,0,AC595*N595/AE595),0))),0)</f>
        <v>0</v>
      </c>
      <c r="AH595" s="18" t="str">
        <f t="shared" si="88"/>
        <v/>
      </c>
      <c r="AI595" s="15">
        <f>IF(S595=1,IF(COUNTIFS($R$2:R595,R595,$S$2:S595,1)=1,1,0),0)</f>
        <v>0</v>
      </c>
      <c r="AJ595" s="15">
        <f>SUM($AI$2:AI595)</f>
        <v>12</v>
      </c>
    </row>
    <row r="596" spans="18:36">
      <c r="R596" s="15" t="str">
        <f t="shared" si="89"/>
        <v/>
      </c>
      <c r="S596" s="15">
        <f t="shared" si="81"/>
        <v>0</v>
      </c>
      <c r="T596" s="16" t="str">
        <f>IF(S596=1, DATE(YEAR(Settings!$B$3), MONTH(D596), DAY(D596)), "")</f>
        <v/>
      </c>
      <c r="U596" s="15" t="str">
        <f>IF(S596=1,IFERROR(INDEX(Settings!$B$12:$B$41,MATCH($B596,Settings!$A$12:$A$41,0)),"N"),"")</f>
        <v/>
      </c>
      <c r="V596" s="15" t="str">
        <f>IF(S596=1,IFERROR(INDEX(Settings!$C$12:$C$41,MATCH($B596,Settings!$A$12:$A$41,0)),""),"")</f>
        <v/>
      </c>
      <c r="W596" s="17">
        <f>IF(S596=1,IFERROR(INDEX(Settings!$D$12:$D$41,MATCH($B596,Settings!$A$12:$A$41,0)),0),0)</f>
        <v>0</v>
      </c>
      <c r="X596" s="18">
        <f t="shared" si="82"/>
        <v>0</v>
      </c>
      <c r="Y596" s="18" t="str">
        <f t="shared" si="83"/>
        <v/>
      </c>
      <c r="Z596" s="15" t="str">
        <f>IF(S596=1,IFERROR(INDEX(Settings!$E$12:$E$41,MATCH($B596,Settings!$A$12:$A$41,0)),"N"),"")</f>
        <v/>
      </c>
      <c r="AA596" s="17">
        <f>IF(S596=1,IFERROR(INDEX(Settings!$F$12:$F$41,MATCH($B596,Settings!$A$12:$A$41,0)),0),0)</f>
        <v>0</v>
      </c>
      <c r="AB596" s="15">
        <f>IF(S596=1,IFERROR(INDEX(Settings!$G$12:$G$41,MATCH($B596,Settings!$A$12:$A$41,0)),0),0)</f>
        <v>0</v>
      </c>
      <c r="AC596" s="18" t="str">
        <f t="shared" si="84"/>
        <v/>
      </c>
      <c r="AD596" s="15" t="str">
        <f t="shared" si="85"/>
        <v/>
      </c>
      <c r="AE596" s="15" t="str">
        <f t="shared" si="86"/>
        <v/>
      </c>
      <c r="AF596" s="15" t="str">
        <f t="shared" si="87"/>
        <v/>
      </c>
      <c r="AG596" s="18">
        <f>IF(AND(S596=1,Z596="Y"),IF(Settings!$B$6="Percentage",IF(AD596=0,0,AC596*AA596*(N596/AD596)),IF(Settings!$B$6="Points",IF(AF596=0,0,AC596*(N596*AB596)/AF596),IF(Settings!$B$6="Equally",IF(AE596=0,0,AC596*N596/AE596),0))),0)</f>
        <v>0</v>
      </c>
      <c r="AH596" s="18" t="str">
        <f t="shared" si="88"/>
        <v/>
      </c>
      <c r="AI596" s="15">
        <f>IF(S596=1,IF(COUNTIFS($R$2:R596,R596,$S$2:S596,1)=1,1,0),0)</f>
        <v>0</v>
      </c>
      <c r="AJ596" s="15">
        <f>SUM($AI$2:AI596)</f>
        <v>12</v>
      </c>
    </row>
    <row r="597" spans="18:36">
      <c r="R597" s="15" t="str">
        <f t="shared" si="89"/>
        <v/>
      </c>
      <c r="S597" s="15">
        <f t="shared" si="81"/>
        <v>0</v>
      </c>
      <c r="T597" s="16" t="str">
        <f>IF(S597=1, DATE(YEAR(Settings!$B$3), MONTH(D597), DAY(D597)), "")</f>
        <v/>
      </c>
      <c r="U597" s="15" t="str">
        <f>IF(S597=1,IFERROR(INDEX(Settings!$B$12:$B$41,MATCH($B597,Settings!$A$12:$A$41,0)),"N"),"")</f>
        <v/>
      </c>
      <c r="V597" s="15" t="str">
        <f>IF(S597=1,IFERROR(INDEX(Settings!$C$12:$C$41,MATCH($B597,Settings!$A$12:$A$41,0)),""),"")</f>
        <v/>
      </c>
      <c r="W597" s="17">
        <f>IF(S597=1,IFERROR(INDEX(Settings!$D$12:$D$41,MATCH($B597,Settings!$A$12:$A$41,0)),0),0)</f>
        <v>0</v>
      </c>
      <c r="X597" s="18">
        <f t="shared" si="82"/>
        <v>0</v>
      </c>
      <c r="Y597" s="18" t="str">
        <f t="shared" si="83"/>
        <v/>
      </c>
      <c r="Z597" s="15" t="str">
        <f>IF(S597=1,IFERROR(INDEX(Settings!$E$12:$E$41,MATCH($B597,Settings!$A$12:$A$41,0)),"N"),"")</f>
        <v/>
      </c>
      <c r="AA597" s="17">
        <f>IF(S597=1,IFERROR(INDEX(Settings!$F$12:$F$41,MATCH($B597,Settings!$A$12:$A$41,0)),0),0)</f>
        <v>0</v>
      </c>
      <c r="AB597" s="15">
        <f>IF(S597=1,IFERROR(INDEX(Settings!$G$12:$G$41,MATCH($B597,Settings!$A$12:$A$41,0)),0),0)</f>
        <v>0</v>
      </c>
      <c r="AC597" s="18" t="str">
        <f t="shared" si="84"/>
        <v/>
      </c>
      <c r="AD597" s="15" t="str">
        <f t="shared" si="85"/>
        <v/>
      </c>
      <c r="AE597" s="15" t="str">
        <f t="shared" si="86"/>
        <v/>
      </c>
      <c r="AF597" s="15" t="str">
        <f t="shared" si="87"/>
        <v/>
      </c>
      <c r="AG597" s="18">
        <f>IF(AND(S597=1,Z597="Y"),IF(Settings!$B$6="Percentage",IF(AD597=0,0,AC597*AA597*(N597/AD597)),IF(Settings!$B$6="Points",IF(AF597=0,0,AC597*(N597*AB597)/AF597),IF(Settings!$B$6="Equally",IF(AE597=0,0,AC597*N597/AE597),0))),0)</f>
        <v>0</v>
      </c>
      <c r="AH597" s="18" t="str">
        <f t="shared" si="88"/>
        <v/>
      </c>
      <c r="AI597" s="15">
        <f>IF(S597=1,IF(COUNTIFS($R$2:R597,R597,$S$2:S597,1)=1,1,0),0)</f>
        <v>0</v>
      </c>
      <c r="AJ597" s="15">
        <f>SUM($AI$2:AI597)</f>
        <v>12</v>
      </c>
    </row>
    <row r="598" spans="18:36">
      <c r="R598" s="15" t="str">
        <f t="shared" si="89"/>
        <v/>
      </c>
      <c r="S598" s="15">
        <f t="shared" si="81"/>
        <v>0</v>
      </c>
      <c r="T598" s="16" t="str">
        <f>IF(S598=1, DATE(YEAR(Settings!$B$3), MONTH(D598), DAY(D598)), "")</f>
        <v/>
      </c>
      <c r="U598" s="15" t="str">
        <f>IF(S598=1,IFERROR(INDEX(Settings!$B$12:$B$41,MATCH($B598,Settings!$A$12:$A$41,0)),"N"),"")</f>
        <v/>
      </c>
      <c r="V598" s="15" t="str">
        <f>IF(S598=1,IFERROR(INDEX(Settings!$C$12:$C$41,MATCH($B598,Settings!$A$12:$A$41,0)),""),"")</f>
        <v/>
      </c>
      <c r="W598" s="17">
        <f>IF(S598=1,IFERROR(INDEX(Settings!$D$12:$D$41,MATCH($B598,Settings!$A$12:$A$41,0)),0),0)</f>
        <v>0</v>
      </c>
      <c r="X598" s="18">
        <f t="shared" si="82"/>
        <v>0</v>
      </c>
      <c r="Y598" s="18" t="str">
        <f t="shared" si="83"/>
        <v/>
      </c>
      <c r="Z598" s="15" t="str">
        <f>IF(S598=1,IFERROR(INDEX(Settings!$E$12:$E$41,MATCH($B598,Settings!$A$12:$A$41,0)),"N"),"")</f>
        <v/>
      </c>
      <c r="AA598" s="17">
        <f>IF(S598=1,IFERROR(INDEX(Settings!$F$12:$F$41,MATCH($B598,Settings!$A$12:$A$41,0)),0),0)</f>
        <v>0</v>
      </c>
      <c r="AB598" s="15">
        <f>IF(S598=1,IFERROR(INDEX(Settings!$G$12:$G$41,MATCH($B598,Settings!$A$12:$A$41,0)),0),0)</f>
        <v>0</v>
      </c>
      <c r="AC598" s="18" t="str">
        <f t="shared" si="84"/>
        <v/>
      </c>
      <c r="AD598" s="15" t="str">
        <f t="shared" si="85"/>
        <v/>
      </c>
      <c r="AE598" s="15" t="str">
        <f t="shared" si="86"/>
        <v/>
      </c>
      <c r="AF598" s="15" t="str">
        <f t="shared" si="87"/>
        <v/>
      </c>
      <c r="AG598" s="18">
        <f>IF(AND(S598=1,Z598="Y"),IF(Settings!$B$6="Percentage",IF(AD598=0,0,AC598*AA598*(N598/AD598)),IF(Settings!$B$6="Points",IF(AF598=0,0,AC598*(N598*AB598)/AF598),IF(Settings!$B$6="Equally",IF(AE598=0,0,AC598*N598/AE598),0))),0)</f>
        <v>0</v>
      </c>
      <c r="AH598" s="18" t="str">
        <f t="shared" si="88"/>
        <v/>
      </c>
      <c r="AI598" s="15">
        <f>IF(S598=1,IF(COUNTIFS($R$2:R598,R598,$S$2:S598,1)=1,1,0),0)</f>
        <v>0</v>
      </c>
      <c r="AJ598" s="15">
        <f>SUM($AI$2:AI598)</f>
        <v>12</v>
      </c>
    </row>
    <row r="599" spans="18:36">
      <c r="R599" s="15" t="str">
        <f t="shared" si="89"/>
        <v/>
      </c>
      <c r="S599" s="15">
        <f t="shared" si="81"/>
        <v>0</v>
      </c>
      <c r="T599" s="16" t="str">
        <f>IF(S599=1, DATE(YEAR(Settings!$B$3), MONTH(D599), DAY(D599)), "")</f>
        <v/>
      </c>
      <c r="U599" s="15" t="str">
        <f>IF(S599=1,IFERROR(INDEX(Settings!$B$12:$B$41,MATCH($B599,Settings!$A$12:$A$41,0)),"N"),"")</f>
        <v/>
      </c>
      <c r="V599" s="15" t="str">
        <f>IF(S599=1,IFERROR(INDEX(Settings!$C$12:$C$41,MATCH($B599,Settings!$A$12:$A$41,0)),""),"")</f>
        <v/>
      </c>
      <c r="W599" s="17">
        <f>IF(S599=1,IFERROR(INDEX(Settings!$D$12:$D$41,MATCH($B599,Settings!$A$12:$A$41,0)),0),0)</f>
        <v>0</v>
      </c>
      <c r="X599" s="18">
        <f t="shared" si="82"/>
        <v>0</v>
      </c>
      <c r="Y599" s="18" t="str">
        <f t="shared" si="83"/>
        <v/>
      </c>
      <c r="Z599" s="15" t="str">
        <f>IF(S599=1,IFERROR(INDEX(Settings!$E$12:$E$41,MATCH($B599,Settings!$A$12:$A$41,0)),"N"),"")</f>
        <v/>
      </c>
      <c r="AA599" s="17">
        <f>IF(S599=1,IFERROR(INDEX(Settings!$F$12:$F$41,MATCH($B599,Settings!$A$12:$A$41,0)),0),0)</f>
        <v>0</v>
      </c>
      <c r="AB599" s="15">
        <f>IF(S599=1,IFERROR(INDEX(Settings!$G$12:$G$41,MATCH($B599,Settings!$A$12:$A$41,0)),0),0)</f>
        <v>0</v>
      </c>
      <c r="AC599" s="18" t="str">
        <f t="shared" si="84"/>
        <v/>
      </c>
      <c r="AD599" s="15" t="str">
        <f t="shared" si="85"/>
        <v/>
      </c>
      <c r="AE599" s="15" t="str">
        <f t="shared" si="86"/>
        <v/>
      </c>
      <c r="AF599" s="15" t="str">
        <f t="shared" si="87"/>
        <v/>
      </c>
      <c r="AG599" s="18">
        <f>IF(AND(S599=1,Z599="Y"),IF(Settings!$B$6="Percentage",IF(AD599=0,0,AC599*AA599*(N599/AD599)),IF(Settings!$B$6="Points",IF(AF599=0,0,AC599*(N599*AB599)/AF599),IF(Settings!$B$6="Equally",IF(AE599=0,0,AC599*N599/AE599),0))),0)</f>
        <v>0</v>
      </c>
      <c r="AH599" s="18" t="str">
        <f t="shared" si="88"/>
        <v/>
      </c>
      <c r="AI599" s="15">
        <f>IF(S599=1,IF(COUNTIFS($R$2:R599,R599,$S$2:S599,1)=1,1,0),0)</f>
        <v>0</v>
      </c>
      <c r="AJ599" s="15">
        <f>SUM($AI$2:AI599)</f>
        <v>12</v>
      </c>
    </row>
    <row r="600" spans="18:36">
      <c r="R600" s="15" t="str">
        <f t="shared" si="89"/>
        <v/>
      </c>
      <c r="S600" s="15">
        <f t="shared" si="81"/>
        <v>0</v>
      </c>
      <c r="T600" s="16" t="str">
        <f>IF(S600=1, DATE(YEAR(Settings!$B$3), MONTH(D600), DAY(D600)), "")</f>
        <v/>
      </c>
      <c r="U600" s="15" t="str">
        <f>IF(S600=1,IFERROR(INDEX(Settings!$B$12:$B$41,MATCH($B600,Settings!$A$12:$A$41,0)),"N"),"")</f>
        <v/>
      </c>
      <c r="V600" s="15" t="str">
        <f>IF(S600=1,IFERROR(INDEX(Settings!$C$12:$C$41,MATCH($B600,Settings!$A$12:$A$41,0)),""),"")</f>
        <v/>
      </c>
      <c r="W600" s="17">
        <f>IF(S600=1,IFERROR(INDEX(Settings!$D$12:$D$41,MATCH($B600,Settings!$A$12:$A$41,0)),0),0)</f>
        <v>0</v>
      </c>
      <c r="X600" s="18">
        <f t="shared" si="82"/>
        <v>0</v>
      </c>
      <c r="Y600" s="18" t="str">
        <f t="shared" si="83"/>
        <v/>
      </c>
      <c r="Z600" s="15" t="str">
        <f>IF(S600=1,IFERROR(INDEX(Settings!$E$12:$E$41,MATCH($B600,Settings!$A$12:$A$41,0)),"N"),"")</f>
        <v/>
      </c>
      <c r="AA600" s="17">
        <f>IF(S600=1,IFERROR(INDEX(Settings!$F$12:$F$41,MATCH($B600,Settings!$A$12:$A$41,0)),0),0)</f>
        <v>0</v>
      </c>
      <c r="AB600" s="15">
        <f>IF(S600=1,IFERROR(INDEX(Settings!$G$12:$G$41,MATCH($B600,Settings!$A$12:$A$41,0)),0),0)</f>
        <v>0</v>
      </c>
      <c r="AC600" s="18" t="str">
        <f t="shared" si="84"/>
        <v/>
      </c>
      <c r="AD600" s="15" t="str">
        <f t="shared" si="85"/>
        <v/>
      </c>
      <c r="AE600" s="15" t="str">
        <f t="shared" si="86"/>
        <v/>
      </c>
      <c r="AF600" s="15" t="str">
        <f t="shared" si="87"/>
        <v/>
      </c>
      <c r="AG600" s="18">
        <f>IF(AND(S600=1,Z600="Y"),IF(Settings!$B$6="Percentage",IF(AD600=0,0,AC600*AA600*(N600/AD600)),IF(Settings!$B$6="Points",IF(AF600=0,0,AC600*(N600*AB600)/AF600),IF(Settings!$B$6="Equally",IF(AE600=0,0,AC600*N600/AE600),0))),0)</f>
        <v>0</v>
      </c>
      <c r="AH600" s="18" t="str">
        <f t="shared" si="88"/>
        <v/>
      </c>
      <c r="AI600" s="15">
        <f>IF(S600=1,IF(COUNTIFS($R$2:R600,R600,$S$2:S600,1)=1,1,0),0)</f>
        <v>0</v>
      </c>
      <c r="AJ600" s="15">
        <f>SUM($AI$2:AI600)</f>
        <v>12</v>
      </c>
    </row>
    <row r="601" spans="18:36">
      <c r="R601" s="15" t="str">
        <f t="shared" si="89"/>
        <v/>
      </c>
      <c r="S601" s="15">
        <f t="shared" si="81"/>
        <v>0</v>
      </c>
      <c r="T601" s="16" t="str">
        <f>IF(S601=1, DATE(YEAR(Settings!$B$3), MONTH(D601), DAY(D601)), "")</f>
        <v/>
      </c>
      <c r="U601" s="15" t="str">
        <f>IF(S601=1,IFERROR(INDEX(Settings!$B$12:$B$41,MATCH($B601,Settings!$A$12:$A$41,0)),"N"),"")</f>
        <v/>
      </c>
      <c r="V601" s="15" t="str">
        <f>IF(S601=1,IFERROR(INDEX(Settings!$C$12:$C$41,MATCH($B601,Settings!$A$12:$A$41,0)),""),"")</f>
        <v/>
      </c>
      <c r="W601" s="17">
        <f>IF(S601=1,IFERROR(INDEX(Settings!$D$12:$D$41,MATCH($B601,Settings!$A$12:$A$41,0)),0),0)</f>
        <v>0</v>
      </c>
      <c r="X601" s="18">
        <f t="shared" si="82"/>
        <v>0</v>
      </c>
      <c r="Y601" s="18" t="str">
        <f t="shared" si="83"/>
        <v/>
      </c>
      <c r="Z601" s="15" t="str">
        <f>IF(S601=1,IFERROR(INDEX(Settings!$E$12:$E$41,MATCH($B601,Settings!$A$12:$A$41,0)),"N"),"")</f>
        <v/>
      </c>
      <c r="AA601" s="17">
        <f>IF(S601=1,IFERROR(INDEX(Settings!$F$12:$F$41,MATCH($B601,Settings!$A$12:$A$41,0)),0),0)</f>
        <v>0</v>
      </c>
      <c r="AB601" s="15">
        <f>IF(S601=1,IFERROR(INDEX(Settings!$G$12:$G$41,MATCH($B601,Settings!$A$12:$A$41,0)),0),0)</f>
        <v>0</v>
      </c>
      <c r="AC601" s="18" t="str">
        <f t="shared" si="84"/>
        <v/>
      </c>
      <c r="AD601" s="15" t="str">
        <f t="shared" si="85"/>
        <v/>
      </c>
      <c r="AE601" s="15" t="str">
        <f t="shared" si="86"/>
        <v/>
      </c>
      <c r="AF601" s="15" t="str">
        <f t="shared" si="87"/>
        <v/>
      </c>
      <c r="AG601" s="18">
        <f>IF(AND(S601=1,Z601="Y"),IF(Settings!$B$6="Percentage",IF(AD601=0,0,AC601*AA601*(N601/AD601)),IF(Settings!$B$6="Points",IF(AF601=0,0,AC601*(N601*AB601)/AF601),IF(Settings!$B$6="Equally",IF(AE601=0,0,AC601*N601/AE601),0))),0)</f>
        <v>0</v>
      </c>
      <c r="AH601" s="18" t="str">
        <f t="shared" si="88"/>
        <v/>
      </c>
      <c r="AI601" s="15">
        <f>IF(S601=1,IF(COUNTIFS($R$2:R601,R601,$S$2:S601,1)=1,1,0),0)</f>
        <v>0</v>
      </c>
      <c r="AJ601" s="15">
        <f>SUM($AI$2:AI601)</f>
        <v>12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8"/>
  <sheetViews>
    <sheetView showGridLines="0" zoomScaleNormal="100" workbookViewId="0">
      <pane ySplit="1" topLeftCell="A2" activePane="bottomLeft" state="frozen"/>
      <selection pane="bottomLeft" activeCell="F1" sqref="F1"/>
    </sheetView>
  </sheetViews>
  <sheetFormatPr defaultColWidth="8.7109375" defaultRowHeight="14.45"/>
  <cols>
    <col min="1" max="1" width="14" customWidth="1"/>
    <col min="2" max="2" width="16" customWidth="1"/>
    <col min="3" max="3" width="18" customWidth="1"/>
    <col min="4" max="4" width="14" customWidth="1"/>
    <col min="5" max="5" width="20" customWidth="1"/>
    <col min="6" max="6" width="61.85546875" bestFit="1" customWidth="1"/>
  </cols>
  <sheetData>
    <row r="1" spans="1:6" ht="30" customHeight="1">
      <c r="A1" s="9" t="s">
        <v>49</v>
      </c>
      <c r="B1" s="9" t="s">
        <v>92</v>
      </c>
      <c r="C1" s="9" t="s">
        <v>93</v>
      </c>
      <c r="D1" s="9" t="s">
        <v>94</v>
      </c>
      <c r="E1" s="9" t="s">
        <v>73</v>
      </c>
      <c r="F1" s="9" t="s">
        <v>95</v>
      </c>
    </row>
    <row r="2" spans="1:6">
      <c r="A2" s="19">
        <f>Settings!$B$3</f>
        <v>46272</v>
      </c>
      <c r="B2" s="20">
        <f>IF($A2="","",SUMIFS('Time Card Data'!$X$2:$X$601,'Time Card Data'!$S$2:$S$601,1,'Time Card Data'!$T$2:$T$601,$A2))</f>
        <v>303.99</v>
      </c>
      <c r="C2" s="20">
        <f>IF($A2="","",SUMIFS('Time Card Data'!$AG$2:$AG$601,'Time Card Data'!$S$2:$S$601,1,'Time Card Data'!$T$2:$T$601,$A2))</f>
        <v>303.99</v>
      </c>
      <c r="D2" s="20">
        <f t="shared" ref="D2:D46" si="0">IF($A2="","",B2-C2)</f>
        <v>0</v>
      </c>
      <c r="E2" s="21">
        <f>IF($A2="","",SUMIFS('Time Card Data'!$N$2:$N$601,'Time Card Data'!$S$2:$S$601,1,'Time Card Data'!$T$2:$T$601,$A2,'Time Card Data'!$Z$2:$Z$601,"Y"))</f>
        <v>25.299999999999997</v>
      </c>
      <c r="F2" s="22" t="str">
        <f t="shared" ref="F2:F46" si="1">IF(AND($A2&lt;&gt;"",D2&lt;&gt;0),"Not fully distributed - check Distribution % for roles with 0 hours this day","")</f>
        <v/>
      </c>
    </row>
    <row r="3" spans="1:6">
      <c r="A3" s="19">
        <f>IF(A2="","",IF((A2-Settings!$B$3+1)&lt;Settings!$B$4,A2+1,""))</f>
        <v>46273</v>
      </c>
      <c r="B3" s="20">
        <f>IF($A3="","",SUMIFS('Time Card Data'!$X$2:$X$601,'Time Card Data'!$S$2:$S$601,1,'Time Card Data'!$T$2:$T$601,$A3))</f>
        <v>0</v>
      </c>
      <c r="C3" s="20">
        <f>IF($A3="","",SUMIFS('Time Card Data'!$AG$2:$AG$601,'Time Card Data'!$S$2:$S$601,1,'Time Card Data'!$T$2:$T$601,$A3))</f>
        <v>0</v>
      </c>
      <c r="D3" s="20">
        <f t="shared" si="0"/>
        <v>0</v>
      </c>
      <c r="E3" s="21">
        <f>IF($A3="","",SUMIFS('Time Card Data'!$N$2:$N$601,'Time Card Data'!$S$2:$S$601,1,'Time Card Data'!$T$2:$T$601,$A3,'Time Card Data'!$Z$2:$Z$601,"Y"))</f>
        <v>0</v>
      </c>
      <c r="F3" s="22" t="str">
        <f t="shared" si="1"/>
        <v/>
      </c>
    </row>
    <row r="4" spans="1:6">
      <c r="A4" s="19">
        <f>IF(A3="","",IF((A3-Settings!$B$3+1)&lt;Settings!$B$4,A3+1,""))</f>
        <v>46274</v>
      </c>
      <c r="B4" s="20">
        <f>IF($A4="","",SUMIFS('Time Card Data'!$X$2:$X$601,'Time Card Data'!$S$2:$S$601,1,'Time Card Data'!$T$2:$T$601,$A4))</f>
        <v>104.42</v>
      </c>
      <c r="C4" s="20">
        <f>IF($A4="","",SUMIFS('Time Card Data'!$AG$2:$AG$601,'Time Card Data'!$S$2:$S$601,1,'Time Card Data'!$T$2:$T$601,$A4))</f>
        <v>104.42</v>
      </c>
      <c r="D4" s="20">
        <f t="shared" si="0"/>
        <v>0</v>
      </c>
      <c r="E4" s="25">
        <f>IF($A4="","",SUMIFS('Time Card Data'!$N$2:$N$601,'Time Card Data'!$S$2:$S$601,1,'Time Card Data'!$T$2:$T$601,$A4,'Time Card Data'!$Z$2:$Z$601,"Y"))</f>
        <v>10.98</v>
      </c>
      <c r="F4" s="22" t="str">
        <f t="shared" si="1"/>
        <v/>
      </c>
    </row>
    <row r="5" spans="1:6">
      <c r="A5" s="19">
        <f>IF(A4="","",IF((A4-Settings!$B$3+1)&lt;Settings!$B$4,A4+1,""))</f>
        <v>46275</v>
      </c>
      <c r="B5" s="20">
        <f>IF($A5="","",SUMIFS('Time Card Data'!$X$2:$X$601,'Time Card Data'!$S$2:$S$601,1,'Time Card Data'!$T$2:$T$601,$A5))</f>
        <v>54.83</v>
      </c>
      <c r="C5" s="20">
        <f>IF($A5="","",SUMIFS('Time Card Data'!$AG$2:$AG$601,'Time Card Data'!$S$2:$S$601,1,'Time Card Data'!$T$2:$T$601,$A5))</f>
        <v>54.83</v>
      </c>
      <c r="D5" s="20">
        <f t="shared" si="0"/>
        <v>0</v>
      </c>
      <c r="E5" s="25">
        <f>IF($A5="","",SUMIFS('Time Card Data'!$N$2:$N$601,'Time Card Data'!$S$2:$S$601,1,'Time Card Data'!$T$2:$T$601,$A5,'Time Card Data'!$Z$2:$Z$601,"Y"))</f>
        <v>6.79</v>
      </c>
      <c r="F5" s="22" t="str">
        <f t="shared" si="1"/>
        <v/>
      </c>
    </row>
    <row r="6" spans="1:6">
      <c r="A6" s="19">
        <f>IF(A5="","",IF((A5-Settings!$B$3+1)&lt;Settings!$B$4,A5+1,""))</f>
        <v>46276</v>
      </c>
      <c r="B6" s="20">
        <f>IF($A6="","",SUMIFS('Time Card Data'!$X$2:$X$601,'Time Card Data'!$S$2:$S$601,1,'Time Card Data'!$T$2:$T$601,$A6))</f>
        <v>87.710000000000008</v>
      </c>
      <c r="C6" s="20">
        <f>IF($A6="","",SUMIFS('Time Card Data'!$AG$2:$AG$601,'Time Card Data'!$S$2:$S$601,1,'Time Card Data'!$T$2:$T$601,$A6))</f>
        <v>87.710000000000008</v>
      </c>
      <c r="D6" s="20">
        <f t="shared" si="0"/>
        <v>0</v>
      </c>
      <c r="E6" s="25">
        <f>IF($A6="","",SUMIFS('Time Card Data'!$N$2:$N$601,'Time Card Data'!$S$2:$S$601,1,'Time Card Data'!$T$2:$T$601,$A6,'Time Card Data'!$Z$2:$Z$601,"Y"))</f>
        <v>15.739999999999998</v>
      </c>
      <c r="F6" s="22" t="str">
        <f t="shared" si="1"/>
        <v/>
      </c>
    </row>
    <row r="7" spans="1:6">
      <c r="A7" s="19">
        <f>IF(A6="","",IF((A6-Settings!$B$3+1)&lt;Settings!$B$4,A6+1,""))</f>
        <v>46277</v>
      </c>
      <c r="B7" s="20">
        <f>IF($A7="","",SUMIFS('Time Card Data'!$X$2:$X$601,'Time Card Data'!$S$2:$S$601,1,'Time Card Data'!$T$2:$T$601,$A7))</f>
        <v>220.79</v>
      </c>
      <c r="C7" s="20">
        <f>IF($A7="","",SUMIFS('Time Card Data'!$AG$2:$AG$601,'Time Card Data'!$S$2:$S$601,1,'Time Card Data'!$T$2:$T$601,$A7))</f>
        <v>220.79</v>
      </c>
      <c r="D7" s="20">
        <f t="shared" si="0"/>
        <v>0</v>
      </c>
      <c r="E7" s="25">
        <f>IF($A7="","",SUMIFS('Time Card Data'!$N$2:$N$601,'Time Card Data'!$S$2:$S$601,1,'Time Card Data'!$T$2:$T$601,$A7,'Time Card Data'!$Z$2:$Z$601,"Y"))</f>
        <v>24.11</v>
      </c>
      <c r="F7" s="22" t="str">
        <f t="shared" si="1"/>
        <v/>
      </c>
    </row>
    <row r="8" spans="1:6">
      <c r="A8" s="19">
        <f>IF(A7="","",IF((A7-Settings!$B$3+1)&lt;Settings!$B$4,A7+1,""))</f>
        <v>46278</v>
      </c>
      <c r="B8" s="20">
        <f>IF($A8="","",SUMIFS('Time Card Data'!$X$2:$X$601,'Time Card Data'!$S$2:$S$601,1,'Time Card Data'!$T$2:$T$601,$A8))</f>
        <v>242.76</v>
      </c>
      <c r="C8" s="20">
        <f>IF($A8="","",SUMIFS('Time Card Data'!$AG$2:$AG$601,'Time Card Data'!$S$2:$S$601,1,'Time Card Data'!$T$2:$T$601,$A8))</f>
        <v>242.76</v>
      </c>
      <c r="D8" s="20">
        <f t="shared" si="0"/>
        <v>0</v>
      </c>
      <c r="E8" s="25">
        <f>IF($A8="","",SUMIFS('Time Card Data'!$N$2:$N$601,'Time Card Data'!$S$2:$S$601,1,'Time Card Data'!$T$2:$T$601,$A8,'Time Card Data'!$Z$2:$Z$601,"Y"))</f>
        <v>20.37</v>
      </c>
      <c r="F8" s="22" t="str">
        <f t="shared" si="1"/>
        <v/>
      </c>
    </row>
    <row r="9" spans="1:6">
      <c r="A9" s="19">
        <f>IF(A8="","",IF((A8-Settings!$B$3+1)&lt;Settings!$B$4,A8+1,""))</f>
        <v>46279</v>
      </c>
      <c r="B9" s="20">
        <f>IF($A9="","",SUMIFS('Time Card Data'!$X$2:$X$601,'Time Card Data'!$S$2:$S$601,1,'Time Card Data'!$T$2:$T$601,$A9))</f>
        <v>80.03</v>
      </c>
      <c r="C9" s="20">
        <f>IF($A9="","",SUMIFS('Time Card Data'!$AG$2:$AG$601,'Time Card Data'!$S$2:$S$601,1,'Time Card Data'!$T$2:$T$601,$A9))</f>
        <v>80.029999999999987</v>
      </c>
      <c r="D9" s="20">
        <f t="shared" si="0"/>
        <v>1.4210854715202004E-14</v>
      </c>
      <c r="E9" s="25">
        <f>IF($A9="","",SUMIFS('Time Card Data'!$N$2:$N$601,'Time Card Data'!$S$2:$S$601,1,'Time Card Data'!$T$2:$T$601,$A9,'Time Card Data'!$Z$2:$Z$601,"Y"))</f>
        <v>7.23</v>
      </c>
      <c r="F9" s="22" t="str">
        <f t="shared" si="1"/>
        <v>Not fully distributed - check Distribution % for roles with 0 hours this day</v>
      </c>
    </row>
    <row r="10" spans="1:6">
      <c r="A10" s="19">
        <f>IF(A9="","",IF((A9-Settings!$B$3+1)&lt;Settings!$B$4,A9+1,""))</f>
        <v>46280</v>
      </c>
      <c r="B10" s="20">
        <f>IF($A10="","",SUMIFS('Time Card Data'!$X$2:$X$601,'Time Card Data'!$S$2:$S$601,1,'Time Card Data'!$T$2:$T$601,$A10))</f>
        <v>0</v>
      </c>
      <c r="C10" s="20">
        <f>IF($A10="","",SUMIFS('Time Card Data'!$AG$2:$AG$601,'Time Card Data'!$S$2:$S$601,1,'Time Card Data'!$T$2:$T$601,$A10))</f>
        <v>0</v>
      </c>
      <c r="D10" s="20">
        <f t="shared" si="0"/>
        <v>0</v>
      </c>
      <c r="E10" s="21">
        <f>IF($A10="","",SUMIFS('Time Card Data'!$N$2:$N$601,'Time Card Data'!$S$2:$S$601,1,'Time Card Data'!$T$2:$T$601,$A10,'Time Card Data'!$Z$2:$Z$601,"Y"))</f>
        <v>0</v>
      </c>
      <c r="F10" s="22" t="str">
        <f t="shared" si="1"/>
        <v/>
      </c>
    </row>
    <row r="11" spans="1:6">
      <c r="A11" s="19">
        <f>IF(A10="","",IF((A10-Settings!$B$3+1)&lt;Settings!$B$4,A10+1,""))</f>
        <v>46281</v>
      </c>
      <c r="B11" s="20">
        <f>IF($A11="","",SUMIFS('Time Card Data'!$X$2:$X$601,'Time Card Data'!$S$2:$S$601,1,'Time Card Data'!$T$2:$T$601,$A11))</f>
        <v>81.58</v>
      </c>
      <c r="C11" s="20">
        <f>IF($A11="","",SUMIFS('Time Card Data'!$AG$2:$AG$601,'Time Card Data'!$S$2:$S$601,1,'Time Card Data'!$T$2:$T$601,$A11))</f>
        <v>81.580000000000013</v>
      </c>
      <c r="D11" s="20">
        <f t="shared" si="0"/>
        <v>-1.4210854715202004E-14</v>
      </c>
      <c r="E11" s="25">
        <f>IF($A11="","",SUMIFS('Time Card Data'!$N$2:$N$601,'Time Card Data'!$S$2:$S$601,1,'Time Card Data'!$T$2:$T$601,$A11,'Time Card Data'!$Z$2:$Z$601,"Y"))</f>
        <v>8.6499999999999986</v>
      </c>
      <c r="F11" s="22" t="str">
        <f t="shared" si="1"/>
        <v>Not fully distributed - check Distribution % for roles with 0 hours this day</v>
      </c>
    </row>
    <row r="12" spans="1:6">
      <c r="A12" s="19">
        <f>IF(A11="","",IF((A11-Settings!$B$3+1)&lt;Settings!$B$4,A11+1,""))</f>
        <v>46282</v>
      </c>
      <c r="B12" s="20">
        <f>IF($A12="","",SUMIFS('Time Card Data'!$X$2:$X$601,'Time Card Data'!$S$2:$S$601,1,'Time Card Data'!$T$2:$T$601,$A12))</f>
        <v>72.78</v>
      </c>
      <c r="C12" s="20">
        <f>IF($A12="","",SUMIFS('Time Card Data'!$AG$2:$AG$601,'Time Card Data'!$S$2:$S$601,1,'Time Card Data'!$T$2:$T$601,$A12))</f>
        <v>72.78</v>
      </c>
      <c r="D12" s="20">
        <f t="shared" si="0"/>
        <v>0</v>
      </c>
      <c r="E12" s="25">
        <f>IF($A12="","",SUMIFS('Time Card Data'!$N$2:$N$601,'Time Card Data'!$S$2:$S$601,1,'Time Card Data'!$T$2:$T$601,$A12,'Time Card Data'!$Z$2:$Z$601,"Y"))</f>
        <v>8.07</v>
      </c>
      <c r="F12" s="22" t="str">
        <f t="shared" si="1"/>
        <v/>
      </c>
    </row>
    <row r="13" spans="1:6">
      <c r="A13" s="19">
        <f>IF(A12="","",IF((A12-Settings!$B$3+1)&lt;Settings!$B$4,A12+1,""))</f>
        <v>46283</v>
      </c>
      <c r="B13" s="20">
        <f>IF($A13="","",SUMIFS('Time Card Data'!$X$2:$X$601,'Time Card Data'!$S$2:$S$601,1,'Time Card Data'!$T$2:$T$601,$A13))</f>
        <v>84.09</v>
      </c>
      <c r="C13" s="20">
        <f>IF($A13="","",SUMIFS('Time Card Data'!$AG$2:$AG$601,'Time Card Data'!$S$2:$S$601,1,'Time Card Data'!$T$2:$T$601,$A13))</f>
        <v>84.09</v>
      </c>
      <c r="D13" s="20">
        <f t="shared" si="0"/>
        <v>0</v>
      </c>
      <c r="E13" s="25">
        <f>IF($A13="","",SUMIFS('Time Card Data'!$N$2:$N$601,'Time Card Data'!$S$2:$S$601,1,'Time Card Data'!$T$2:$T$601,$A13,'Time Card Data'!$Z$2:$Z$601,"Y"))</f>
        <v>12.5</v>
      </c>
      <c r="F13" s="22" t="str">
        <f t="shared" si="1"/>
        <v/>
      </c>
    </row>
    <row r="14" spans="1:6">
      <c r="A14" s="19">
        <f>IF(A13="","",IF((A13-Settings!$B$3+1)&lt;Settings!$B$4,A13+1,""))</f>
        <v>46284</v>
      </c>
      <c r="B14" s="20">
        <f>IF($A14="","",SUMIFS('Time Card Data'!$X$2:$X$601,'Time Card Data'!$S$2:$S$601,1,'Time Card Data'!$T$2:$T$601,$A14))</f>
        <v>190.57</v>
      </c>
      <c r="C14" s="20">
        <f>IF($A14="","",SUMIFS('Time Card Data'!$AG$2:$AG$601,'Time Card Data'!$S$2:$S$601,1,'Time Card Data'!$T$2:$T$601,$A14))</f>
        <v>190.57</v>
      </c>
      <c r="D14" s="20">
        <f t="shared" si="0"/>
        <v>0</v>
      </c>
      <c r="E14" s="25">
        <f>IF($A14="","",SUMIFS('Time Card Data'!$N$2:$N$601,'Time Card Data'!$S$2:$S$601,1,'Time Card Data'!$T$2:$T$601,$A14,'Time Card Data'!$Z$2:$Z$601,"Y"))</f>
        <v>28</v>
      </c>
      <c r="F14" s="22" t="str">
        <f t="shared" si="1"/>
        <v/>
      </c>
    </row>
    <row r="15" spans="1:6">
      <c r="A15" s="19">
        <f>IF(A14="","",IF((A14-Settings!$B$3+1)&lt;Settings!$B$4,A14+1,""))</f>
        <v>46285</v>
      </c>
      <c r="B15" s="20">
        <f>IF($A15="","",SUMIFS('Time Card Data'!$X$2:$X$601,'Time Card Data'!$S$2:$S$601,1,'Time Card Data'!$T$2:$T$601,$A15))</f>
        <v>146.5</v>
      </c>
      <c r="C15" s="20">
        <f>IF($A15="","",SUMIFS('Time Card Data'!$AG$2:$AG$601,'Time Card Data'!$S$2:$S$601,1,'Time Card Data'!$T$2:$T$601,$A15))</f>
        <v>146.5</v>
      </c>
      <c r="D15" s="20">
        <f t="shared" si="0"/>
        <v>0</v>
      </c>
      <c r="E15" s="25">
        <f>IF($A15="","",SUMIFS('Time Card Data'!$N$2:$N$601,'Time Card Data'!$S$2:$S$601,1,'Time Card Data'!$T$2:$T$601,$A15,'Time Card Data'!$Z$2:$Z$601,"Y"))</f>
        <v>22.34</v>
      </c>
      <c r="F15" s="22" t="str">
        <f t="shared" si="1"/>
        <v/>
      </c>
    </row>
    <row r="16" spans="1:6">
      <c r="A16" s="19">
        <f>IF(A15="","",IF((A15-Settings!$B$3+1)&lt;Settings!$B$4,A15+1,""))</f>
        <v>46286</v>
      </c>
      <c r="B16" s="20">
        <f>IF($A16="","",SUMIFS('Time Card Data'!$X$2:$X$601,'Time Card Data'!$S$2:$S$601,1,'Time Card Data'!$T$2:$T$601,$A16))</f>
        <v>0</v>
      </c>
      <c r="C16" s="20">
        <f>IF($A16="","",SUMIFS('Time Card Data'!$AG$2:$AG$601,'Time Card Data'!$S$2:$S$601,1,'Time Card Data'!$T$2:$T$601,$A16))</f>
        <v>0</v>
      </c>
      <c r="D16" s="20">
        <f t="shared" si="0"/>
        <v>0</v>
      </c>
      <c r="E16" s="21">
        <f>IF($A16="","",SUMIFS('Time Card Data'!$N$2:$N$601,'Time Card Data'!$S$2:$S$601,1,'Time Card Data'!$T$2:$T$601,$A16,'Time Card Data'!$Z$2:$Z$601,"Y"))</f>
        <v>0</v>
      </c>
      <c r="F16" s="22" t="str">
        <f t="shared" si="1"/>
        <v/>
      </c>
    </row>
    <row r="17" spans="1:6">
      <c r="A17" s="19">
        <f>IF(A16="","",IF((A16-Settings!$B$3+1)&lt;Settings!$B$4,A16+1,""))</f>
        <v>46287</v>
      </c>
      <c r="B17" s="20">
        <f>IF($A17="","",SUMIFS('Time Card Data'!$X$2:$X$601,'Time Card Data'!$S$2:$S$601,1,'Time Card Data'!$T$2:$T$601,$A17))</f>
        <v>0</v>
      </c>
      <c r="C17" s="20">
        <f>IF($A17="","",SUMIFS('Time Card Data'!$AG$2:$AG$601,'Time Card Data'!$S$2:$S$601,1,'Time Card Data'!$T$2:$T$601,$A17))</f>
        <v>0</v>
      </c>
      <c r="D17" s="20">
        <f t="shared" si="0"/>
        <v>0</v>
      </c>
      <c r="E17" s="21">
        <f>IF($A17="","",SUMIFS('Time Card Data'!$N$2:$N$601,'Time Card Data'!$S$2:$S$601,1,'Time Card Data'!$T$2:$T$601,$A17,'Time Card Data'!$Z$2:$Z$601,"Y"))</f>
        <v>0</v>
      </c>
      <c r="F17" s="22" t="str">
        <f t="shared" si="1"/>
        <v/>
      </c>
    </row>
    <row r="18" spans="1:6">
      <c r="A18" s="19">
        <f>IF(A17="","",IF((A17-Settings!$B$3+1)&lt;Settings!$B$4,A17+1,""))</f>
        <v>46288</v>
      </c>
      <c r="B18" s="20">
        <f>IF($A18="","",SUMIFS('Time Card Data'!$X$2:$X$601,'Time Card Data'!$S$2:$S$601,1,'Time Card Data'!$T$2:$T$601,$A18))</f>
        <v>0</v>
      </c>
      <c r="C18" s="20">
        <f>IF($A18="","",SUMIFS('Time Card Data'!$AG$2:$AG$601,'Time Card Data'!$S$2:$S$601,1,'Time Card Data'!$T$2:$T$601,$A18))</f>
        <v>0</v>
      </c>
      <c r="D18" s="20">
        <f t="shared" si="0"/>
        <v>0</v>
      </c>
      <c r="E18" s="21">
        <f>IF($A18="","",SUMIFS('Time Card Data'!$N$2:$N$601,'Time Card Data'!$S$2:$S$601,1,'Time Card Data'!$T$2:$T$601,$A18,'Time Card Data'!$Z$2:$Z$601,"Y"))</f>
        <v>0</v>
      </c>
      <c r="F18" s="22" t="str">
        <f t="shared" si="1"/>
        <v/>
      </c>
    </row>
    <row r="19" spans="1:6">
      <c r="A19" s="19">
        <f>IF(A18="","",IF((A18-Settings!$B$3+1)&lt;Settings!$B$4,A18+1,""))</f>
        <v>46289</v>
      </c>
      <c r="B19" s="20">
        <f>IF($A19="","",SUMIFS('Time Card Data'!$X$2:$X$601,'Time Card Data'!$S$2:$S$601,1,'Time Card Data'!$T$2:$T$601,$A19))</f>
        <v>0</v>
      </c>
      <c r="C19" s="20">
        <f>IF($A19="","",SUMIFS('Time Card Data'!$AG$2:$AG$601,'Time Card Data'!$S$2:$S$601,1,'Time Card Data'!$T$2:$T$601,$A19))</f>
        <v>0</v>
      </c>
      <c r="D19" s="20">
        <f t="shared" si="0"/>
        <v>0</v>
      </c>
      <c r="E19" s="21">
        <f>IF($A19="","",SUMIFS('Time Card Data'!$N$2:$N$601,'Time Card Data'!$S$2:$S$601,1,'Time Card Data'!$T$2:$T$601,$A19,'Time Card Data'!$Z$2:$Z$601,"Y"))</f>
        <v>0</v>
      </c>
      <c r="F19" s="22" t="str">
        <f t="shared" si="1"/>
        <v/>
      </c>
    </row>
    <row r="20" spans="1:6">
      <c r="A20" s="19">
        <f>IF(A19="","",IF((A19-Settings!$B$3+1)&lt;Settings!$B$4,A19+1,""))</f>
        <v>46290</v>
      </c>
      <c r="B20" s="20">
        <f>IF($A20="","",SUMIFS('Time Card Data'!$X$2:$X$601,'Time Card Data'!$S$2:$S$601,1,'Time Card Data'!$T$2:$T$601,$A20))</f>
        <v>0</v>
      </c>
      <c r="C20" s="20">
        <f>IF($A20="","",SUMIFS('Time Card Data'!$AG$2:$AG$601,'Time Card Data'!$S$2:$S$601,1,'Time Card Data'!$T$2:$T$601,$A20))</f>
        <v>0</v>
      </c>
      <c r="D20" s="20">
        <f t="shared" si="0"/>
        <v>0</v>
      </c>
      <c r="E20" s="21">
        <f>IF($A20="","",SUMIFS('Time Card Data'!$N$2:$N$601,'Time Card Data'!$S$2:$S$601,1,'Time Card Data'!$T$2:$T$601,$A20,'Time Card Data'!$Z$2:$Z$601,"Y"))</f>
        <v>0</v>
      </c>
      <c r="F20" s="22" t="str">
        <f t="shared" si="1"/>
        <v/>
      </c>
    </row>
    <row r="21" spans="1:6">
      <c r="A21" s="19">
        <f>IF(A20="","",IF((A20-Settings!$B$3+1)&lt;Settings!$B$4,A20+1,""))</f>
        <v>46291</v>
      </c>
      <c r="B21" s="20">
        <f>IF($A21="","",SUMIFS('Time Card Data'!$X$2:$X$601,'Time Card Data'!$S$2:$S$601,1,'Time Card Data'!$T$2:$T$601,$A21))</f>
        <v>0</v>
      </c>
      <c r="C21" s="20">
        <f>IF($A21="","",SUMIFS('Time Card Data'!$AG$2:$AG$601,'Time Card Data'!$S$2:$S$601,1,'Time Card Data'!$T$2:$T$601,$A21))</f>
        <v>0</v>
      </c>
      <c r="D21" s="20">
        <f t="shared" si="0"/>
        <v>0</v>
      </c>
      <c r="E21" s="21">
        <f>IF($A21="","",SUMIFS('Time Card Data'!$N$2:$N$601,'Time Card Data'!$S$2:$S$601,1,'Time Card Data'!$T$2:$T$601,$A21,'Time Card Data'!$Z$2:$Z$601,"Y"))</f>
        <v>0</v>
      </c>
      <c r="F21" s="22" t="str">
        <f t="shared" si="1"/>
        <v/>
      </c>
    </row>
    <row r="22" spans="1:6">
      <c r="A22" s="19">
        <f>IF(A21="","",IF((A21-Settings!$B$3+1)&lt;Settings!$B$4,A21+1,""))</f>
        <v>46292</v>
      </c>
      <c r="B22" s="20">
        <f>IF($A22="","",SUMIFS('Time Card Data'!$X$2:$X$601,'Time Card Data'!$S$2:$S$601,1,'Time Card Data'!$T$2:$T$601,$A22))</f>
        <v>0</v>
      </c>
      <c r="C22" s="20">
        <f>IF($A22="","",SUMIFS('Time Card Data'!$AG$2:$AG$601,'Time Card Data'!$S$2:$S$601,1,'Time Card Data'!$T$2:$T$601,$A22))</f>
        <v>0</v>
      </c>
      <c r="D22" s="20">
        <f t="shared" si="0"/>
        <v>0</v>
      </c>
      <c r="E22" s="21">
        <f>IF($A22="","",SUMIFS('Time Card Data'!$N$2:$N$601,'Time Card Data'!$S$2:$S$601,1,'Time Card Data'!$T$2:$T$601,$A22,'Time Card Data'!$Z$2:$Z$601,"Y"))</f>
        <v>0</v>
      </c>
      <c r="F22" s="22" t="str">
        <f t="shared" si="1"/>
        <v/>
      </c>
    </row>
    <row r="23" spans="1:6">
      <c r="A23" s="19">
        <f>IF(A22="","",IF((A22-Settings!$B$3+1)&lt;Settings!$B$4,A22+1,""))</f>
        <v>46293</v>
      </c>
      <c r="B23" s="20">
        <f>IF($A23="","",SUMIFS('Time Card Data'!$X$2:$X$601,'Time Card Data'!$S$2:$S$601,1,'Time Card Data'!$T$2:$T$601,$A23))</f>
        <v>0</v>
      </c>
      <c r="C23" s="20">
        <f>IF($A23="","",SUMIFS('Time Card Data'!$AG$2:$AG$601,'Time Card Data'!$S$2:$S$601,1,'Time Card Data'!$T$2:$T$601,$A23))</f>
        <v>0</v>
      </c>
      <c r="D23" s="20">
        <f t="shared" si="0"/>
        <v>0</v>
      </c>
      <c r="E23" s="21">
        <f>IF($A23="","",SUMIFS('Time Card Data'!$N$2:$N$601,'Time Card Data'!$S$2:$S$601,1,'Time Card Data'!$T$2:$T$601,$A23,'Time Card Data'!$Z$2:$Z$601,"Y"))</f>
        <v>0</v>
      </c>
      <c r="F23" s="22" t="str">
        <f t="shared" si="1"/>
        <v/>
      </c>
    </row>
    <row r="24" spans="1:6">
      <c r="A24" s="19">
        <f>IF(A23="","",IF((A23-Settings!$B$3+1)&lt;Settings!$B$4,A23+1,""))</f>
        <v>46294</v>
      </c>
      <c r="B24" s="20">
        <f>IF($A24="","",SUMIFS('Time Card Data'!$X$2:$X$601,'Time Card Data'!$S$2:$S$601,1,'Time Card Data'!$T$2:$T$601,$A24))</f>
        <v>0</v>
      </c>
      <c r="C24" s="20">
        <f>IF($A24="","",SUMIFS('Time Card Data'!$AG$2:$AG$601,'Time Card Data'!$S$2:$S$601,1,'Time Card Data'!$T$2:$T$601,$A24))</f>
        <v>0</v>
      </c>
      <c r="D24" s="20">
        <f t="shared" si="0"/>
        <v>0</v>
      </c>
      <c r="E24" s="21">
        <f>IF($A24="","",SUMIFS('Time Card Data'!$N$2:$N$601,'Time Card Data'!$S$2:$S$601,1,'Time Card Data'!$T$2:$T$601,$A24,'Time Card Data'!$Z$2:$Z$601,"Y"))</f>
        <v>0</v>
      </c>
      <c r="F24" s="22" t="str">
        <f t="shared" si="1"/>
        <v/>
      </c>
    </row>
    <row r="25" spans="1:6">
      <c r="A25" s="19">
        <f>IF(A24="","",IF((A24-Settings!$B$3+1)&lt;Settings!$B$4,A24+1,""))</f>
        <v>46295</v>
      </c>
      <c r="B25" s="20">
        <f>IF($A25="","",SUMIFS('Time Card Data'!$X$2:$X$601,'Time Card Data'!$S$2:$S$601,1,'Time Card Data'!$T$2:$T$601,$A25))</f>
        <v>0</v>
      </c>
      <c r="C25" s="20">
        <f>IF($A25="","",SUMIFS('Time Card Data'!$AG$2:$AG$601,'Time Card Data'!$S$2:$S$601,1,'Time Card Data'!$T$2:$T$601,$A25))</f>
        <v>0</v>
      </c>
      <c r="D25" s="20">
        <f t="shared" si="0"/>
        <v>0</v>
      </c>
      <c r="E25" s="21">
        <f>IF($A25="","",SUMIFS('Time Card Data'!$N$2:$N$601,'Time Card Data'!$S$2:$S$601,1,'Time Card Data'!$T$2:$T$601,$A25,'Time Card Data'!$Z$2:$Z$601,"Y"))</f>
        <v>0</v>
      </c>
      <c r="F25" s="22" t="str">
        <f t="shared" si="1"/>
        <v/>
      </c>
    </row>
    <row r="26" spans="1:6">
      <c r="A26" s="19">
        <f>IF(A25="","",IF((A25-Settings!$B$3+1)&lt;Settings!$B$4,A25+1,""))</f>
        <v>46296</v>
      </c>
      <c r="B26" s="20">
        <f>IF($A26="","",SUMIFS('Time Card Data'!$X$2:$X$601,'Time Card Data'!$S$2:$S$601,1,'Time Card Data'!$T$2:$T$601,$A26))</f>
        <v>0</v>
      </c>
      <c r="C26" s="20">
        <f>IF($A26="","",SUMIFS('Time Card Data'!$AG$2:$AG$601,'Time Card Data'!$S$2:$S$601,1,'Time Card Data'!$T$2:$T$601,$A26))</f>
        <v>0</v>
      </c>
      <c r="D26" s="20">
        <f t="shared" si="0"/>
        <v>0</v>
      </c>
      <c r="E26" s="21">
        <f>IF($A26="","",SUMIFS('Time Card Data'!$N$2:$N$601,'Time Card Data'!$S$2:$S$601,1,'Time Card Data'!$T$2:$T$601,$A26,'Time Card Data'!$Z$2:$Z$601,"Y"))</f>
        <v>0</v>
      </c>
      <c r="F26" s="22" t="str">
        <f t="shared" si="1"/>
        <v/>
      </c>
    </row>
    <row r="27" spans="1:6">
      <c r="A27" s="19">
        <f>IF(A26="","",IF((A26-Settings!$B$3+1)&lt;Settings!$B$4,A26+1,""))</f>
        <v>46297</v>
      </c>
      <c r="B27" s="20">
        <f>IF($A27="","",SUMIFS('Time Card Data'!$X$2:$X$601,'Time Card Data'!$S$2:$S$601,1,'Time Card Data'!$T$2:$T$601,$A27))</f>
        <v>0</v>
      </c>
      <c r="C27" s="20">
        <f>IF($A27="","",SUMIFS('Time Card Data'!$AG$2:$AG$601,'Time Card Data'!$S$2:$S$601,1,'Time Card Data'!$T$2:$T$601,$A27))</f>
        <v>0</v>
      </c>
      <c r="D27" s="20">
        <f t="shared" si="0"/>
        <v>0</v>
      </c>
      <c r="E27" s="21">
        <f>IF($A27="","",SUMIFS('Time Card Data'!$N$2:$N$601,'Time Card Data'!$S$2:$S$601,1,'Time Card Data'!$T$2:$T$601,$A27,'Time Card Data'!$Z$2:$Z$601,"Y"))</f>
        <v>0</v>
      </c>
      <c r="F27" s="22" t="str">
        <f t="shared" si="1"/>
        <v/>
      </c>
    </row>
    <row r="28" spans="1:6">
      <c r="A28" s="19">
        <f>IF(A27="","",IF((A27-Settings!$B$3+1)&lt;Settings!$B$4,A27+1,""))</f>
        <v>46298</v>
      </c>
      <c r="B28" s="20">
        <f>IF($A28="","",SUMIFS('Time Card Data'!$X$2:$X$601,'Time Card Data'!$S$2:$S$601,1,'Time Card Data'!$T$2:$T$601,$A28))</f>
        <v>0</v>
      </c>
      <c r="C28" s="20">
        <f>IF($A28="","",SUMIFS('Time Card Data'!$AG$2:$AG$601,'Time Card Data'!$S$2:$S$601,1,'Time Card Data'!$T$2:$T$601,$A28))</f>
        <v>0</v>
      </c>
      <c r="D28" s="20">
        <f t="shared" si="0"/>
        <v>0</v>
      </c>
      <c r="E28" s="21">
        <f>IF($A28="","",SUMIFS('Time Card Data'!$N$2:$N$601,'Time Card Data'!$S$2:$S$601,1,'Time Card Data'!$T$2:$T$601,$A28,'Time Card Data'!$Z$2:$Z$601,"Y"))</f>
        <v>0</v>
      </c>
      <c r="F28" s="22" t="str">
        <f t="shared" si="1"/>
        <v/>
      </c>
    </row>
    <row r="29" spans="1:6">
      <c r="A29" s="19">
        <f>IF(A28="","",IF((A28-Settings!$B$3+1)&lt;Settings!$B$4,A28+1,""))</f>
        <v>46299</v>
      </c>
      <c r="B29" s="20">
        <f>IF($A29="","",SUMIFS('Time Card Data'!$X$2:$X$601,'Time Card Data'!$S$2:$S$601,1,'Time Card Data'!$T$2:$T$601,$A29))</f>
        <v>0</v>
      </c>
      <c r="C29" s="20">
        <f>IF($A29="","",SUMIFS('Time Card Data'!$AG$2:$AG$601,'Time Card Data'!$S$2:$S$601,1,'Time Card Data'!$T$2:$T$601,$A29))</f>
        <v>0</v>
      </c>
      <c r="D29" s="20">
        <f t="shared" si="0"/>
        <v>0</v>
      </c>
      <c r="E29" s="21">
        <f>IF($A29="","",SUMIFS('Time Card Data'!$N$2:$N$601,'Time Card Data'!$S$2:$S$601,1,'Time Card Data'!$T$2:$T$601,$A29,'Time Card Data'!$Z$2:$Z$601,"Y"))</f>
        <v>0</v>
      </c>
      <c r="F29" s="22" t="str">
        <f t="shared" si="1"/>
        <v/>
      </c>
    </row>
    <row r="30" spans="1:6">
      <c r="A30" s="19">
        <f>IF(A29="","",IF((A29-Settings!$B$3+1)&lt;Settings!$B$4,A29+1,""))</f>
        <v>46300</v>
      </c>
      <c r="B30" s="20">
        <f>IF($A30="","",SUMIFS('Time Card Data'!$X$2:$X$601,'Time Card Data'!$S$2:$S$601,1,'Time Card Data'!$T$2:$T$601,$A30))</f>
        <v>0</v>
      </c>
      <c r="C30" s="20">
        <f>IF($A30="","",SUMIFS('Time Card Data'!$AG$2:$AG$601,'Time Card Data'!$S$2:$S$601,1,'Time Card Data'!$T$2:$T$601,$A30))</f>
        <v>0</v>
      </c>
      <c r="D30" s="20">
        <f t="shared" si="0"/>
        <v>0</v>
      </c>
      <c r="E30" s="21">
        <f>IF($A30="","",SUMIFS('Time Card Data'!$N$2:$N$601,'Time Card Data'!$S$2:$S$601,1,'Time Card Data'!$T$2:$T$601,$A30,'Time Card Data'!$Z$2:$Z$601,"Y"))</f>
        <v>0</v>
      </c>
      <c r="F30" s="22" t="str">
        <f t="shared" si="1"/>
        <v/>
      </c>
    </row>
    <row r="31" spans="1:6">
      <c r="A31" s="19">
        <f>IF(A30="","",IF((A30-Settings!$B$3+1)&lt;Settings!$B$4,A30+1,""))</f>
        <v>46301</v>
      </c>
      <c r="B31" s="20">
        <f>IF($A31="","",SUMIFS('Time Card Data'!$X$2:$X$601,'Time Card Data'!$S$2:$S$601,1,'Time Card Data'!$T$2:$T$601,$A31))</f>
        <v>0</v>
      </c>
      <c r="C31" s="20">
        <f>IF($A31="","",SUMIFS('Time Card Data'!$AG$2:$AG$601,'Time Card Data'!$S$2:$S$601,1,'Time Card Data'!$T$2:$T$601,$A31))</f>
        <v>0</v>
      </c>
      <c r="D31" s="20">
        <f t="shared" si="0"/>
        <v>0</v>
      </c>
      <c r="E31" s="21">
        <f>IF($A31="","",SUMIFS('Time Card Data'!$N$2:$N$601,'Time Card Data'!$S$2:$S$601,1,'Time Card Data'!$T$2:$T$601,$A31,'Time Card Data'!$Z$2:$Z$601,"Y"))</f>
        <v>0</v>
      </c>
      <c r="F31" s="22" t="str">
        <f t="shared" si="1"/>
        <v/>
      </c>
    </row>
    <row r="32" spans="1:6">
      <c r="A32" s="19">
        <f>IF(A31="","",IF((A31-Settings!$B$3+1)&lt;Settings!$B$4,A31+1,""))</f>
        <v>46302</v>
      </c>
      <c r="B32" s="20">
        <f>IF($A32="","",SUMIFS('Time Card Data'!$X$2:$X$601,'Time Card Data'!$S$2:$S$601,1,'Time Card Data'!$T$2:$T$601,$A32))</f>
        <v>0</v>
      </c>
      <c r="C32" s="20">
        <f>IF($A32="","",SUMIFS('Time Card Data'!$AG$2:$AG$601,'Time Card Data'!$S$2:$S$601,1,'Time Card Data'!$T$2:$T$601,$A32))</f>
        <v>0</v>
      </c>
      <c r="D32" s="20">
        <f t="shared" si="0"/>
        <v>0</v>
      </c>
      <c r="E32" s="21">
        <f>IF($A32="","",SUMIFS('Time Card Data'!$N$2:$N$601,'Time Card Data'!$S$2:$S$601,1,'Time Card Data'!$T$2:$T$601,$A32,'Time Card Data'!$Z$2:$Z$601,"Y"))</f>
        <v>0</v>
      </c>
      <c r="F32" s="22" t="str">
        <f t="shared" si="1"/>
        <v/>
      </c>
    </row>
    <row r="33" spans="1:6">
      <c r="A33" s="19" t="str">
        <f>IF(A32="","",IF((A32-Settings!$B$3+1)&lt;Settings!$B$4,A32+1,""))</f>
        <v/>
      </c>
      <c r="B33" s="20" t="str">
        <f>IF($A33="","",SUMIFS('Time Card Data'!$X$2:$X$601,'Time Card Data'!$S$2:$S$601,1,'Time Card Data'!$T$2:$T$601,$A33))</f>
        <v/>
      </c>
      <c r="C33" s="20" t="str">
        <f>IF($A33="","",SUMIFS('Time Card Data'!$AG$2:$AG$601,'Time Card Data'!$S$2:$S$601,1,'Time Card Data'!$T$2:$T$601,$A33))</f>
        <v/>
      </c>
      <c r="D33" s="20" t="str">
        <f t="shared" si="0"/>
        <v/>
      </c>
      <c r="E33" s="21" t="str">
        <f>IF($A33="","",SUMIFS('Time Card Data'!$N$2:$N$601,'Time Card Data'!$S$2:$S$601,1,'Time Card Data'!$T$2:$T$601,$A33,'Time Card Data'!$Z$2:$Z$601,"Y"))</f>
        <v/>
      </c>
      <c r="F33" s="22" t="str">
        <f t="shared" si="1"/>
        <v/>
      </c>
    </row>
    <row r="34" spans="1:6">
      <c r="A34" s="19" t="str">
        <f>IF(A33="","",IF((A33-Settings!$B$3+1)&lt;Settings!$B$4,A33+1,""))</f>
        <v/>
      </c>
      <c r="B34" s="20" t="str">
        <f>IF($A34="","",SUMIFS('Time Card Data'!$X$2:$X$601,'Time Card Data'!$S$2:$S$601,1,'Time Card Data'!$T$2:$T$601,$A34))</f>
        <v/>
      </c>
      <c r="C34" s="20" t="str">
        <f>IF($A34="","",SUMIFS('Time Card Data'!$AG$2:$AG$601,'Time Card Data'!$S$2:$S$601,1,'Time Card Data'!$T$2:$T$601,$A34))</f>
        <v/>
      </c>
      <c r="D34" s="20" t="str">
        <f t="shared" si="0"/>
        <v/>
      </c>
      <c r="E34" s="21" t="str">
        <f>IF($A34="","",SUMIFS('Time Card Data'!$N$2:$N$601,'Time Card Data'!$S$2:$S$601,1,'Time Card Data'!$T$2:$T$601,$A34,'Time Card Data'!$Z$2:$Z$601,"Y"))</f>
        <v/>
      </c>
      <c r="F34" s="22" t="str">
        <f t="shared" si="1"/>
        <v/>
      </c>
    </row>
    <row r="35" spans="1:6">
      <c r="A35" s="19" t="str">
        <f>IF(A34="","",IF((A34-Settings!$B$3+1)&lt;Settings!$B$4,A34+1,""))</f>
        <v/>
      </c>
      <c r="B35" s="20" t="str">
        <f>IF($A35="","",SUMIFS('Time Card Data'!$X$2:$X$601,'Time Card Data'!$S$2:$S$601,1,'Time Card Data'!$T$2:$T$601,$A35))</f>
        <v/>
      </c>
      <c r="C35" s="20" t="str">
        <f>IF($A35="","",SUMIFS('Time Card Data'!$AG$2:$AG$601,'Time Card Data'!$S$2:$S$601,1,'Time Card Data'!$T$2:$T$601,$A35))</f>
        <v/>
      </c>
      <c r="D35" s="20" t="str">
        <f t="shared" si="0"/>
        <v/>
      </c>
      <c r="E35" s="21" t="str">
        <f>IF($A35="","",SUMIFS('Time Card Data'!$N$2:$N$601,'Time Card Data'!$S$2:$S$601,1,'Time Card Data'!$T$2:$T$601,$A35,'Time Card Data'!$Z$2:$Z$601,"Y"))</f>
        <v/>
      </c>
      <c r="F35" s="22" t="str">
        <f t="shared" si="1"/>
        <v/>
      </c>
    </row>
    <row r="36" spans="1:6">
      <c r="A36" s="19" t="str">
        <f>IF(A35="","",IF((A35-Settings!$B$3+1)&lt;Settings!$B$4,A35+1,""))</f>
        <v/>
      </c>
      <c r="B36" s="20" t="str">
        <f>IF($A36="","",SUMIFS('Time Card Data'!$X$2:$X$601,'Time Card Data'!$S$2:$S$601,1,'Time Card Data'!$T$2:$T$601,$A36))</f>
        <v/>
      </c>
      <c r="C36" s="20" t="str">
        <f>IF($A36="","",SUMIFS('Time Card Data'!$AG$2:$AG$601,'Time Card Data'!$S$2:$S$601,1,'Time Card Data'!$T$2:$T$601,$A36))</f>
        <v/>
      </c>
      <c r="D36" s="20" t="str">
        <f t="shared" si="0"/>
        <v/>
      </c>
      <c r="E36" s="21" t="str">
        <f>IF($A36="","",SUMIFS('Time Card Data'!$N$2:$N$601,'Time Card Data'!$S$2:$S$601,1,'Time Card Data'!$T$2:$T$601,$A36,'Time Card Data'!$Z$2:$Z$601,"Y"))</f>
        <v/>
      </c>
      <c r="F36" s="22" t="str">
        <f t="shared" si="1"/>
        <v/>
      </c>
    </row>
    <row r="37" spans="1:6">
      <c r="A37" s="19" t="str">
        <f>IF(A36="","",IF((A36-Settings!$B$3+1)&lt;Settings!$B$4,A36+1,""))</f>
        <v/>
      </c>
      <c r="B37" s="20" t="str">
        <f>IF($A37="","",SUMIFS('Time Card Data'!$X$2:$X$601,'Time Card Data'!$S$2:$S$601,1,'Time Card Data'!$T$2:$T$601,$A37))</f>
        <v/>
      </c>
      <c r="C37" s="20" t="str">
        <f>IF($A37="","",SUMIFS('Time Card Data'!$AG$2:$AG$601,'Time Card Data'!$S$2:$S$601,1,'Time Card Data'!$T$2:$T$601,$A37))</f>
        <v/>
      </c>
      <c r="D37" s="20" t="str">
        <f t="shared" si="0"/>
        <v/>
      </c>
      <c r="E37" s="21" t="str">
        <f>IF($A37="","",SUMIFS('Time Card Data'!$N$2:$N$601,'Time Card Data'!$S$2:$S$601,1,'Time Card Data'!$T$2:$T$601,$A37,'Time Card Data'!$Z$2:$Z$601,"Y"))</f>
        <v/>
      </c>
      <c r="F37" s="22" t="str">
        <f t="shared" si="1"/>
        <v/>
      </c>
    </row>
    <row r="38" spans="1:6">
      <c r="A38" s="19" t="str">
        <f>IF(A37="","",IF((A37-Settings!$B$3+1)&lt;Settings!$B$4,A37+1,""))</f>
        <v/>
      </c>
      <c r="B38" s="20" t="str">
        <f>IF($A38="","",SUMIFS('Time Card Data'!$X$2:$X$601,'Time Card Data'!$S$2:$S$601,1,'Time Card Data'!$T$2:$T$601,$A38))</f>
        <v/>
      </c>
      <c r="C38" s="20" t="str">
        <f>IF($A38="","",SUMIFS('Time Card Data'!$AG$2:$AG$601,'Time Card Data'!$S$2:$S$601,1,'Time Card Data'!$T$2:$T$601,$A38))</f>
        <v/>
      </c>
      <c r="D38" s="20" t="str">
        <f t="shared" si="0"/>
        <v/>
      </c>
      <c r="E38" s="21" t="str">
        <f>IF($A38="","",SUMIFS('Time Card Data'!$N$2:$N$601,'Time Card Data'!$S$2:$S$601,1,'Time Card Data'!$T$2:$T$601,$A38,'Time Card Data'!$Z$2:$Z$601,"Y"))</f>
        <v/>
      </c>
      <c r="F38" s="22" t="str">
        <f t="shared" si="1"/>
        <v/>
      </c>
    </row>
    <row r="39" spans="1:6">
      <c r="A39" s="19" t="str">
        <f>IF(A38="","",IF((A38-Settings!$B$3+1)&lt;Settings!$B$4,A38+1,""))</f>
        <v/>
      </c>
      <c r="B39" s="20" t="str">
        <f>IF($A39="","",SUMIFS('Time Card Data'!$X$2:$X$601,'Time Card Data'!$S$2:$S$601,1,'Time Card Data'!$T$2:$T$601,$A39))</f>
        <v/>
      </c>
      <c r="C39" s="20" t="str">
        <f>IF($A39="","",SUMIFS('Time Card Data'!$AG$2:$AG$601,'Time Card Data'!$S$2:$S$601,1,'Time Card Data'!$T$2:$T$601,$A39))</f>
        <v/>
      </c>
      <c r="D39" s="20" t="str">
        <f t="shared" si="0"/>
        <v/>
      </c>
      <c r="E39" s="21" t="str">
        <f>IF($A39="","",SUMIFS('Time Card Data'!$N$2:$N$601,'Time Card Data'!$S$2:$S$601,1,'Time Card Data'!$T$2:$T$601,$A39,'Time Card Data'!$Z$2:$Z$601,"Y"))</f>
        <v/>
      </c>
      <c r="F39" s="22" t="str">
        <f t="shared" si="1"/>
        <v/>
      </c>
    </row>
    <row r="40" spans="1:6">
      <c r="A40" s="19" t="str">
        <f>IF(A39="","",IF((A39-Settings!$B$3+1)&lt;Settings!$B$4,A39+1,""))</f>
        <v/>
      </c>
      <c r="B40" s="20" t="str">
        <f>IF($A40="","",SUMIFS('Time Card Data'!$X$2:$X$601,'Time Card Data'!$S$2:$S$601,1,'Time Card Data'!$T$2:$T$601,$A40))</f>
        <v/>
      </c>
      <c r="C40" s="20" t="str">
        <f>IF($A40="","",SUMIFS('Time Card Data'!$AG$2:$AG$601,'Time Card Data'!$S$2:$S$601,1,'Time Card Data'!$T$2:$T$601,$A40))</f>
        <v/>
      </c>
      <c r="D40" s="20" t="str">
        <f t="shared" si="0"/>
        <v/>
      </c>
      <c r="E40" s="21" t="str">
        <f>IF($A40="","",SUMIFS('Time Card Data'!$N$2:$N$601,'Time Card Data'!$S$2:$S$601,1,'Time Card Data'!$T$2:$T$601,$A40,'Time Card Data'!$Z$2:$Z$601,"Y"))</f>
        <v/>
      </c>
      <c r="F40" s="22" t="str">
        <f t="shared" si="1"/>
        <v/>
      </c>
    </row>
    <row r="41" spans="1:6">
      <c r="A41" s="19" t="str">
        <f>IF(A40="","",IF((A40-Settings!$B$3+1)&lt;Settings!$B$4,A40+1,""))</f>
        <v/>
      </c>
      <c r="B41" s="20" t="str">
        <f>IF($A41="","",SUMIFS('Time Card Data'!$X$2:$X$601,'Time Card Data'!$S$2:$S$601,1,'Time Card Data'!$T$2:$T$601,$A41))</f>
        <v/>
      </c>
      <c r="C41" s="20" t="str">
        <f>IF($A41="","",SUMIFS('Time Card Data'!$AG$2:$AG$601,'Time Card Data'!$S$2:$S$601,1,'Time Card Data'!$T$2:$T$601,$A41))</f>
        <v/>
      </c>
      <c r="D41" s="20" t="str">
        <f t="shared" si="0"/>
        <v/>
      </c>
      <c r="E41" s="21" t="str">
        <f>IF($A41="","",SUMIFS('Time Card Data'!$N$2:$N$601,'Time Card Data'!$S$2:$S$601,1,'Time Card Data'!$T$2:$T$601,$A41,'Time Card Data'!$Z$2:$Z$601,"Y"))</f>
        <v/>
      </c>
      <c r="F41" s="22" t="str">
        <f t="shared" si="1"/>
        <v/>
      </c>
    </row>
    <row r="42" spans="1:6">
      <c r="A42" s="19" t="str">
        <f>IF(A41="","",IF((A41-Settings!$B$3+1)&lt;Settings!$B$4,A41+1,""))</f>
        <v/>
      </c>
      <c r="B42" s="20" t="str">
        <f>IF($A42="","",SUMIFS('Time Card Data'!$X$2:$X$601,'Time Card Data'!$S$2:$S$601,1,'Time Card Data'!$T$2:$T$601,$A42))</f>
        <v/>
      </c>
      <c r="C42" s="20" t="str">
        <f>IF($A42="","",SUMIFS('Time Card Data'!$AG$2:$AG$601,'Time Card Data'!$S$2:$S$601,1,'Time Card Data'!$T$2:$T$601,$A42))</f>
        <v/>
      </c>
      <c r="D42" s="20" t="str">
        <f t="shared" si="0"/>
        <v/>
      </c>
      <c r="E42" s="21" t="str">
        <f>IF($A42="","",SUMIFS('Time Card Data'!$N$2:$N$601,'Time Card Data'!$S$2:$S$601,1,'Time Card Data'!$T$2:$T$601,$A42,'Time Card Data'!$Z$2:$Z$601,"Y"))</f>
        <v/>
      </c>
      <c r="F42" s="22" t="str">
        <f t="shared" si="1"/>
        <v/>
      </c>
    </row>
    <row r="43" spans="1:6">
      <c r="A43" s="19" t="str">
        <f>IF(A42="","",IF((A42-Settings!$B$3+1)&lt;Settings!$B$4,A42+1,""))</f>
        <v/>
      </c>
      <c r="B43" s="20" t="str">
        <f>IF($A43="","",SUMIFS('Time Card Data'!$X$2:$X$601,'Time Card Data'!$S$2:$S$601,1,'Time Card Data'!$T$2:$T$601,$A43))</f>
        <v/>
      </c>
      <c r="C43" s="20" t="str">
        <f>IF($A43="","",SUMIFS('Time Card Data'!$AG$2:$AG$601,'Time Card Data'!$S$2:$S$601,1,'Time Card Data'!$T$2:$T$601,$A43))</f>
        <v/>
      </c>
      <c r="D43" s="20" t="str">
        <f t="shared" si="0"/>
        <v/>
      </c>
      <c r="E43" s="21" t="str">
        <f>IF($A43="","",SUMIFS('Time Card Data'!$N$2:$N$601,'Time Card Data'!$S$2:$S$601,1,'Time Card Data'!$T$2:$T$601,$A43,'Time Card Data'!$Z$2:$Z$601,"Y"))</f>
        <v/>
      </c>
      <c r="F43" s="22" t="str">
        <f t="shared" si="1"/>
        <v/>
      </c>
    </row>
    <row r="44" spans="1:6">
      <c r="A44" s="19" t="str">
        <f>IF(A43="","",IF((A43-Settings!$B$3+1)&lt;Settings!$B$4,A43+1,""))</f>
        <v/>
      </c>
      <c r="B44" s="20" t="str">
        <f>IF($A44="","",SUMIFS('Time Card Data'!$X$2:$X$601,'Time Card Data'!$S$2:$S$601,1,'Time Card Data'!$T$2:$T$601,$A44))</f>
        <v/>
      </c>
      <c r="C44" s="20" t="str">
        <f>IF($A44="","",SUMIFS('Time Card Data'!$AG$2:$AG$601,'Time Card Data'!$S$2:$S$601,1,'Time Card Data'!$T$2:$T$601,$A44))</f>
        <v/>
      </c>
      <c r="D44" s="20" t="str">
        <f t="shared" si="0"/>
        <v/>
      </c>
      <c r="E44" s="21" t="str">
        <f>IF($A44="","",SUMIFS('Time Card Data'!$N$2:$N$601,'Time Card Data'!$S$2:$S$601,1,'Time Card Data'!$T$2:$T$601,$A44,'Time Card Data'!$Z$2:$Z$601,"Y"))</f>
        <v/>
      </c>
      <c r="F44" s="22" t="str">
        <f t="shared" si="1"/>
        <v/>
      </c>
    </row>
    <row r="45" spans="1:6">
      <c r="A45" s="19" t="str">
        <f>IF(A44="","",IF((A44-Settings!$B$3+1)&lt;Settings!$B$4,A44+1,""))</f>
        <v/>
      </c>
      <c r="B45" s="20" t="str">
        <f>IF($A45="","",SUMIFS('Time Card Data'!$X$2:$X$601,'Time Card Data'!$S$2:$S$601,1,'Time Card Data'!$T$2:$T$601,$A45))</f>
        <v/>
      </c>
      <c r="C45" s="20" t="str">
        <f>IF($A45="","",SUMIFS('Time Card Data'!$AG$2:$AG$601,'Time Card Data'!$S$2:$S$601,1,'Time Card Data'!$T$2:$T$601,$A45))</f>
        <v/>
      </c>
      <c r="D45" s="20" t="str">
        <f t="shared" si="0"/>
        <v/>
      </c>
      <c r="E45" s="21" t="str">
        <f>IF($A45="","",SUMIFS('Time Card Data'!$N$2:$N$601,'Time Card Data'!$S$2:$S$601,1,'Time Card Data'!$T$2:$T$601,$A45,'Time Card Data'!$Z$2:$Z$601,"Y"))</f>
        <v/>
      </c>
      <c r="F45" s="22" t="str">
        <f t="shared" si="1"/>
        <v/>
      </c>
    </row>
    <row r="46" spans="1:6">
      <c r="A46" s="19" t="str">
        <f>IF(A45="","",IF((A45-Settings!$B$3+1)&lt;Settings!$B$4,A45+1,""))</f>
        <v/>
      </c>
      <c r="B46" s="20" t="str">
        <f>IF($A46="","",SUMIFS('Time Card Data'!$X$2:$X$601,'Time Card Data'!$S$2:$S$601,1,'Time Card Data'!$T$2:$T$601,$A46))</f>
        <v/>
      </c>
      <c r="C46" s="20" t="str">
        <f>IF($A46="","",SUMIFS('Time Card Data'!$AG$2:$AG$601,'Time Card Data'!$S$2:$S$601,1,'Time Card Data'!$T$2:$T$601,$A46))</f>
        <v/>
      </c>
      <c r="D46" s="20" t="str">
        <f t="shared" si="0"/>
        <v/>
      </c>
      <c r="E46" s="21" t="str">
        <f>IF($A46="","",SUMIFS('Time Card Data'!$N$2:$N$601,'Time Card Data'!$S$2:$S$601,1,'Time Card Data'!$T$2:$T$601,$A46,'Time Card Data'!$Z$2:$Z$601,"Y"))</f>
        <v/>
      </c>
      <c r="F46" s="22" t="str">
        <f t="shared" si="1"/>
        <v/>
      </c>
    </row>
    <row r="48" spans="1:6">
      <c r="A48" s="23" t="s">
        <v>96</v>
      </c>
      <c r="B48" s="24">
        <f>SUM(B2:B46)</f>
        <v>1670.0499999999997</v>
      </c>
      <c r="C48" s="24">
        <f>SUM(C2:C46)</f>
        <v>1670.0499999999997</v>
      </c>
      <c r="D48" s="24">
        <f>SUM(D2:D46)</f>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3"/>
  <sheetViews>
    <sheetView showGridLines="0" zoomScaleNormal="100" workbookViewId="0">
      <pane ySplit="1" topLeftCell="A2" activePane="bottomLeft" state="frozen"/>
      <selection pane="bottomLeft" activeCell="K20" sqref="K20"/>
    </sheetView>
  </sheetViews>
  <sheetFormatPr defaultColWidth="8.7109375" defaultRowHeight="14.45"/>
  <cols>
    <col min="1" max="1" width="5" customWidth="1"/>
    <col min="2" max="2" width="20" customWidth="1"/>
    <col min="3" max="4" width="12" customWidth="1"/>
    <col min="5" max="5" width="14" customWidth="1"/>
    <col min="6" max="6" width="12" customWidth="1"/>
    <col min="7" max="7" width="16" customWidth="1"/>
    <col min="8" max="8" width="14" customWidth="1"/>
    <col min="9" max="10" width="16" customWidth="1"/>
  </cols>
  <sheetData>
    <row r="1" spans="1:10" ht="30" customHeight="1">
      <c r="A1" s="9" t="s">
        <v>97</v>
      </c>
      <c r="B1" s="9" t="s">
        <v>62</v>
      </c>
      <c r="C1" s="9" t="s">
        <v>28</v>
      </c>
      <c r="D1" s="9" t="s">
        <v>98</v>
      </c>
      <c r="E1" s="9" t="s">
        <v>99</v>
      </c>
      <c r="F1" s="9" t="s">
        <v>100</v>
      </c>
      <c r="G1" s="9" t="s">
        <v>101</v>
      </c>
      <c r="H1" s="9" t="s">
        <v>102</v>
      </c>
      <c r="I1" s="9" t="s">
        <v>103</v>
      </c>
      <c r="J1" s="9" t="s">
        <v>76</v>
      </c>
    </row>
    <row r="2" spans="1:10">
      <c r="A2" s="22">
        <v>1</v>
      </c>
      <c r="B2" s="22" t="str">
        <f>IFERROR(INDEX('Time Card Data'!$R$2:$R$601,MATCH(A2,'Time Card Data'!$AJ$2:$AJ$601,0)),"")</f>
        <v>Scott Okano</v>
      </c>
      <c r="C2" s="22" t="str">
        <f>IF($B2="","",IFERROR(INDEX('Time Card Data'!$B$2:$B$601,MATCH($B2,'Time Card Data'!$R$2:$R$601,0)),""))</f>
        <v>Barista</v>
      </c>
      <c r="D2" s="25">
        <f>IF($B2="","",SUMIFS('Time Card Data'!$N$2:$N$601,'Time Card Data'!$R$2:$R$601,$B2,'Time Card Data'!$S$2:$S$601,1))</f>
        <v>41.08</v>
      </c>
      <c r="E2" s="20">
        <f>IF($B2="","",SUMIFS('Time Card Data'!$O$2:$O$601,'Time Card Data'!$R$2:$R$601,$B2,'Time Card Data'!$S$2:$S$601,1))</f>
        <v>3148.1899999999996</v>
      </c>
      <c r="F2" s="20">
        <f>IF($B2="","",SUMIFS('Time Card Data'!$P$2:$P$601,'Time Card Data'!$R$2:$R$601,$B2,'Time Card Data'!$S$2:$S$601,1))</f>
        <v>244.41</v>
      </c>
      <c r="G2" s="20">
        <f>IF($B2="","",SUMIFS('Time Card Data'!$X$2:$X$601,'Time Card Data'!$R$2:$R$601,$B2,'Time Card Data'!$S$2:$S$601,1))</f>
        <v>0</v>
      </c>
      <c r="H2" s="33">
        <f>IF($B2="","",SUMIFS('Time Card Data'!$Y$2:$Y$601,'Time Card Data'!$R$2:$R$601,$B2,'Time Card Data'!$S$2:$S$601,1))</f>
        <v>244.41</v>
      </c>
      <c r="I2" s="34">
        <f>IF($B2="","",SUMIFS('Time Card Data'!$AG$2:$AG$601,'Time Card Data'!$R$2:$R$601,$B2,'Time Card Data'!$S$2:$S$601,1))</f>
        <v>367.9364035095611</v>
      </c>
      <c r="J2" s="20">
        <f t="shared" ref="J2:J33" si="0">IF($B2="","",H2+I2)</f>
        <v>612.34640350956113</v>
      </c>
    </row>
    <row r="3" spans="1:10">
      <c r="A3" s="22">
        <v>2</v>
      </c>
      <c r="B3" s="22" t="str">
        <f>IFERROR(INDEX('Time Card Data'!$R$2:$R$601,MATCH(A3,'Time Card Data'!$AJ$2:$AJ$601,0)),"")</f>
        <v>Shamira Tesorero</v>
      </c>
      <c r="C3" s="22" t="str">
        <f>IF($B3="","",IFERROR(INDEX('Time Card Data'!$B$2:$B$601,MATCH($B3,'Time Card Data'!$R$2:$R$601,0)),""))</f>
        <v>Barista</v>
      </c>
      <c r="D3" s="25">
        <f>IF($B3="","",SUMIFS('Time Card Data'!$N$2:$N$601,'Time Card Data'!$R$2:$R$601,$B3,'Time Card Data'!$S$2:$S$601,1))</f>
        <v>18.130000000000003</v>
      </c>
      <c r="E3" s="20">
        <f>IF($B3="","",SUMIFS('Time Card Data'!$O$2:$O$601,'Time Card Data'!$R$2:$R$601,$B3,'Time Card Data'!$S$2:$S$601,1))</f>
        <v>2769.05</v>
      </c>
      <c r="F3" s="20">
        <f>IF($B3="","",SUMIFS('Time Card Data'!$P$2:$P$601,'Time Card Data'!$R$2:$R$601,$B3,'Time Card Data'!$S$2:$S$601,1))</f>
        <v>226.56</v>
      </c>
      <c r="G3" s="20">
        <f>IF($B3="","",SUMIFS('Time Card Data'!$X$2:$X$601,'Time Card Data'!$R$2:$R$601,$B3,'Time Card Data'!$S$2:$S$601,1))</f>
        <v>0</v>
      </c>
      <c r="H3" s="33">
        <f>IF($B3="","",SUMIFS('Time Card Data'!$Y$2:$Y$601,'Time Card Data'!$R$2:$R$601,$B3,'Time Card Data'!$S$2:$S$601,1))</f>
        <v>226.56</v>
      </c>
      <c r="I3" s="34">
        <f>IF($B3="","",SUMIFS('Time Card Data'!$AG$2:$AG$601,'Time Card Data'!$R$2:$R$601,$B3,'Time Card Data'!$S$2:$S$601,1))</f>
        <v>154.55823420672351</v>
      </c>
      <c r="J3" s="20">
        <f t="shared" si="0"/>
        <v>381.11823420672351</v>
      </c>
    </row>
    <row r="4" spans="1:10">
      <c r="A4" s="22">
        <v>3</v>
      </c>
      <c r="B4" s="22" t="str">
        <f>IFERROR(INDEX('Time Card Data'!$R$2:$R$601,MATCH(A4,'Time Card Data'!$AJ$2:$AJ$601,0)),"")</f>
        <v>Tessa Andrascik</v>
      </c>
      <c r="C4" s="22" t="str">
        <f>IF($B4="","",IFERROR(INDEX('Time Card Data'!$B$2:$B$601,MATCH($B4,'Time Card Data'!$R$2:$R$601,0)),""))</f>
        <v>Barista</v>
      </c>
      <c r="D4" s="25">
        <f>IF($B4="","",SUMIFS('Time Card Data'!$N$2:$N$601,'Time Card Data'!$R$2:$R$601,$B4,'Time Card Data'!$S$2:$S$601,1))</f>
        <v>7.5200000000000005</v>
      </c>
      <c r="E4" s="20">
        <f>IF($B4="","",SUMIFS('Time Card Data'!$O$2:$O$601,'Time Card Data'!$R$2:$R$601,$B4,'Time Card Data'!$S$2:$S$601,1))</f>
        <v>785</v>
      </c>
      <c r="F4" s="20">
        <f>IF($B4="","",SUMIFS('Time Card Data'!$P$2:$P$601,'Time Card Data'!$R$2:$R$601,$B4,'Time Card Data'!$S$2:$S$601,1))</f>
        <v>60.47</v>
      </c>
      <c r="G4" s="20">
        <f>IF($B4="","",SUMIFS('Time Card Data'!$X$2:$X$601,'Time Card Data'!$R$2:$R$601,$B4,'Time Card Data'!$S$2:$S$601,1))</f>
        <v>0</v>
      </c>
      <c r="H4" s="33">
        <f>IF($B4="","",SUMIFS('Time Card Data'!$Y$2:$Y$601,'Time Card Data'!$R$2:$R$601,$B4,'Time Card Data'!$S$2:$S$601,1))</f>
        <v>60.47</v>
      </c>
      <c r="I4" s="34">
        <f>IF($B4="","",SUMIFS('Time Card Data'!$AG$2:$AG$601,'Time Card Data'!$R$2:$R$601,$B4,'Time Card Data'!$S$2:$S$601,1))</f>
        <v>59.822835063197033</v>
      </c>
      <c r="J4" s="20">
        <f t="shared" si="0"/>
        <v>120.29283506319703</v>
      </c>
    </row>
    <row r="5" spans="1:10">
      <c r="A5" s="22">
        <v>4</v>
      </c>
      <c r="B5" s="22" t="str">
        <f>IFERROR(INDEX('Time Card Data'!$R$2:$R$601,MATCH(A5,'Time Card Data'!$AJ$2:$AJ$601,0)),"")</f>
        <v>Anthony Zhang</v>
      </c>
      <c r="C5" s="22" t="str">
        <f>IF($B5="","",IFERROR(INDEX('Time Card Data'!$B$2:$B$601,MATCH($B5,'Time Card Data'!$R$2:$R$601,0)),""))</f>
        <v>Barista</v>
      </c>
      <c r="D5" s="25">
        <f>IF($B5="","",SUMIFS('Time Card Data'!$N$2:$N$601,'Time Card Data'!$R$2:$R$601,$B5,'Time Card Data'!$S$2:$S$601,1))</f>
        <v>28.47</v>
      </c>
      <c r="E5" s="20">
        <f>IF($B5="","",SUMIFS('Time Card Data'!$O$2:$O$601,'Time Card Data'!$R$2:$R$601,$B5,'Time Card Data'!$S$2:$S$601,1))</f>
        <v>465.41</v>
      </c>
      <c r="F5" s="20">
        <f>IF($B5="","",SUMIFS('Time Card Data'!$P$2:$P$601,'Time Card Data'!$R$2:$R$601,$B5,'Time Card Data'!$S$2:$S$601,1))</f>
        <v>35.5</v>
      </c>
      <c r="G5" s="20">
        <f>IF($B5="","",SUMIFS('Time Card Data'!$X$2:$X$601,'Time Card Data'!$R$2:$R$601,$B5,'Time Card Data'!$S$2:$S$601,1))</f>
        <v>0</v>
      </c>
      <c r="H5" s="33">
        <f>IF($B5="","",SUMIFS('Time Card Data'!$Y$2:$Y$601,'Time Card Data'!$R$2:$R$601,$B5,'Time Card Data'!$S$2:$S$601,1))</f>
        <v>35.5</v>
      </c>
      <c r="I5" s="34">
        <f>IF($B5="","",SUMIFS('Time Card Data'!$AG$2:$AG$601,'Time Card Data'!$R$2:$R$601,$B5,'Time Card Data'!$S$2:$S$601,1))</f>
        <v>233.00195919541181</v>
      </c>
      <c r="J5" s="20">
        <f t="shared" si="0"/>
        <v>268.50195919541181</v>
      </c>
    </row>
    <row r="6" spans="1:10">
      <c r="A6" s="22">
        <v>5</v>
      </c>
      <c r="B6" s="22" t="str">
        <f>IFERROR(INDEX('Time Card Data'!$R$2:$R$601,MATCH(A6,'Time Card Data'!$AJ$2:$AJ$601,0)),"")</f>
        <v>Fatimah Mahmoud</v>
      </c>
      <c r="C6" s="22" t="str">
        <f>IF($B6="","",IFERROR(INDEX('Time Card Data'!$B$2:$B$601,MATCH($B6,'Time Card Data'!$R$2:$R$601,0)),""))</f>
        <v>Barista</v>
      </c>
      <c r="D6" s="25">
        <f>IF($B6="","",SUMIFS('Time Card Data'!$N$2:$N$601,'Time Card Data'!$R$2:$R$601,$B6,'Time Card Data'!$S$2:$S$601,1))</f>
        <v>10.85</v>
      </c>
      <c r="E6" s="20">
        <f>IF($B6="","",SUMIFS('Time Card Data'!$O$2:$O$601,'Time Card Data'!$R$2:$R$601,$B6,'Time Card Data'!$S$2:$S$601,1))</f>
        <v>733.6</v>
      </c>
      <c r="F6" s="20">
        <f>IF($B6="","",SUMIFS('Time Card Data'!$P$2:$P$601,'Time Card Data'!$R$2:$R$601,$B6,'Time Card Data'!$S$2:$S$601,1))</f>
        <v>60.27</v>
      </c>
      <c r="G6" s="20">
        <f>IF($B6="","",SUMIFS('Time Card Data'!$X$2:$X$601,'Time Card Data'!$R$2:$R$601,$B6,'Time Card Data'!$S$2:$S$601,1))</f>
        <v>0</v>
      </c>
      <c r="H6" s="33">
        <f>IF($B6="","",SUMIFS('Time Card Data'!$Y$2:$Y$601,'Time Card Data'!$R$2:$R$601,$B6,'Time Card Data'!$S$2:$S$601,1))</f>
        <v>60.27</v>
      </c>
      <c r="I6" s="34">
        <f>IF($B6="","",SUMIFS('Time Card Data'!$AG$2:$AG$601,'Time Card Data'!$R$2:$R$601,$B6,'Time Card Data'!$S$2:$S$601,1))</f>
        <v>129.83571435556826</v>
      </c>
      <c r="J6" s="20">
        <f t="shared" si="0"/>
        <v>190.10571435556827</v>
      </c>
    </row>
    <row r="7" spans="1:10">
      <c r="A7" s="22">
        <v>6</v>
      </c>
      <c r="B7" s="22" t="str">
        <f>IFERROR(INDEX('Time Card Data'!$R$2:$R$601,MATCH(A7,'Time Card Data'!$AJ$2:$AJ$601,0)),"")</f>
        <v>Ryan Chan</v>
      </c>
      <c r="C7" s="22" t="str">
        <f>IF($B7="","",IFERROR(INDEX('Time Card Data'!$B$2:$B$601,MATCH($B7,'Time Card Data'!$R$2:$R$601,0)),""))</f>
        <v>Barista</v>
      </c>
      <c r="D7" s="25">
        <f>IF($B7="","",SUMIFS('Time Card Data'!$N$2:$N$601,'Time Card Data'!$R$2:$R$601,$B7,'Time Card Data'!$S$2:$S$601,1))</f>
        <v>46.11</v>
      </c>
      <c r="E7" s="20">
        <f>IF($B7="","",SUMIFS('Time Card Data'!$O$2:$O$601,'Time Card Data'!$R$2:$R$601,$B7,'Time Card Data'!$S$2:$S$601,1))</f>
        <v>2922.13</v>
      </c>
      <c r="F7" s="20">
        <f>IF($B7="","",SUMIFS('Time Card Data'!$P$2:$P$601,'Time Card Data'!$R$2:$R$601,$B7,'Time Card Data'!$S$2:$S$601,1))</f>
        <v>205.17000000000002</v>
      </c>
      <c r="G7" s="20">
        <f>IF($B7="","",SUMIFS('Time Card Data'!$X$2:$X$601,'Time Card Data'!$R$2:$R$601,$B7,'Time Card Data'!$S$2:$S$601,1))</f>
        <v>0</v>
      </c>
      <c r="H7" s="33">
        <f>IF($B7="","",SUMIFS('Time Card Data'!$Y$2:$Y$601,'Time Card Data'!$R$2:$R$601,$B7,'Time Card Data'!$S$2:$S$601,1))</f>
        <v>205.17000000000002</v>
      </c>
      <c r="I7" s="34">
        <f>IF($B7="","",SUMIFS('Time Card Data'!$AG$2:$AG$601,'Time Card Data'!$R$2:$R$601,$B7,'Time Card Data'!$S$2:$S$601,1))</f>
        <v>389.48728064702243</v>
      </c>
      <c r="J7" s="20">
        <f t="shared" si="0"/>
        <v>594.65728064702239</v>
      </c>
    </row>
    <row r="8" spans="1:10">
      <c r="A8" s="22">
        <v>7</v>
      </c>
      <c r="B8" s="22" t="str">
        <f>IFERROR(INDEX('Time Card Data'!$R$2:$R$601,MATCH(A8,'Time Card Data'!$AJ$2:$AJ$601,0)),"")</f>
        <v>Xiao Lan Wen</v>
      </c>
      <c r="C8" s="22" t="str">
        <f>IF($B8="","",IFERROR(INDEX('Time Card Data'!$B$2:$B$601,MATCH($B8,'Time Card Data'!$R$2:$R$601,0)),""))</f>
        <v>Barista</v>
      </c>
      <c r="D8" s="25">
        <f>IF($B8="","",SUMIFS('Time Card Data'!$N$2:$N$601,'Time Card Data'!$R$2:$R$601,$B8,'Time Card Data'!$S$2:$S$601,1))</f>
        <v>10.76</v>
      </c>
      <c r="E8" s="20">
        <f>IF($B8="","",SUMIFS('Time Card Data'!$O$2:$O$601,'Time Card Data'!$R$2:$R$601,$B8,'Time Card Data'!$S$2:$S$601,1))</f>
        <v>0</v>
      </c>
      <c r="F8" s="20">
        <f>IF($B8="","",SUMIFS('Time Card Data'!$P$2:$P$601,'Time Card Data'!$R$2:$R$601,$B8,'Time Card Data'!$S$2:$S$601,1))</f>
        <v>0</v>
      </c>
      <c r="G8" s="20">
        <f>IF($B8="","",SUMIFS('Time Card Data'!$X$2:$X$601,'Time Card Data'!$R$2:$R$601,$B8,'Time Card Data'!$S$2:$S$601,1))</f>
        <v>0</v>
      </c>
      <c r="H8" s="33">
        <f>IF($B8="","",SUMIFS('Time Card Data'!$Y$2:$Y$601,'Time Card Data'!$R$2:$R$601,$B8,'Time Card Data'!$S$2:$S$601,1))</f>
        <v>0</v>
      </c>
      <c r="I8" s="34">
        <f>IF($B8="","",SUMIFS('Time Card Data'!$AG$2:$AG$601,'Time Card Data'!$R$2:$R$601,$B8,'Time Card Data'!$S$2:$S$601,1))</f>
        <v>85.038056968063032</v>
      </c>
      <c r="J8" s="20">
        <f t="shared" si="0"/>
        <v>85.038056968063032</v>
      </c>
    </row>
    <row r="9" spans="1:10">
      <c r="A9" s="22">
        <v>8</v>
      </c>
      <c r="B9" s="22" t="str">
        <f>IFERROR(INDEX('Time Card Data'!$R$2:$R$601,MATCH(A9,'Time Card Data'!$AJ$2:$AJ$601,0)),"")</f>
        <v>Chazilyn Cabigon</v>
      </c>
      <c r="C9" s="22" t="str">
        <f>IF($B9="","",IFERROR(INDEX('Time Card Data'!$B$2:$B$601,MATCH($B9,'Time Card Data'!$R$2:$R$601,0)),""))</f>
        <v>Barista</v>
      </c>
      <c r="D9" s="25">
        <f>IF($B9="","",SUMIFS('Time Card Data'!$N$2:$N$601,'Time Card Data'!$R$2:$R$601,$B9,'Time Card Data'!$S$2:$S$601,1))</f>
        <v>8.18</v>
      </c>
      <c r="E9" s="20">
        <f>IF($B9="","",SUMIFS('Time Card Data'!$O$2:$O$601,'Time Card Data'!$R$2:$R$601,$B9,'Time Card Data'!$S$2:$S$601,1))</f>
        <v>1197.9000000000001</v>
      </c>
      <c r="F9" s="20">
        <f>IF($B9="","",SUMIFS('Time Card Data'!$P$2:$P$601,'Time Card Data'!$R$2:$R$601,$B9,'Time Card Data'!$S$2:$S$601,1))</f>
        <v>94.56</v>
      </c>
      <c r="G9" s="20">
        <f>IF($B9="","",SUMIFS('Time Card Data'!$X$2:$X$601,'Time Card Data'!$R$2:$R$601,$B9,'Time Card Data'!$S$2:$S$601,1))</f>
        <v>0</v>
      </c>
      <c r="H9" s="33">
        <f>IF($B9="","",SUMIFS('Time Card Data'!$Y$2:$Y$601,'Time Card Data'!$R$2:$R$601,$B9,'Time Card Data'!$S$2:$S$601,1))</f>
        <v>94.56</v>
      </c>
      <c r="I9" s="34">
        <f>IF($B9="","",SUMIFS('Time Card Data'!$AG$2:$AG$601,'Time Card Data'!$R$2:$R$601,$B9,'Time Card Data'!$S$2:$S$601,1))</f>
        <v>84.458562858376766</v>
      </c>
      <c r="J9" s="20">
        <f t="shared" si="0"/>
        <v>179.01856285837675</v>
      </c>
    </row>
    <row r="10" spans="1:10">
      <c r="A10" s="22">
        <v>9</v>
      </c>
      <c r="B10" s="22" t="str">
        <f>IFERROR(INDEX('Time Card Data'!$R$2:$R$601,MATCH(A10,'Time Card Data'!$AJ$2:$AJ$601,0)),"")</f>
        <v>Lisa Zhang</v>
      </c>
      <c r="C10" s="22" t="str">
        <f>IF($B10="","",IFERROR(INDEX('Time Card Data'!$B$2:$B$601,MATCH($B10,'Time Card Data'!$R$2:$R$601,0)),""))</f>
        <v>Barista</v>
      </c>
      <c r="D10" s="25">
        <f>IF($B10="","",SUMIFS('Time Card Data'!$N$2:$N$601,'Time Card Data'!$R$2:$R$601,$B10,'Time Card Data'!$S$2:$S$601,1))</f>
        <v>18.98</v>
      </c>
      <c r="E10" s="20">
        <f>IF($B10="","",SUMIFS('Time Card Data'!$O$2:$O$601,'Time Card Data'!$R$2:$R$601,$B10,'Time Card Data'!$S$2:$S$601,1))</f>
        <v>833.05</v>
      </c>
      <c r="F10" s="20">
        <f>IF($B10="","",SUMIFS('Time Card Data'!$P$2:$P$601,'Time Card Data'!$R$2:$R$601,$B10,'Time Card Data'!$S$2:$S$601,1))</f>
        <v>71.400000000000006</v>
      </c>
      <c r="G10" s="20">
        <f>IF($B10="","",SUMIFS('Time Card Data'!$X$2:$X$601,'Time Card Data'!$R$2:$R$601,$B10,'Time Card Data'!$S$2:$S$601,1))</f>
        <v>0</v>
      </c>
      <c r="H10" s="33">
        <f>IF($B10="","",SUMIFS('Time Card Data'!$Y$2:$Y$601,'Time Card Data'!$R$2:$R$601,$B10,'Time Card Data'!$S$2:$S$601,1))</f>
        <v>71.400000000000006</v>
      </c>
      <c r="I10" s="34">
        <f>IF($B10="","",SUMIFS('Time Card Data'!$AG$2:$AG$601,'Time Card Data'!$R$2:$R$601,$B10,'Time Card Data'!$S$2:$S$601,1))</f>
        <v>165.91095319607604</v>
      </c>
      <c r="J10" s="20">
        <f t="shared" si="0"/>
        <v>237.31095319607604</v>
      </c>
    </row>
    <row r="11" spans="1:10">
      <c r="A11" s="22">
        <v>10</v>
      </c>
      <c r="B11" s="22" t="str">
        <f>IFERROR(INDEX('Time Card Data'!$R$2:$R$601,MATCH(A11,'Time Card Data'!$AJ$2:$AJ$601,0)),"")</f>
        <v>Ryan Tiet</v>
      </c>
      <c r="C11" s="22" t="str">
        <f>IF($B11="","",IFERROR(INDEX('Time Card Data'!$B$2:$B$601,MATCH($B11,'Time Card Data'!$R$2:$R$601,0)),""))</f>
        <v>Owner</v>
      </c>
      <c r="D11" s="25">
        <f>IF($B11="","",SUMIFS('Time Card Data'!$N$2:$N$601,'Time Card Data'!$R$2:$R$601,$B11,'Time Card Data'!$S$2:$S$601,1))</f>
        <v>21.969999999999995</v>
      </c>
      <c r="E11" s="20">
        <f>IF($B11="","",SUMIFS('Time Card Data'!$O$2:$O$601,'Time Card Data'!$R$2:$R$601,$B11,'Time Card Data'!$S$2:$S$601,1))</f>
        <v>1857.7700000000002</v>
      </c>
      <c r="F11" s="20">
        <f>IF($B11="","",SUMIFS('Time Card Data'!$P$2:$P$601,'Time Card Data'!$R$2:$R$601,$B11,'Time Card Data'!$S$2:$S$601,1))</f>
        <v>152.70000000000002</v>
      </c>
      <c r="G11" s="20">
        <f>IF($B11="","",SUMIFS('Time Card Data'!$X$2:$X$601,'Time Card Data'!$R$2:$R$601,$B11,'Time Card Data'!$S$2:$S$601,1))</f>
        <v>0</v>
      </c>
      <c r="H11" s="33">
        <f>IF($B11="","",SUMIFS('Time Card Data'!$Y$2:$Y$601,'Time Card Data'!$R$2:$R$601,$B11,'Time Card Data'!$S$2:$S$601,1))</f>
        <v>152.70000000000002</v>
      </c>
      <c r="I11" s="34">
        <f>IF($B11="","",SUMIFS('Time Card Data'!$AG$2:$AG$601,'Time Card Data'!$R$2:$R$601,$B11,'Time Card Data'!$S$2:$S$601,1))</f>
        <v>0</v>
      </c>
      <c r="J11" s="20">
        <f t="shared" si="0"/>
        <v>152.70000000000002</v>
      </c>
    </row>
    <row r="12" spans="1:10">
      <c r="A12" s="22">
        <v>11</v>
      </c>
      <c r="B12" s="22" t="str">
        <f>IFERROR(INDEX('Time Card Data'!$R$2:$R$601,MATCH(A12,'Time Card Data'!$AJ$2:$AJ$601,0)),"")</f>
        <v>Restaurant</v>
      </c>
      <c r="C12" s="22" t="str">
        <f>IF($B12="","",IFERROR(INDEX('Time Card Data'!$B$2:$B$601,MATCH($B12,'Time Card Data'!$R$2:$R$601,0)),""))</f>
        <v>Summary</v>
      </c>
      <c r="D12" s="25">
        <f>IF($B12="","",SUMIFS('Time Card Data'!$N$2:$N$601,'Time Card Data'!$R$2:$R$601,$B12,'Time Card Data'!$S$2:$S$601,1))</f>
        <v>14</v>
      </c>
      <c r="E12" s="20">
        <f>IF($B12="","",SUMIFS('Time Card Data'!$O$2:$O$601,'Time Card Data'!$R$2:$R$601,$B12,'Time Card Data'!$S$2:$S$601,1))</f>
        <v>0</v>
      </c>
      <c r="F12" s="20">
        <f>IF($B12="","",SUMIFS('Time Card Data'!$P$2:$P$601,'Time Card Data'!$R$2:$R$601,$B12,'Time Card Data'!$S$2:$S$601,1))</f>
        <v>1425.8699999999997</v>
      </c>
      <c r="G12" s="20">
        <f>IF($B12="","",SUMIFS('Time Card Data'!$X$2:$X$601,'Time Card Data'!$R$2:$R$601,$B12,'Time Card Data'!$S$2:$S$601,1))</f>
        <v>1425.8699999999997</v>
      </c>
      <c r="H12" s="33">
        <f>IF($B12="","",SUMIFS('Time Card Data'!$Y$2:$Y$601,'Time Card Data'!$R$2:$R$601,$B12,'Time Card Data'!$S$2:$S$601,1))</f>
        <v>0</v>
      </c>
      <c r="I12" s="34">
        <f>IF($B12="","",SUMIFS('Time Card Data'!$AG$2:$AG$601,'Time Card Data'!$R$2:$R$601,$B12,'Time Card Data'!$S$2:$S$601,1))</f>
        <v>0</v>
      </c>
      <c r="J12" s="20">
        <f t="shared" si="0"/>
        <v>0</v>
      </c>
    </row>
    <row r="13" spans="1:10">
      <c r="A13" s="22">
        <v>12</v>
      </c>
      <c r="B13" s="22" t="str">
        <f>IFERROR(INDEX('Time Card Data'!$R$2:$R$601,MATCH(A13,'Time Card Data'!$AJ$2:$AJ$601,0)),"")</f>
        <v>R-Kiosk</v>
      </c>
      <c r="C13" s="22" t="str">
        <f>IF($B13="","",IFERROR(INDEX('Time Card Data'!$B$2:$B$601,MATCH($B13,'Time Card Data'!$R$2:$R$601,0)),""))</f>
        <v>Kiosk</v>
      </c>
      <c r="D13" s="25">
        <f>IF($B13="","",SUMIFS('Time Card Data'!$N$2:$N$601,'Time Card Data'!$R$2:$R$601,$B13,'Time Card Data'!$S$2:$S$601,1))</f>
        <v>14</v>
      </c>
      <c r="E13" s="20">
        <f>IF($B13="","",SUMIFS('Time Card Data'!$O$2:$O$601,'Time Card Data'!$R$2:$R$601,$B13,'Time Card Data'!$S$2:$S$601,1))</f>
        <v>0</v>
      </c>
      <c r="F13" s="20">
        <f>IF($B13="","",SUMIFS('Time Card Data'!$P$2:$P$601,'Time Card Data'!$R$2:$R$601,$B13,'Time Card Data'!$S$2:$S$601,1))</f>
        <v>244.18</v>
      </c>
      <c r="G13" s="20">
        <f>IF($B13="","",SUMIFS('Time Card Data'!$X$2:$X$601,'Time Card Data'!$R$2:$R$601,$B13,'Time Card Data'!$S$2:$S$601,1))</f>
        <v>244.18</v>
      </c>
      <c r="H13" s="33">
        <f>IF($B13="","",SUMIFS('Time Card Data'!$Y$2:$Y$601,'Time Card Data'!$R$2:$R$601,$B13,'Time Card Data'!$S$2:$S$601,1))</f>
        <v>0</v>
      </c>
      <c r="I13" s="34">
        <f>IF($B13="","",SUMIFS('Time Card Data'!$AG$2:$AG$601,'Time Card Data'!$R$2:$R$601,$B13,'Time Card Data'!$S$2:$S$601,1))</f>
        <v>0</v>
      </c>
      <c r="J13" s="20">
        <f t="shared" si="0"/>
        <v>0</v>
      </c>
    </row>
    <row r="14" spans="1:10">
      <c r="A14" s="22">
        <v>13</v>
      </c>
      <c r="B14" s="22" t="str">
        <f>IFERROR(INDEX('Time Card Data'!$R$2:$R$601,MATCH(A14,'Time Card Data'!$AJ$2:$AJ$601,0)),"")</f>
        <v/>
      </c>
      <c r="C14" s="22" t="str">
        <f>IF($B14="","",IFERROR(INDEX('Time Card Data'!$B$2:$B$601,MATCH($B14,'Time Card Data'!$R$2:$R$601,0)),""))</f>
        <v/>
      </c>
      <c r="D14" s="25" t="str">
        <f>IF($B14="","",SUMIFS('Time Card Data'!$N$2:$N$601,'Time Card Data'!$R$2:$R$601,$B14,'Time Card Data'!$S$2:$S$601,1))</f>
        <v/>
      </c>
      <c r="E14" s="20" t="str">
        <f>IF($B14="","",SUMIFS('Time Card Data'!$O$2:$O$601,'Time Card Data'!$R$2:$R$601,$B14,'Time Card Data'!$S$2:$S$601,1))</f>
        <v/>
      </c>
      <c r="F14" s="20" t="str">
        <f>IF($B14="","",SUMIFS('Time Card Data'!$P$2:$P$601,'Time Card Data'!$R$2:$R$601,$B14,'Time Card Data'!$S$2:$S$601,1))</f>
        <v/>
      </c>
      <c r="G14" s="20" t="str">
        <f>IF($B14="","",SUMIFS('Time Card Data'!$X$2:$X$601,'Time Card Data'!$R$2:$R$601,$B14,'Time Card Data'!$S$2:$S$601,1))</f>
        <v/>
      </c>
      <c r="H14" s="20" t="str">
        <f>IF($B14="","",SUMIFS('Time Card Data'!$Y$2:$Y$601,'Time Card Data'!$R$2:$R$601,$B14,'Time Card Data'!$S$2:$S$601,1))</f>
        <v/>
      </c>
      <c r="I14" s="20" t="str">
        <f>IF($B14="","",SUMIFS('Time Card Data'!$AG$2:$AG$601,'Time Card Data'!$R$2:$R$601,$B14,'Time Card Data'!$S$2:$S$601,1))</f>
        <v/>
      </c>
      <c r="J14" s="20" t="str">
        <f t="shared" si="0"/>
        <v/>
      </c>
    </row>
    <row r="15" spans="1:10">
      <c r="A15" s="22">
        <v>14</v>
      </c>
      <c r="B15" s="22" t="str">
        <f>IFERROR(INDEX('Time Card Data'!$R$2:$R$601,MATCH(A15,'Time Card Data'!$AJ$2:$AJ$601,0)),"")</f>
        <v/>
      </c>
      <c r="C15" s="22" t="str">
        <f>IF($B15="","",IFERROR(INDEX('Time Card Data'!$B$2:$B$601,MATCH($B15,'Time Card Data'!$R$2:$R$601,0)),""))</f>
        <v/>
      </c>
      <c r="D15" s="25" t="str">
        <f>IF($B15="","",SUMIFS('Time Card Data'!$N$2:$N$601,'Time Card Data'!$R$2:$R$601,$B15,'Time Card Data'!$S$2:$S$601,1))</f>
        <v/>
      </c>
      <c r="E15" s="20" t="str">
        <f>IF($B15="","",SUMIFS('Time Card Data'!$O$2:$O$601,'Time Card Data'!$R$2:$R$601,$B15,'Time Card Data'!$S$2:$S$601,1))</f>
        <v/>
      </c>
      <c r="F15" s="20" t="str">
        <f>IF($B15="","",SUMIFS('Time Card Data'!$P$2:$P$601,'Time Card Data'!$R$2:$R$601,$B15,'Time Card Data'!$S$2:$S$601,1))</f>
        <v/>
      </c>
      <c r="G15" s="20" t="str">
        <f>IF($B15="","",SUMIFS('Time Card Data'!$X$2:$X$601,'Time Card Data'!$R$2:$R$601,$B15,'Time Card Data'!$S$2:$S$601,1))</f>
        <v/>
      </c>
      <c r="H15" s="20" t="str">
        <f>IF($B15="","",SUMIFS('Time Card Data'!$Y$2:$Y$601,'Time Card Data'!$R$2:$R$601,$B15,'Time Card Data'!$S$2:$S$601,1))</f>
        <v/>
      </c>
      <c r="I15" s="20" t="str">
        <f>IF($B15="","",SUMIFS('Time Card Data'!$AG$2:$AG$601,'Time Card Data'!$R$2:$R$601,$B15,'Time Card Data'!$S$2:$S$601,1))</f>
        <v/>
      </c>
      <c r="J15" s="20" t="str">
        <f t="shared" si="0"/>
        <v/>
      </c>
    </row>
    <row r="16" spans="1:10">
      <c r="A16" s="22">
        <v>15</v>
      </c>
      <c r="B16" s="22" t="str">
        <f>IFERROR(INDEX('Time Card Data'!$R$2:$R$601,MATCH(A16,'Time Card Data'!$AJ$2:$AJ$601,0)),"")</f>
        <v/>
      </c>
      <c r="C16" s="22" t="str">
        <f>IF($B16="","",IFERROR(INDEX('Time Card Data'!$B$2:$B$601,MATCH($B16,'Time Card Data'!$R$2:$R$601,0)),""))</f>
        <v/>
      </c>
      <c r="D16" s="25" t="str">
        <f>IF($B16="","",SUMIFS('Time Card Data'!$N$2:$N$601,'Time Card Data'!$R$2:$R$601,$B16,'Time Card Data'!$S$2:$S$601,1))</f>
        <v/>
      </c>
      <c r="E16" s="20" t="str">
        <f>IF($B16="","",SUMIFS('Time Card Data'!$O$2:$O$601,'Time Card Data'!$R$2:$R$601,$B16,'Time Card Data'!$S$2:$S$601,1))</f>
        <v/>
      </c>
      <c r="F16" s="20" t="str">
        <f>IF($B16="","",SUMIFS('Time Card Data'!$P$2:$P$601,'Time Card Data'!$R$2:$R$601,$B16,'Time Card Data'!$S$2:$S$601,1))</f>
        <v/>
      </c>
      <c r="G16" s="20" t="str">
        <f>IF($B16="","",SUMIFS('Time Card Data'!$X$2:$X$601,'Time Card Data'!$R$2:$R$601,$B16,'Time Card Data'!$S$2:$S$601,1))</f>
        <v/>
      </c>
      <c r="H16" s="20" t="str">
        <f>IF($B16="","",SUMIFS('Time Card Data'!$Y$2:$Y$601,'Time Card Data'!$R$2:$R$601,$B16,'Time Card Data'!$S$2:$S$601,1))</f>
        <v/>
      </c>
      <c r="I16" s="20" t="str">
        <f>IF($B16="","",SUMIFS('Time Card Data'!$AG$2:$AG$601,'Time Card Data'!$R$2:$R$601,$B16,'Time Card Data'!$S$2:$S$601,1))</f>
        <v/>
      </c>
      <c r="J16" s="20" t="str">
        <f t="shared" si="0"/>
        <v/>
      </c>
    </row>
    <row r="17" spans="1:10">
      <c r="A17" s="22">
        <v>16</v>
      </c>
      <c r="B17" s="22" t="str">
        <f>IFERROR(INDEX('Time Card Data'!$R$2:$R$601,MATCH(A17,'Time Card Data'!$AJ$2:$AJ$601,0)),"")</f>
        <v/>
      </c>
      <c r="C17" s="22" t="str">
        <f>IF($B17="","",IFERROR(INDEX('Time Card Data'!$B$2:$B$601,MATCH($B17,'Time Card Data'!$R$2:$R$601,0)),""))</f>
        <v/>
      </c>
      <c r="D17" s="25" t="str">
        <f>IF($B17="","",SUMIFS('Time Card Data'!$N$2:$N$601,'Time Card Data'!$R$2:$R$601,$B17,'Time Card Data'!$S$2:$S$601,1))</f>
        <v/>
      </c>
      <c r="E17" s="20" t="str">
        <f>IF($B17="","",SUMIFS('Time Card Data'!$O$2:$O$601,'Time Card Data'!$R$2:$R$601,$B17,'Time Card Data'!$S$2:$S$601,1))</f>
        <v/>
      </c>
      <c r="F17" s="20" t="str">
        <f>IF($B17="","",SUMIFS('Time Card Data'!$P$2:$P$601,'Time Card Data'!$R$2:$R$601,$B17,'Time Card Data'!$S$2:$S$601,1))</f>
        <v/>
      </c>
      <c r="G17" s="20" t="str">
        <f>IF($B17="","",SUMIFS('Time Card Data'!$X$2:$X$601,'Time Card Data'!$R$2:$R$601,$B17,'Time Card Data'!$S$2:$S$601,1))</f>
        <v/>
      </c>
      <c r="H17" s="20" t="str">
        <f>IF($B17="","",SUMIFS('Time Card Data'!$Y$2:$Y$601,'Time Card Data'!$R$2:$R$601,$B17,'Time Card Data'!$S$2:$S$601,1))</f>
        <v/>
      </c>
      <c r="I17" s="20" t="str">
        <f>IF($B17="","",SUMIFS('Time Card Data'!$AG$2:$AG$601,'Time Card Data'!$R$2:$R$601,$B17,'Time Card Data'!$S$2:$S$601,1))</f>
        <v/>
      </c>
      <c r="J17" s="20" t="str">
        <f t="shared" si="0"/>
        <v/>
      </c>
    </row>
    <row r="18" spans="1:10">
      <c r="A18" s="22">
        <v>17</v>
      </c>
      <c r="B18" s="22" t="str">
        <f>IFERROR(INDEX('Time Card Data'!$R$2:$R$601,MATCH(A18,'Time Card Data'!$AJ$2:$AJ$601,0)),"")</f>
        <v/>
      </c>
      <c r="C18" s="22" t="str">
        <f>IF($B18="","",IFERROR(INDEX('Time Card Data'!$B$2:$B$601,MATCH($B18,'Time Card Data'!$R$2:$R$601,0)),""))</f>
        <v/>
      </c>
      <c r="D18" s="25" t="str">
        <f>IF($B18="","",SUMIFS('Time Card Data'!$N$2:$N$601,'Time Card Data'!$R$2:$R$601,$B18,'Time Card Data'!$S$2:$S$601,1))</f>
        <v/>
      </c>
      <c r="E18" s="20" t="str">
        <f>IF($B18="","",SUMIFS('Time Card Data'!$O$2:$O$601,'Time Card Data'!$R$2:$R$601,$B18,'Time Card Data'!$S$2:$S$601,1))</f>
        <v/>
      </c>
      <c r="F18" s="20" t="str">
        <f>IF($B18="","",SUMIFS('Time Card Data'!$P$2:$P$601,'Time Card Data'!$R$2:$R$601,$B18,'Time Card Data'!$S$2:$S$601,1))</f>
        <v/>
      </c>
      <c r="G18" s="20" t="str">
        <f>IF($B18="","",SUMIFS('Time Card Data'!$X$2:$X$601,'Time Card Data'!$R$2:$R$601,$B18,'Time Card Data'!$S$2:$S$601,1))</f>
        <v/>
      </c>
      <c r="H18" s="20" t="str">
        <f>IF($B18="","",SUMIFS('Time Card Data'!$Y$2:$Y$601,'Time Card Data'!$R$2:$R$601,$B18,'Time Card Data'!$S$2:$S$601,1))</f>
        <v/>
      </c>
      <c r="I18" s="20" t="str">
        <f>IF($B18="","",SUMIFS('Time Card Data'!$AG$2:$AG$601,'Time Card Data'!$R$2:$R$601,$B18,'Time Card Data'!$S$2:$S$601,1))</f>
        <v/>
      </c>
      <c r="J18" s="20" t="str">
        <f t="shared" si="0"/>
        <v/>
      </c>
    </row>
    <row r="19" spans="1:10">
      <c r="A19" s="22">
        <v>18</v>
      </c>
      <c r="B19" s="22" t="str">
        <f>IFERROR(INDEX('Time Card Data'!$R$2:$R$601,MATCH(A19,'Time Card Data'!$AJ$2:$AJ$601,0)),"")</f>
        <v/>
      </c>
      <c r="C19" s="22" t="str">
        <f>IF($B19="","",IFERROR(INDEX('Time Card Data'!$B$2:$B$601,MATCH($B19,'Time Card Data'!$R$2:$R$601,0)),""))</f>
        <v/>
      </c>
      <c r="D19" s="25" t="str">
        <f>IF($B19="","",SUMIFS('Time Card Data'!$N$2:$N$601,'Time Card Data'!$R$2:$R$601,$B19,'Time Card Data'!$S$2:$S$601,1))</f>
        <v/>
      </c>
      <c r="E19" s="20" t="str">
        <f>IF($B19="","",SUMIFS('Time Card Data'!$O$2:$O$601,'Time Card Data'!$R$2:$R$601,$B19,'Time Card Data'!$S$2:$S$601,1))</f>
        <v/>
      </c>
      <c r="F19" s="20" t="str">
        <f>IF($B19="","",SUMIFS('Time Card Data'!$P$2:$P$601,'Time Card Data'!$R$2:$R$601,$B19,'Time Card Data'!$S$2:$S$601,1))</f>
        <v/>
      </c>
      <c r="G19" s="20" t="str">
        <f>IF($B19="","",SUMIFS('Time Card Data'!$X$2:$X$601,'Time Card Data'!$R$2:$R$601,$B19,'Time Card Data'!$S$2:$S$601,1))</f>
        <v/>
      </c>
      <c r="H19" s="20" t="str">
        <f>IF($B19="","",SUMIFS('Time Card Data'!$Y$2:$Y$601,'Time Card Data'!$R$2:$R$601,$B19,'Time Card Data'!$S$2:$S$601,1))</f>
        <v/>
      </c>
      <c r="I19" s="20" t="str">
        <f>IF($B19="","",SUMIFS('Time Card Data'!$AG$2:$AG$601,'Time Card Data'!$R$2:$R$601,$B19,'Time Card Data'!$S$2:$S$601,1))</f>
        <v/>
      </c>
      <c r="J19" s="20" t="str">
        <f t="shared" si="0"/>
        <v/>
      </c>
    </row>
    <row r="20" spans="1:10">
      <c r="A20" s="22">
        <v>19</v>
      </c>
      <c r="B20" s="22" t="str">
        <f>IFERROR(INDEX('Time Card Data'!$R$2:$R$601,MATCH(A20,'Time Card Data'!$AJ$2:$AJ$601,0)),"")</f>
        <v/>
      </c>
      <c r="C20" s="22" t="str">
        <f>IF($B20="","",IFERROR(INDEX('Time Card Data'!$B$2:$B$601,MATCH($B20,'Time Card Data'!$R$2:$R$601,0)),""))</f>
        <v/>
      </c>
      <c r="D20" s="25" t="str">
        <f>IF($B20="","",SUMIFS('Time Card Data'!$N$2:$N$601,'Time Card Data'!$R$2:$R$601,$B20,'Time Card Data'!$S$2:$S$601,1))</f>
        <v/>
      </c>
      <c r="E20" s="20" t="str">
        <f>IF($B20="","",SUMIFS('Time Card Data'!$O$2:$O$601,'Time Card Data'!$R$2:$R$601,$B20,'Time Card Data'!$S$2:$S$601,1))</f>
        <v/>
      </c>
      <c r="F20" s="20" t="str">
        <f>IF($B20="","",SUMIFS('Time Card Data'!$P$2:$P$601,'Time Card Data'!$R$2:$R$601,$B20,'Time Card Data'!$S$2:$S$601,1))</f>
        <v/>
      </c>
      <c r="G20" s="20" t="str">
        <f>IF($B20="","",SUMIFS('Time Card Data'!$X$2:$X$601,'Time Card Data'!$R$2:$R$601,$B20,'Time Card Data'!$S$2:$S$601,1))</f>
        <v/>
      </c>
      <c r="H20" s="20" t="str">
        <f>IF($B20="","",SUMIFS('Time Card Data'!$Y$2:$Y$601,'Time Card Data'!$R$2:$R$601,$B20,'Time Card Data'!$S$2:$S$601,1))</f>
        <v/>
      </c>
      <c r="I20" s="20" t="str">
        <f>IF($B20="","",SUMIFS('Time Card Data'!$AG$2:$AG$601,'Time Card Data'!$R$2:$R$601,$B20,'Time Card Data'!$S$2:$S$601,1))</f>
        <v/>
      </c>
      <c r="J20" s="20" t="str">
        <f t="shared" si="0"/>
        <v/>
      </c>
    </row>
    <row r="21" spans="1:10">
      <c r="A21" s="22">
        <v>20</v>
      </c>
      <c r="B21" s="22" t="str">
        <f>IFERROR(INDEX('Time Card Data'!$R$2:$R$601,MATCH(A21,'Time Card Data'!$AJ$2:$AJ$601,0)),"")</f>
        <v/>
      </c>
      <c r="C21" s="22" t="str">
        <f>IF($B21="","",IFERROR(INDEX('Time Card Data'!$B$2:$B$601,MATCH($B21,'Time Card Data'!$R$2:$R$601,0)),""))</f>
        <v/>
      </c>
      <c r="D21" s="25" t="str">
        <f>IF($B21="","",SUMIFS('Time Card Data'!$N$2:$N$601,'Time Card Data'!$R$2:$R$601,$B21,'Time Card Data'!$S$2:$S$601,1))</f>
        <v/>
      </c>
      <c r="E21" s="20" t="str">
        <f>IF($B21="","",SUMIFS('Time Card Data'!$O$2:$O$601,'Time Card Data'!$R$2:$R$601,$B21,'Time Card Data'!$S$2:$S$601,1))</f>
        <v/>
      </c>
      <c r="F21" s="20" t="str">
        <f>IF($B21="","",SUMIFS('Time Card Data'!$P$2:$P$601,'Time Card Data'!$R$2:$R$601,$B21,'Time Card Data'!$S$2:$S$601,1))</f>
        <v/>
      </c>
      <c r="G21" s="20" t="str">
        <f>IF($B21="","",SUMIFS('Time Card Data'!$X$2:$X$601,'Time Card Data'!$R$2:$R$601,$B21,'Time Card Data'!$S$2:$S$601,1))</f>
        <v/>
      </c>
      <c r="H21" s="20" t="str">
        <f>IF($B21="","",SUMIFS('Time Card Data'!$Y$2:$Y$601,'Time Card Data'!$R$2:$R$601,$B21,'Time Card Data'!$S$2:$S$601,1))</f>
        <v/>
      </c>
      <c r="I21" s="20" t="str">
        <f>IF($B21="","",SUMIFS('Time Card Data'!$AG$2:$AG$601,'Time Card Data'!$R$2:$R$601,$B21,'Time Card Data'!$S$2:$S$601,1))</f>
        <v/>
      </c>
      <c r="J21" s="20" t="str">
        <f t="shared" si="0"/>
        <v/>
      </c>
    </row>
    <row r="22" spans="1:10">
      <c r="A22" s="22">
        <v>21</v>
      </c>
      <c r="B22" s="22" t="str">
        <f>IFERROR(INDEX('Time Card Data'!$R$2:$R$601,MATCH(A22,'Time Card Data'!$AJ$2:$AJ$601,0)),"")</f>
        <v/>
      </c>
      <c r="C22" s="22" t="str">
        <f>IF($B22="","",IFERROR(INDEX('Time Card Data'!$B$2:$B$601,MATCH($B22,'Time Card Data'!$R$2:$R$601,0)),""))</f>
        <v/>
      </c>
      <c r="D22" s="25" t="str">
        <f>IF($B22="","",SUMIFS('Time Card Data'!$N$2:$N$601,'Time Card Data'!$R$2:$R$601,$B22,'Time Card Data'!$S$2:$S$601,1))</f>
        <v/>
      </c>
      <c r="E22" s="20" t="str">
        <f>IF($B22="","",SUMIFS('Time Card Data'!$O$2:$O$601,'Time Card Data'!$R$2:$R$601,$B22,'Time Card Data'!$S$2:$S$601,1))</f>
        <v/>
      </c>
      <c r="F22" s="20" t="str">
        <f>IF($B22="","",SUMIFS('Time Card Data'!$P$2:$P$601,'Time Card Data'!$R$2:$R$601,$B22,'Time Card Data'!$S$2:$S$601,1))</f>
        <v/>
      </c>
      <c r="G22" s="20" t="str">
        <f>IF($B22="","",SUMIFS('Time Card Data'!$X$2:$X$601,'Time Card Data'!$R$2:$R$601,$B22,'Time Card Data'!$S$2:$S$601,1))</f>
        <v/>
      </c>
      <c r="H22" s="20" t="str">
        <f>IF($B22="","",SUMIFS('Time Card Data'!$Y$2:$Y$601,'Time Card Data'!$R$2:$R$601,$B22,'Time Card Data'!$S$2:$S$601,1))</f>
        <v/>
      </c>
      <c r="I22" s="20" t="str">
        <f>IF($B22="","",SUMIFS('Time Card Data'!$AG$2:$AG$601,'Time Card Data'!$R$2:$R$601,$B22,'Time Card Data'!$S$2:$S$601,1))</f>
        <v/>
      </c>
      <c r="J22" s="20" t="str">
        <f t="shared" si="0"/>
        <v/>
      </c>
    </row>
    <row r="23" spans="1:10">
      <c r="A23" s="22">
        <v>22</v>
      </c>
      <c r="B23" s="22" t="str">
        <f>IFERROR(INDEX('Time Card Data'!$R$2:$R$601,MATCH(A23,'Time Card Data'!$AJ$2:$AJ$601,0)),"")</f>
        <v/>
      </c>
      <c r="C23" s="22" t="str">
        <f>IF($B23="","",IFERROR(INDEX('Time Card Data'!$B$2:$B$601,MATCH($B23,'Time Card Data'!$R$2:$R$601,0)),""))</f>
        <v/>
      </c>
      <c r="D23" s="25" t="str">
        <f>IF($B23="","",SUMIFS('Time Card Data'!$N$2:$N$601,'Time Card Data'!$R$2:$R$601,$B23,'Time Card Data'!$S$2:$S$601,1))</f>
        <v/>
      </c>
      <c r="E23" s="20" t="str">
        <f>IF($B23="","",SUMIFS('Time Card Data'!$O$2:$O$601,'Time Card Data'!$R$2:$R$601,$B23,'Time Card Data'!$S$2:$S$601,1))</f>
        <v/>
      </c>
      <c r="F23" s="20" t="str">
        <f>IF($B23="","",SUMIFS('Time Card Data'!$P$2:$P$601,'Time Card Data'!$R$2:$R$601,$B23,'Time Card Data'!$S$2:$S$601,1))</f>
        <v/>
      </c>
      <c r="G23" s="20" t="str">
        <f>IF($B23="","",SUMIFS('Time Card Data'!$X$2:$X$601,'Time Card Data'!$R$2:$R$601,$B23,'Time Card Data'!$S$2:$S$601,1))</f>
        <v/>
      </c>
      <c r="H23" s="20" t="str">
        <f>IF($B23="","",SUMIFS('Time Card Data'!$Y$2:$Y$601,'Time Card Data'!$R$2:$R$601,$B23,'Time Card Data'!$S$2:$S$601,1))</f>
        <v/>
      </c>
      <c r="I23" s="20" t="str">
        <f>IF($B23="","",SUMIFS('Time Card Data'!$AG$2:$AG$601,'Time Card Data'!$R$2:$R$601,$B23,'Time Card Data'!$S$2:$S$601,1))</f>
        <v/>
      </c>
      <c r="J23" s="20" t="str">
        <f t="shared" si="0"/>
        <v/>
      </c>
    </row>
    <row r="24" spans="1:10">
      <c r="A24" s="22">
        <v>23</v>
      </c>
      <c r="B24" s="22" t="str">
        <f>IFERROR(INDEX('Time Card Data'!$R$2:$R$601,MATCH(A24,'Time Card Data'!$AJ$2:$AJ$601,0)),"")</f>
        <v/>
      </c>
      <c r="C24" s="22" t="str">
        <f>IF($B24="","",IFERROR(INDEX('Time Card Data'!$B$2:$B$601,MATCH($B24,'Time Card Data'!$R$2:$R$601,0)),""))</f>
        <v/>
      </c>
      <c r="D24" s="25" t="str">
        <f>IF($B24="","",SUMIFS('Time Card Data'!$N$2:$N$601,'Time Card Data'!$R$2:$R$601,$B24,'Time Card Data'!$S$2:$S$601,1))</f>
        <v/>
      </c>
      <c r="E24" s="20" t="str">
        <f>IF($B24="","",SUMIFS('Time Card Data'!$O$2:$O$601,'Time Card Data'!$R$2:$R$601,$B24,'Time Card Data'!$S$2:$S$601,1))</f>
        <v/>
      </c>
      <c r="F24" s="20" t="str">
        <f>IF($B24="","",SUMIFS('Time Card Data'!$P$2:$P$601,'Time Card Data'!$R$2:$R$601,$B24,'Time Card Data'!$S$2:$S$601,1))</f>
        <v/>
      </c>
      <c r="G24" s="20" t="str">
        <f>IF($B24="","",SUMIFS('Time Card Data'!$X$2:$X$601,'Time Card Data'!$R$2:$R$601,$B24,'Time Card Data'!$S$2:$S$601,1))</f>
        <v/>
      </c>
      <c r="H24" s="20" t="str">
        <f>IF($B24="","",SUMIFS('Time Card Data'!$Y$2:$Y$601,'Time Card Data'!$R$2:$R$601,$B24,'Time Card Data'!$S$2:$S$601,1))</f>
        <v/>
      </c>
      <c r="I24" s="20" t="str">
        <f>IF($B24="","",SUMIFS('Time Card Data'!$AG$2:$AG$601,'Time Card Data'!$R$2:$R$601,$B24,'Time Card Data'!$S$2:$S$601,1))</f>
        <v/>
      </c>
      <c r="J24" s="20" t="str">
        <f t="shared" si="0"/>
        <v/>
      </c>
    </row>
    <row r="25" spans="1:10">
      <c r="A25" s="22">
        <v>24</v>
      </c>
      <c r="B25" s="22" t="str">
        <f>IFERROR(INDEX('Time Card Data'!$R$2:$R$601,MATCH(A25,'Time Card Data'!$AJ$2:$AJ$601,0)),"")</f>
        <v/>
      </c>
      <c r="C25" s="22" t="str">
        <f>IF($B25="","",IFERROR(INDEX('Time Card Data'!$B$2:$B$601,MATCH($B25,'Time Card Data'!$R$2:$R$601,0)),""))</f>
        <v/>
      </c>
      <c r="D25" s="25" t="str">
        <f>IF($B25="","",SUMIFS('Time Card Data'!$N$2:$N$601,'Time Card Data'!$R$2:$R$601,$B25,'Time Card Data'!$S$2:$S$601,1))</f>
        <v/>
      </c>
      <c r="E25" s="20" t="str">
        <f>IF($B25="","",SUMIFS('Time Card Data'!$O$2:$O$601,'Time Card Data'!$R$2:$R$601,$B25,'Time Card Data'!$S$2:$S$601,1))</f>
        <v/>
      </c>
      <c r="F25" s="20" t="str">
        <f>IF($B25="","",SUMIFS('Time Card Data'!$P$2:$P$601,'Time Card Data'!$R$2:$R$601,$B25,'Time Card Data'!$S$2:$S$601,1))</f>
        <v/>
      </c>
      <c r="G25" s="20" t="str">
        <f>IF($B25="","",SUMIFS('Time Card Data'!$X$2:$X$601,'Time Card Data'!$R$2:$R$601,$B25,'Time Card Data'!$S$2:$S$601,1))</f>
        <v/>
      </c>
      <c r="H25" s="20" t="str">
        <f>IF($B25="","",SUMIFS('Time Card Data'!$Y$2:$Y$601,'Time Card Data'!$R$2:$R$601,$B25,'Time Card Data'!$S$2:$S$601,1))</f>
        <v/>
      </c>
      <c r="I25" s="20" t="str">
        <f>IF($B25="","",SUMIFS('Time Card Data'!$AG$2:$AG$601,'Time Card Data'!$R$2:$R$601,$B25,'Time Card Data'!$S$2:$S$601,1))</f>
        <v/>
      </c>
      <c r="J25" s="20" t="str">
        <f t="shared" si="0"/>
        <v/>
      </c>
    </row>
    <row r="26" spans="1:10">
      <c r="A26" s="22">
        <v>25</v>
      </c>
      <c r="B26" s="22" t="str">
        <f>IFERROR(INDEX('Time Card Data'!$R$2:$R$601,MATCH(A26,'Time Card Data'!$AJ$2:$AJ$601,0)),"")</f>
        <v/>
      </c>
      <c r="C26" s="22" t="str">
        <f>IF($B26="","",IFERROR(INDEX('Time Card Data'!$B$2:$B$601,MATCH($B26,'Time Card Data'!$R$2:$R$601,0)),""))</f>
        <v/>
      </c>
      <c r="D26" s="25" t="str">
        <f>IF($B26="","",SUMIFS('Time Card Data'!$N$2:$N$601,'Time Card Data'!$R$2:$R$601,$B26,'Time Card Data'!$S$2:$S$601,1))</f>
        <v/>
      </c>
      <c r="E26" s="20" t="str">
        <f>IF($B26="","",SUMIFS('Time Card Data'!$O$2:$O$601,'Time Card Data'!$R$2:$R$601,$B26,'Time Card Data'!$S$2:$S$601,1))</f>
        <v/>
      </c>
      <c r="F26" s="20" t="str">
        <f>IF($B26="","",SUMIFS('Time Card Data'!$P$2:$P$601,'Time Card Data'!$R$2:$R$601,$B26,'Time Card Data'!$S$2:$S$601,1))</f>
        <v/>
      </c>
      <c r="G26" s="20" t="str">
        <f>IF($B26="","",SUMIFS('Time Card Data'!$X$2:$X$601,'Time Card Data'!$R$2:$R$601,$B26,'Time Card Data'!$S$2:$S$601,1))</f>
        <v/>
      </c>
      <c r="H26" s="20" t="str">
        <f>IF($B26="","",SUMIFS('Time Card Data'!$Y$2:$Y$601,'Time Card Data'!$R$2:$R$601,$B26,'Time Card Data'!$S$2:$S$601,1))</f>
        <v/>
      </c>
      <c r="I26" s="20" t="str">
        <f>IF($B26="","",SUMIFS('Time Card Data'!$AG$2:$AG$601,'Time Card Data'!$R$2:$R$601,$B26,'Time Card Data'!$S$2:$S$601,1))</f>
        <v/>
      </c>
      <c r="J26" s="20" t="str">
        <f t="shared" si="0"/>
        <v/>
      </c>
    </row>
    <row r="27" spans="1:10">
      <c r="A27" s="22">
        <v>26</v>
      </c>
      <c r="B27" s="22" t="str">
        <f>IFERROR(INDEX('Time Card Data'!$R$2:$R$601,MATCH(A27,'Time Card Data'!$AJ$2:$AJ$601,0)),"")</f>
        <v/>
      </c>
      <c r="C27" s="22" t="str">
        <f>IF($B27="","",IFERROR(INDEX('Time Card Data'!$B$2:$B$601,MATCH($B27,'Time Card Data'!$R$2:$R$601,0)),""))</f>
        <v/>
      </c>
      <c r="D27" s="25" t="str">
        <f>IF($B27="","",SUMIFS('Time Card Data'!$N$2:$N$601,'Time Card Data'!$R$2:$R$601,$B27,'Time Card Data'!$S$2:$S$601,1))</f>
        <v/>
      </c>
      <c r="E27" s="20" t="str">
        <f>IF($B27="","",SUMIFS('Time Card Data'!$O$2:$O$601,'Time Card Data'!$R$2:$R$601,$B27,'Time Card Data'!$S$2:$S$601,1))</f>
        <v/>
      </c>
      <c r="F27" s="20" t="str">
        <f>IF($B27="","",SUMIFS('Time Card Data'!$P$2:$P$601,'Time Card Data'!$R$2:$R$601,$B27,'Time Card Data'!$S$2:$S$601,1))</f>
        <v/>
      </c>
      <c r="G27" s="20" t="str">
        <f>IF($B27="","",SUMIFS('Time Card Data'!$X$2:$X$601,'Time Card Data'!$R$2:$R$601,$B27,'Time Card Data'!$S$2:$S$601,1))</f>
        <v/>
      </c>
      <c r="H27" s="20" t="str">
        <f>IF($B27="","",SUMIFS('Time Card Data'!$Y$2:$Y$601,'Time Card Data'!$R$2:$R$601,$B27,'Time Card Data'!$S$2:$S$601,1))</f>
        <v/>
      </c>
      <c r="I27" s="20" t="str">
        <f>IF($B27="","",SUMIFS('Time Card Data'!$AG$2:$AG$601,'Time Card Data'!$R$2:$R$601,$B27,'Time Card Data'!$S$2:$S$601,1))</f>
        <v/>
      </c>
      <c r="J27" s="20" t="str">
        <f t="shared" si="0"/>
        <v/>
      </c>
    </row>
    <row r="28" spans="1:10">
      <c r="A28" s="22">
        <v>27</v>
      </c>
      <c r="B28" s="22" t="str">
        <f>IFERROR(INDEX('Time Card Data'!$R$2:$R$601,MATCH(A28,'Time Card Data'!$AJ$2:$AJ$601,0)),"")</f>
        <v/>
      </c>
      <c r="C28" s="22" t="str">
        <f>IF($B28="","",IFERROR(INDEX('Time Card Data'!$B$2:$B$601,MATCH($B28,'Time Card Data'!$R$2:$R$601,0)),""))</f>
        <v/>
      </c>
      <c r="D28" s="25" t="str">
        <f>IF($B28="","",SUMIFS('Time Card Data'!$N$2:$N$601,'Time Card Data'!$R$2:$R$601,$B28,'Time Card Data'!$S$2:$S$601,1))</f>
        <v/>
      </c>
      <c r="E28" s="20" t="str">
        <f>IF($B28="","",SUMIFS('Time Card Data'!$O$2:$O$601,'Time Card Data'!$R$2:$R$601,$B28,'Time Card Data'!$S$2:$S$601,1))</f>
        <v/>
      </c>
      <c r="F28" s="20" t="str">
        <f>IF($B28="","",SUMIFS('Time Card Data'!$P$2:$P$601,'Time Card Data'!$R$2:$R$601,$B28,'Time Card Data'!$S$2:$S$601,1))</f>
        <v/>
      </c>
      <c r="G28" s="20" t="str">
        <f>IF($B28="","",SUMIFS('Time Card Data'!$X$2:$X$601,'Time Card Data'!$R$2:$R$601,$B28,'Time Card Data'!$S$2:$S$601,1))</f>
        <v/>
      </c>
      <c r="H28" s="20" t="str">
        <f>IF($B28="","",SUMIFS('Time Card Data'!$Y$2:$Y$601,'Time Card Data'!$R$2:$R$601,$B28,'Time Card Data'!$S$2:$S$601,1))</f>
        <v/>
      </c>
      <c r="I28" s="20" t="str">
        <f>IF($B28="","",SUMIFS('Time Card Data'!$AG$2:$AG$601,'Time Card Data'!$R$2:$R$601,$B28,'Time Card Data'!$S$2:$S$601,1))</f>
        <v/>
      </c>
      <c r="J28" s="20" t="str">
        <f t="shared" si="0"/>
        <v/>
      </c>
    </row>
    <row r="29" spans="1:10">
      <c r="A29" s="22">
        <v>28</v>
      </c>
      <c r="B29" s="22" t="str">
        <f>IFERROR(INDEX('Time Card Data'!$R$2:$R$601,MATCH(A29,'Time Card Data'!$AJ$2:$AJ$601,0)),"")</f>
        <v/>
      </c>
      <c r="C29" s="22" t="str">
        <f>IF($B29="","",IFERROR(INDEX('Time Card Data'!$B$2:$B$601,MATCH($B29,'Time Card Data'!$R$2:$R$601,0)),""))</f>
        <v/>
      </c>
      <c r="D29" s="25" t="str">
        <f>IF($B29="","",SUMIFS('Time Card Data'!$N$2:$N$601,'Time Card Data'!$R$2:$R$601,$B29,'Time Card Data'!$S$2:$S$601,1))</f>
        <v/>
      </c>
      <c r="E29" s="20" t="str">
        <f>IF($B29="","",SUMIFS('Time Card Data'!$O$2:$O$601,'Time Card Data'!$R$2:$R$601,$B29,'Time Card Data'!$S$2:$S$601,1))</f>
        <v/>
      </c>
      <c r="F29" s="20" t="str">
        <f>IF($B29="","",SUMIFS('Time Card Data'!$P$2:$P$601,'Time Card Data'!$R$2:$R$601,$B29,'Time Card Data'!$S$2:$S$601,1))</f>
        <v/>
      </c>
      <c r="G29" s="20" t="str">
        <f>IF($B29="","",SUMIFS('Time Card Data'!$X$2:$X$601,'Time Card Data'!$R$2:$R$601,$B29,'Time Card Data'!$S$2:$S$601,1))</f>
        <v/>
      </c>
      <c r="H29" s="20" t="str">
        <f>IF($B29="","",SUMIFS('Time Card Data'!$Y$2:$Y$601,'Time Card Data'!$R$2:$R$601,$B29,'Time Card Data'!$S$2:$S$601,1))</f>
        <v/>
      </c>
      <c r="I29" s="20" t="str">
        <f>IF($B29="","",SUMIFS('Time Card Data'!$AG$2:$AG$601,'Time Card Data'!$R$2:$R$601,$B29,'Time Card Data'!$S$2:$S$601,1))</f>
        <v/>
      </c>
      <c r="J29" s="20" t="str">
        <f t="shared" si="0"/>
        <v/>
      </c>
    </row>
    <row r="30" spans="1:10">
      <c r="A30" s="22">
        <v>29</v>
      </c>
      <c r="B30" s="22" t="str">
        <f>IFERROR(INDEX('Time Card Data'!$R$2:$R$601,MATCH(A30,'Time Card Data'!$AJ$2:$AJ$601,0)),"")</f>
        <v/>
      </c>
      <c r="C30" s="22" t="str">
        <f>IF($B30="","",IFERROR(INDEX('Time Card Data'!$B$2:$B$601,MATCH($B30,'Time Card Data'!$R$2:$R$601,0)),""))</f>
        <v/>
      </c>
      <c r="D30" s="25" t="str">
        <f>IF($B30="","",SUMIFS('Time Card Data'!$N$2:$N$601,'Time Card Data'!$R$2:$R$601,$B30,'Time Card Data'!$S$2:$S$601,1))</f>
        <v/>
      </c>
      <c r="E30" s="20" t="str">
        <f>IF($B30="","",SUMIFS('Time Card Data'!$O$2:$O$601,'Time Card Data'!$R$2:$R$601,$B30,'Time Card Data'!$S$2:$S$601,1))</f>
        <v/>
      </c>
      <c r="F30" s="20" t="str">
        <f>IF($B30="","",SUMIFS('Time Card Data'!$P$2:$P$601,'Time Card Data'!$R$2:$R$601,$B30,'Time Card Data'!$S$2:$S$601,1))</f>
        <v/>
      </c>
      <c r="G30" s="20" t="str">
        <f>IF($B30="","",SUMIFS('Time Card Data'!$X$2:$X$601,'Time Card Data'!$R$2:$R$601,$B30,'Time Card Data'!$S$2:$S$601,1))</f>
        <v/>
      </c>
      <c r="H30" s="20" t="str">
        <f>IF($B30="","",SUMIFS('Time Card Data'!$Y$2:$Y$601,'Time Card Data'!$R$2:$R$601,$B30,'Time Card Data'!$S$2:$S$601,1))</f>
        <v/>
      </c>
      <c r="I30" s="20" t="str">
        <f>IF($B30="","",SUMIFS('Time Card Data'!$AG$2:$AG$601,'Time Card Data'!$R$2:$R$601,$B30,'Time Card Data'!$S$2:$S$601,1))</f>
        <v/>
      </c>
      <c r="J30" s="20" t="str">
        <f t="shared" si="0"/>
        <v/>
      </c>
    </row>
    <row r="31" spans="1:10">
      <c r="A31" s="22">
        <v>30</v>
      </c>
      <c r="B31" s="22" t="str">
        <f>IFERROR(INDEX('Time Card Data'!$R$2:$R$601,MATCH(A31,'Time Card Data'!$AJ$2:$AJ$601,0)),"")</f>
        <v/>
      </c>
      <c r="C31" s="22" t="str">
        <f>IF($B31="","",IFERROR(INDEX('Time Card Data'!$B$2:$B$601,MATCH($B31,'Time Card Data'!$R$2:$R$601,0)),""))</f>
        <v/>
      </c>
      <c r="D31" s="25" t="str">
        <f>IF($B31="","",SUMIFS('Time Card Data'!$N$2:$N$601,'Time Card Data'!$R$2:$R$601,$B31,'Time Card Data'!$S$2:$S$601,1))</f>
        <v/>
      </c>
      <c r="E31" s="20" t="str">
        <f>IF($B31="","",SUMIFS('Time Card Data'!$O$2:$O$601,'Time Card Data'!$R$2:$R$601,$B31,'Time Card Data'!$S$2:$S$601,1))</f>
        <v/>
      </c>
      <c r="F31" s="20" t="str">
        <f>IF($B31="","",SUMIFS('Time Card Data'!$P$2:$P$601,'Time Card Data'!$R$2:$R$601,$B31,'Time Card Data'!$S$2:$S$601,1))</f>
        <v/>
      </c>
      <c r="G31" s="20" t="str">
        <f>IF($B31="","",SUMIFS('Time Card Data'!$X$2:$X$601,'Time Card Data'!$R$2:$R$601,$B31,'Time Card Data'!$S$2:$S$601,1))</f>
        <v/>
      </c>
      <c r="H31" s="20" t="str">
        <f>IF($B31="","",SUMIFS('Time Card Data'!$Y$2:$Y$601,'Time Card Data'!$R$2:$R$601,$B31,'Time Card Data'!$S$2:$S$601,1))</f>
        <v/>
      </c>
      <c r="I31" s="20" t="str">
        <f>IF($B31="","",SUMIFS('Time Card Data'!$AG$2:$AG$601,'Time Card Data'!$R$2:$R$601,$B31,'Time Card Data'!$S$2:$S$601,1))</f>
        <v/>
      </c>
      <c r="J31" s="20" t="str">
        <f t="shared" si="0"/>
        <v/>
      </c>
    </row>
    <row r="32" spans="1:10">
      <c r="A32" s="22">
        <v>31</v>
      </c>
      <c r="B32" s="22" t="str">
        <f>IFERROR(INDEX('Time Card Data'!$R$2:$R$601,MATCH(A32,'Time Card Data'!$AJ$2:$AJ$601,0)),"")</f>
        <v/>
      </c>
      <c r="C32" s="22" t="str">
        <f>IF($B32="","",IFERROR(INDEX('Time Card Data'!$B$2:$B$601,MATCH($B32,'Time Card Data'!$R$2:$R$601,0)),""))</f>
        <v/>
      </c>
      <c r="D32" s="25" t="str">
        <f>IF($B32="","",SUMIFS('Time Card Data'!$N$2:$N$601,'Time Card Data'!$R$2:$R$601,$B32,'Time Card Data'!$S$2:$S$601,1))</f>
        <v/>
      </c>
      <c r="E32" s="20" t="str">
        <f>IF($B32="","",SUMIFS('Time Card Data'!$O$2:$O$601,'Time Card Data'!$R$2:$R$601,$B32,'Time Card Data'!$S$2:$S$601,1))</f>
        <v/>
      </c>
      <c r="F32" s="20" t="str">
        <f>IF($B32="","",SUMIFS('Time Card Data'!$P$2:$P$601,'Time Card Data'!$R$2:$R$601,$B32,'Time Card Data'!$S$2:$S$601,1))</f>
        <v/>
      </c>
      <c r="G32" s="20" t="str">
        <f>IF($B32="","",SUMIFS('Time Card Data'!$X$2:$X$601,'Time Card Data'!$R$2:$R$601,$B32,'Time Card Data'!$S$2:$S$601,1))</f>
        <v/>
      </c>
      <c r="H32" s="20" t="str">
        <f>IF($B32="","",SUMIFS('Time Card Data'!$Y$2:$Y$601,'Time Card Data'!$R$2:$R$601,$B32,'Time Card Data'!$S$2:$S$601,1))</f>
        <v/>
      </c>
      <c r="I32" s="20" t="str">
        <f>IF($B32="","",SUMIFS('Time Card Data'!$AG$2:$AG$601,'Time Card Data'!$R$2:$R$601,$B32,'Time Card Data'!$S$2:$S$601,1))</f>
        <v/>
      </c>
      <c r="J32" s="20" t="str">
        <f t="shared" si="0"/>
        <v/>
      </c>
    </row>
    <row r="33" spans="1:10">
      <c r="A33" s="22">
        <v>32</v>
      </c>
      <c r="B33" s="22" t="str">
        <f>IFERROR(INDEX('Time Card Data'!$R$2:$R$601,MATCH(A33,'Time Card Data'!$AJ$2:$AJ$601,0)),"")</f>
        <v/>
      </c>
      <c r="C33" s="22" t="str">
        <f>IF($B33="","",IFERROR(INDEX('Time Card Data'!$B$2:$B$601,MATCH($B33,'Time Card Data'!$R$2:$R$601,0)),""))</f>
        <v/>
      </c>
      <c r="D33" s="25" t="str">
        <f>IF($B33="","",SUMIFS('Time Card Data'!$N$2:$N$601,'Time Card Data'!$R$2:$R$601,$B33,'Time Card Data'!$S$2:$S$601,1))</f>
        <v/>
      </c>
      <c r="E33" s="20" t="str">
        <f>IF($B33="","",SUMIFS('Time Card Data'!$O$2:$O$601,'Time Card Data'!$R$2:$R$601,$B33,'Time Card Data'!$S$2:$S$601,1))</f>
        <v/>
      </c>
      <c r="F33" s="20" t="str">
        <f>IF($B33="","",SUMIFS('Time Card Data'!$P$2:$P$601,'Time Card Data'!$R$2:$R$601,$B33,'Time Card Data'!$S$2:$S$601,1))</f>
        <v/>
      </c>
      <c r="G33" s="20" t="str">
        <f>IF($B33="","",SUMIFS('Time Card Data'!$X$2:$X$601,'Time Card Data'!$R$2:$R$601,$B33,'Time Card Data'!$S$2:$S$601,1))</f>
        <v/>
      </c>
      <c r="H33" s="20" t="str">
        <f>IF($B33="","",SUMIFS('Time Card Data'!$Y$2:$Y$601,'Time Card Data'!$R$2:$R$601,$B33,'Time Card Data'!$S$2:$S$601,1))</f>
        <v/>
      </c>
      <c r="I33" s="20" t="str">
        <f>IF($B33="","",SUMIFS('Time Card Data'!$AG$2:$AG$601,'Time Card Data'!$R$2:$R$601,$B33,'Time Card Data'!$S$2:$S$601,1))</f>
        <v/>
      </c>
      <c r="J33" s="20" t="str">
        <f t="shared" si="0"/>
        <v/>
      </c>
    </row>
    <row r="34" spans="1:10">
      <c r="A34" s="22">
        <v>33</v>
      </c>
      <c r="B34" s="22" t="str">
        <f>IFERROR(INDEX('Time Card Data'!$R$2:$R$601,MATCH(A34,'Time Card Data'!$AJ$2:$AJ$601,0)),"")</f>
        <v/>
      </c>
      <c r="C34" s="22" t="str">
        <f>IF($B34="","",IFERROR(INDEX('Time Card Data'!$B$2:$B$601,MATCH($B34,'Time Card Data'!$R$2:$R$601,0)),""))</f>
        <v/>
      </c>
      <c r="D34" s="25" t="str">
        <f>IF($B34="","",SUMIFS('Time Card Data'!$N$2:$N$601,'Time Card Data'!$R$2:$R$601,$B34,'Time Card Data'!$S$2:$S$601,1))</f>
        <v/>
      </c>
      <c r="E34" s="20" t="str">
        <f>IF($B34="","",SUMIFS('Time Card Data'!$O$2:$O$601,'Time Card Data'!$R$2:$R$601,$B34,'Time Card Data'!$S$2:$S$601,1))</f>
        <v/>
      </c>
      <c r="F34" s="20" t="str">
        <f>IF($B34="","",SUMIFS('Time Card Data'!$P$2:$P$601,'Time Card Data'!$R$2:$R$601,$B34,'Time Card Data'!$S$2:$S$601,1))</f>
        <v/>
      </c>
      <c r="G34" s="20" t="str">
        <f>IF($B34="","",SUMIFS('Time Card Data'!$X$2:$X$601,'Time Card Data'!$R$2:$R$601,$B34,'Time Card Data'!$S$2:$S$601,1))</f>
        <v/>
      </c>
      <c r="H34" s="20" t="str">
        <f>IF($B34="","",SUMIFS('Time Card Data'!$Y$2:$Y$601,'Time Card Data'!$R$2:$R$601,$B34,'Time Card Data'!$S$2:$S$601,1))</f>
        <v/>
      </c>
      <c r="I34" s="20" t="str">
        <f>IF($B34="","",SUMIFS('Time Card Data'!$AG$2:$AG$601,'Time Card Data'!$R$2:$R$601,$B34,'Time Card Data'!$S$2:$S$601,1))</f>
        <v/>
      </c>
      <c r="J34" s="20" t="str">
        <f t="shared" ref="J34:J61" si="1">IF($B34="","",H34+I34)</f>
        <v/>
      </c>
    </row>
    <row r="35" spans="1:10">
      <c r="A35" s="22">
        <v>34</v>
      </c>
      <c r="B35" s="22" t="str">
        <f>IFERROR(INDEX('Time Card Data'!$R$2:$R$601,MATCH(A35,'Time Card Data'!$AJ$2:$AJ$601,0)),"")</f>
        <v/>
      </c>
      <c r="C35" s="22" t="str">
        <f>IF($B35="","",IFERROR(INDEX('Time Card Data'!$B$2:$B$601,MATCH($B35,'Time Card Data'!$R$2:$R$601,0)),""))</f>
        <v/>
      </c>
      <c r="D35" s="25" t="str">
        <f>IF($B35="","",SUMIFS('Time Card Data'!$N$2:$N$601,'Time Card Data'!$R$2:$R$601,$B35,'Time Card Data'!$S$2:$S$601,1))</f>
        <v/>
      </c>
      <c r="E35" s="20" t="str">
        <f>IF($B35="","",SUMIFS('Time Card Data'!$O$2:$O$601,'Time Card Data'!$R$2:$R$601,$B35,'Time Card Data'!$S$2:$S$601,1))</f>
        <v/>
      </c>
      <c r="F35" s="20" t="str">
        <f>IF($B35="","",SUMIFS('Time Card Data'!$P$2:$P$601,'Time Card Data'!$R$2:$R$601,$B35,'Time Card Data'!$S$2:$S$601,1))</f>
        <v/>
      </c>
      <c r="G35" s="20" t="str">
        <f>IF($B35="","",SUMIFS('Time Card Data'!$X$2:$X$601,'Time Card Data'!$R$2:$R$601,$B35,'Time Card Data'!$S$2:$S$601,1))</f>
        <v/>
      </c>
      <c r="H35" s="20" t="str">
        <f>IF($B35="","",SUMIFS('Time Card Data'!$Y$2:$Y$601,'Time Card Data'!$R$2:$R$601,$B35,'Time Card Data'!$S$2:$S$601,1))</f>
        <v/>
      </c>
      <c r="I35" s="20" t="str">
        <f>IF($B35="","",SUMIFS('Time Card Data'!$AG$2:$AG$601,'Time Card Data'!$R$2:$R$601,$B35,'Time Card Data'!$S$2:$S$601,1))</f>
        <v/>
      </c>
      <c r="J35" s="20" t="str">
        <f t="shared" si="1"/>
        <v/>
      </c>
    </row>
    <row r="36" spans="1:10">
      <c r="A36" s="22">
        <v>35</v>
      </c>
      <c r="B36" s="22" t="str">
        <f>IFERROR(INDEX('Time Card Data'!$R$2:$R$601,MATCH(A36,'Time Card Data'!$AJ$2:$AJ$601,0)),"")</f>
        <v/>
      </c>
      <c r="C36" s="22" t="str">
        <f>IF($B36="","",IFERROR(INDEX('Time Card Data'!$B$2:$B$601,MATCH($B36,'Time Card Data'!$R$2:$R$601,0)),""))</f>
        <v/>
      </c>
      <c r="D36" s="25" t="str">
        <f>IF($B36="","",SUMIFS('Time Card Data'!$N$2:$N$601,'Time Card Data'!$R$2:$R$601,$B36,'Time Card Data'!$S$2:$S$601,1))</f>
        <v/>
      </c>
      <c r="E36" s="20" t="str">
        <f>IF($B36="","",SUMIFS('Time Card Data'!$O$2:$O$601,'Time Card Data'!$R$2:$R$601,$B36,'Time Card Data'!$S$2:$S$601,1))</f>
        <v/>
      </c>
      <c r="F36" s="20" t="str">
        <f>IF($B36="","",SUMIFS('Time Card Data'!$P$2:$P$601,'Time Card Data'!$R$2:$R$601,$B36,'Time Card Data'!$S$2:$S$601,1))</f>
        <v/>
      </c>
      <c r="G36" s="20" t="str">
        <f>IF($B36="","",SUMIFS('Time Card Data'!$X$2:$X$601,'Time Card Data'!$R$2:$R$601,$B36,'Time Card Data'!$S$2:$S$601,1))</f>
        <v/>
      </c>
      <c r="H36" s="20" t="str">
        <f>IF($B36="","",SUMIFS('Time Card Data'!$Y$2:$Y$601,'Time Card Data'!$R$2:$R$601,$B36,'Time Card Data'!$S$2:$S$601,1))</f>
        <v/>
      </c>
      <c r="I36" s="20" t="str">
        <f>IF($B36="","",SUMIFS('Time Card Data'!$AG$2:$AG$601,'Time Card Data'!$R$2:$R$601,$B36,'Time Card Data'!$S$2:$S$601,1))</f>
        <v/>
      </c>
      <c r="J36" s="20" t="str">
        <f t="shared" si="1"/>
        <v/>
      </c>
    </row>
    <row r="37" spans="1:10">
      <c r="A37" s="22">
        <v>36</v>
      </c>
      <c r="B37" s="22" t="str">
        <f>IFERROR(INDEX('Time Card Data'!$R$2:$R$601,MATCH(A37,'Time Card Data'!$AJ$2:$AJ$601,0)),"")</f>
        <v/>
      </c>
      <c r="C37" s="22" t="str">
        <f>IF($B37="","",IFERROR(INDEX('Time Card Data'!$B$2:$B$601,MATCH($B37,'Time Card Data'!$R$2:$R$601,0)),""))</f>
        <v/>
      </c>
      <c r="D37" s="25" t="str">
        <f>IF($B37="","",SUMIFS('Time Card Data'!$N$2:$N$601,'Time Card Data'!$R$2:$R$601,$B37,'Time Card Data'!$S$2:$S$601,1))</f>
        <v/>
      </c>
      <c r="E37" s="20" t="str">
        <f>IF($B37="","",SUMIFS('Time Card Data'!$O$2:$O$601,'Time Card Data'!$R$2:$R$601,$B37,'Time Card Data'!$S$2:$S$601,1))</f>
        <v/>
      </c>
      <c r="F37" s="20" t="str">
        <f>IF($B37="","",SUMIFS('Time Card Data'!$P$2:$P$601,'Time Card Data'!$R$2:$R$601,$B37,'Time Card Data'!$S$2:$S$601,1))</f>
        <v/>
      </c>
      <c r="G37" s="20" t="str">
        <f>IF($B37="","",SUMIFS('Time Card Data'!$X$2:$X$601,'Time Card Data'!$R$2:$R$601,$B37,'Time Card Data'!$S$2:$S$601,1))</f>
        <v/>
      </c>
      <c r="H37" s="20" t="str">
        <f>IF($B37="","",SUMIFS('Time Card Data'!$Y$2:$Y$601,'Time Card Data'!$R$2:$R$601,$B37,'Time Card Data'!$S$2:$S$601,1))</f>
        <v/>
      </c>
      <c r="I37" s="20" t="str">
        <f>IF($B37="","",SUMIFS('Time Card Data'!$AG$2:$AG$601,'Time Card Data'!$R$2:$R$601,$B37,'Time Card Data'!$S$2:$S$601,1))</f>
        <v/>
      </c>
      <c r="J37" s="20" t="str">
        <f t="shared" si="1"/>
        <v/>
      </c>
    </row>
    <row r="38" spans="1:10">
      <c r="A38" s="22">
        <v>37</v>
      </c>
      <c r="B38" s="22" t="str">
        <f>IFERROR(INDEX('Time Card Data'!$R$2:$R$601,MATCH(A38,'Time Card Data'!$AJ$2:$AJ$601,0)),"")</f>
        <v/>
      </c>
      <c r="C38" s="22" t="str">
        <f>IF($B38="","",IFERROR(INDEX('Time Card Data'!$B$2:$B$601,MATCH($B38,'Time Card Data'!$R$2:$R$601,0)),""))</f>
        <v/>
      </c>
      <c r="D38" s="25" t="str">
        <f>IF($B38="","",SUMIFS('Time Card Data'!$N$2:$N$601,'Time Card Data'!$R$2:$R$601,$B38,'Time Card Data'!$S$2:$S$601,1))</f>
        <v/>
      </c>
      <c r="E38" s="20" t="str">
        <f>IF($B38="","",SUMIFS('Time Card Data'!$O$2:$O$601,'Time Card Data'!$R$2:$R$601,$B38,'Time Card Data'!$S$2:$S$601,1))</f>
        <v/>
      </c>
      <c r="F38" s="20" t="str">
        <f>IF($B38="","",SUMIFS('Time Card Data'!$P$2:$P$601,'Time Card Data'!$R$2:$R$601,$B38,'Time Card Data'!$S$2:$S$601,1))</f>
        <v/>
      </c>
      <c r="G38" s="20" t="str">
        <f>IF($B38="","",SUMIFS('Time Card Data'!$X$2:$X$601,'Time Card Data'!$R$2:$R$601,$B38,'Time Card Data'!$S$2:$S$601,1))</f>
        <v/>
      </c>
      <c r="H38" s="20" t="str">
        <f>IF($B38="","",SUMIFS('Time Card Data'!$Y$2:$Y$601,'Time Card Data'!$R$2:$R$601,$B38,'Time Card Data'!$S$2:$S$601,1))</f>
        <v/>
      </c>
      <c r="I38" s="20" t="str">
        <f>IF($B38="","",SUMIFS('Time Card Data'!$AG$2:$AG$601,'Time Card Data'!$R$2:$R$601,$B38,'Time Card Data'!$S$2:$S$601,1))</f>
        <v/>
      </c>
      <c r="J38" s="20" t="str">
        <f t="shared" si="1"/>
        <v/>
      </c>
    </row>
    <row r="39" spans="1:10">
      <c r="A39" s="22">
        <v>38</v>
      </c>
      <c r="B39" s="22" t="str">
        <f>IFERROR(INDEX('Time Card Data'!$R$2:$R$601,MATCH(A39,'Time Card Data'!$AJ$2:$AJ$601,0)),"")</f>
        <v/>
      </c>
      <c r="C39" s="22" t="str">
        <f>IF($B39="","",IFERROR(INDEX('Time Card Data'!$B$2:$B$601,MATCH($B39,'Time Card Data'!$R$2:$R$601,0)),""))</f>
        <v/>
      </c>
      <c r="D39" s="25" t="str">
        <f>IF($B39="","",SUMIFS('Time Card Data'!$N$2:$N$601,'Time Card Data'!$R$2:$R$601,$B39,'Time Card Data'!$S$2:$S$601,1))</f>
        <v/>
      </c>
      <c r="E39" s="20" t="str">
        <f>IF($B39="","",SUMIFS('Time Card Data'!$O$2:$O$601,'Time Card Data'!$R$2:$R$601,$B39,'Time Card Data'!$S$2:$S$601,1))</f>
        <v/>
      </c>
      <c r="F39" s="20" t="str">
        <f>IF($B39="","",SUMIFS('Time Card Data'!$P$2:$P$601,'Time Card Data'!$R$2:$R$601,$B39,'Time Card Data'!$S$2:$S$601,1))</f>
        <v/>
      </c>
      <c r="G39" s="20" t="str">
        <f>IF($B39="","",SUMIFS('Time Card Data'!$X$2:$X$601,'Time Card Data'!$R$2:$R$601,$B39,'Time Card Data'!$S$2:$S$601,1))</f>
        <v/>
      </c>
      <c r="H39" s="20" t="str">
        <f>IF($B39="","",SUMIFS('Time Card Data'!$Y$2:$Y$601,'Time Card Data'!$R$2:$R$601,$B39,'Time Card Data'!$S$2:$S$601,1))</f>
        <v/>
      </c>
      <c r="I39" s="20" t="str">
        <f>IF($B39="","",SUMIFS('Time Card Data'!$AG$2:$AG$601,'Time Card Data'!$R$2:$R$601,$B39,'Time Card Data'!$S$2:$S$601,1))</f>
        <v/>
      </c>
      <c r="J39" s="20" t="str">
        <f t="shared" si="1"/>
        <v/>
      </c>
    </row>
    <row r="40" spans="1:10">
      <c r="A40" s="22">
        <v>39</v>
      </c>
      <c r="B40" s="22" t="str">
        <f>IFERROR(INDEX('Time Card Data'!$R$2:$R$601,MATCH(A40,'Time Card Data'!$AJ$2:$AJ$601,0)),"")</f>
        <v/>
      </c>
      <c r="C40" s="22" t="str">
        <f>IF($B40="","",IFERROR(INDEX('Time Card Data'!$B$2:$B$601,MATCH($B40,'Time Card Data'!$R$2:$R$601,0)),""))</f>
        <v/>
      </c>
      <c r="D40" s="25" t="str">
        <f>IF($B40="","",SUMIFS('Time Card Data'!$N$2:$N$601,'Time Card Data'!$R$2:$R$601,$B40,'Time Card Data'!$S$2:$S$601,1))</f>
        <v/>
      </c>
      <c r="E40" s="20" t="str">
        <f>IF($B40="","",SUMIFS('Time Card Data'!$O$2:$O$601,'Time Card Data'!$R$2:$R$601,$B40,'Time Card Data'!$S$2:$S$601,1))</f>
        <v/>
      </c>
      <c r="F40" s="20" t="str">
        <f>IF($B40="","",SUMIFS('Time Card Data'!$P$2:$P$601,'Time Card Data'!$R$2:$R$601,$B40,'Time Card Data'!$S$2:$S$601,1))</f>
        <v/>
      </c>
      <c r="G40" s="20" t="str">
        <f>IF($B40="","",SUMIFS('Time Card Data'!$X$2:$X$601,'Time Card Data'!$R$2:$R$601,$B40,'Time Card Data'!$S$2:$S$601,1))</f>
        <v/>
      </c>
      <c r="H40" s="20" t="str">
        <f>IF($B40="","",SUMIFS('Time Card Data'!$Y$2:$Y$601,'Time Card Data'!$R$2:$R$601,$B40,'Time Card Data'!$S$2:$S$601,1))</f>
        <v/>
      </c>
      <c r="I40" s="20" t="str">
        <f>IF($B40="","",SUMIFS('Time Card Data'!$AG$2:$AG$601,'Time Card Data'!$R$2:$R$601,$B40,'Time Card Data'!$S$2:$S$601,1))</f>
        <v/>
      </c>
      <c r="J40" s="20" t="str">
        <f t="shared" si="1"/>
        <v/>
      </c>
    </row>
    <row r="41" spans="1:10">
      <c r="A41" s="22">
        <v>40</v>
      </c>
      <c r="B41" s="22" t="str">
        <f>IFERROR(INDEX('Time Card Data'!$R$2:$R$601,MATCH(A41,'Time Card Data'!$AJ$2:$AJ$601,0)),"")</f>
        <v/>
      </c>
      <c r="C41" s="22" t="str">
        <f>IF($B41="","",IFERROR(INDEX('Time Card Data'!$B$2:$B$601,MATCH($B41,'Time Card Data'!$R$2:$R$601,0)),""))</f>
        <v/>
      </c>
      <c r="D41" s="25" t="str">
        <f>IF($B41="","",SUMIFS('Time Card Data'!$N$2:$N$601,'Time Card Data'!$R$2:$R$601,$B41,'Time Card Data'!$S$2:$S$601,1))</f>
        <v/>
      </c>
      <c r="E41" s="20" t="str">
        <f>IF($B41="","",SUMIFS('Time Card Data'!$O$2:$O$601,'Time Card Data'!$R$2:$R$601,$B41,'Time Card Data'!$S$2:$S$601,1))</f>
        <v/>
      </c>
      <c r="F41" s="20" t="str">
        <f>IF($B41="","",SUMIFS('Time Card Data'!$P$2:$P$601,'Time Card Data'!$R$2:$R$601,$B41,'Time Card Data'!$S$2:$S$601,1))</f>
        <v/>
      </c>
      <c r="G41" s="20" t="str">
        <f>IF($B41="","",SUMIFS('Time Card Data'!$X$2:$X$601,'Time Card Data'!$R$2:$R$601,$B41,'Time Card Data'!$S$2:$S$601,1))</f>
        <v/>
      </c>
      <c r="H41" s="20" t="str">
        <f>IF($B41="","",SUMIFS('Time Card Data'!$Y$2:$Y$601,'Time Card Data'!$R$2:$R$601,$B41,'Time Card Data'!$S$2:$S$601,1))</f>
        <v/>
      </c>
      <c r="I41" s="20" t="str">
        <f>IF($B41="","",SUMIFS('Time Card Data'!$AG$2:$AG$601,'Time Card Data'!$R$2:$R$601,$B41,'Time Card Data'!$S$2:$S$601,1))</f>
        <v/>
      </c>
      <c r="J41" s="20" t="str">
        <f t="shared" si="1"/>
        <v/>
      </c>
    </row>
    <row r="42" spans="1:10">
      <c r="A42" s="22">
        <v>41</v>
      </c>
      <c r="B42" s="22" t="str">
        <f>IFERROR(INDEX('Time Card Data'!$R$2:$R$601,MATCH(A42,'Time Card Data'!$AJ$2:$AJ$601,0)),"")</f>
        <v/>
      </c>
      <c r="C42" s="22" t="str">
        <f>IF($B42="","",IFERROR(INDEX('Time Card Data'!$B$2:$B$601,MATCH($B42,'Time Card Data'!$R$2:$R$601,0)),""))</f>
        <v/>
      </c>
      <c r="D42" s="25" t="str">
        <f>IF($B42="","",SUMIFS('Time Card Data'!$N$2:$N$601,'Time Card Data'!$R$2:$R$601,$B42,'Time Card Data'!$S$2:$S$601,1))</f>
        <v/>
      </c>
      <c r="E42" s="20" t="str">
        <f>IF($B42="","",SUMIFS('Time Card Data'!$O$2:$O$601,'Time Card Data'!$R$2:$R$601,$B42,'Time Card Data'!$S$2:$S$601,1))</f>
        <v/>
      </c>
      <c r="F42" s="20" t="str">
        <f>IF($B42="","",SUMIFS('Time Card Data'!$P$2:$P$601,'Time Card Data'!$R$2:$R$601,$B42,'Time Card Data'!$S$2:$S$601,1))</f>
        <v/>
      </c>
      <c r="G42" s="20" t="str">
        <f>IF($B42="","",SUMIFS('Time Card Data'!$X$2:$X$601,'Time Card Data'!$R$2:$R$601,$B42,'Time Card Data'!$S$2:$S$601,1))</f>
        <v/>
      </c>
      <c r="H42" s="20" t="str">
        <f>IF($B42="","",SUMIFS('Time Card Data'!$Y$2:$Y$601,'Time Card Data'!$R$2:$R$601,$B42,'Time Card Data'!$S$2:$S$601,1))</f>
        <v/>
      </c>
      <c r="I42" s="20" t="str">
        <f>IF($B42="","",SUMIFS('Time Card Data'!$AG$2:$AG$601,'Time Card Data'!$R$2:$R$601,$B42,'Time Card Data'!$S$2:$S$601,1))</f>
        <v/>
      </c>
      <c r="J42" s="20" t="str">
        <f t="shared" si="1"/>
        <v/>
      </c>
    </row>
    <row r="43" spans="1:10">
      <c r="A43" s="22">
        <v>42</v>
      </c>
      <c r="B43" s="22" t="str">
        <f>IFERROR(INDEX('Time Card Data'!$R$2:$R$601,MATCH(A43,'Time Card Data'!$AJ$2:$AJ$601,0)),"")</f>
        <v/>
      </c>
      <c r="C43" s="22" t="str">
        <f>IF($B43="","",IFERROR(INDEX('Time Card Data'!$B$2:$B$601,MATCH($B43,'Time Card Data'!$R$2:$R$601,0)),""))</f>
        <v/>
      </c>
      <c r="D43" s="25" t="str">
        <f>IF($B43="","",SUMIFS('Time Card Data'!$N$2:$N$601,'Time Card Data'!$R$2:$R$601,$B43,'Time Card Data'!$S$2:$S$601,1))</f>
        <v/>
      </c>
      <c r="E43" s="20" t="str">
        <f>IF($B43="","",SUMIFS('Time Card Data'!$O$2:$O$601,'Time Card Data'!$R$2:$R$601,$B43,'Time Card Data'!$S$2:$S$601,1))</f>
        <v/>
      </c>
      <c r="F43" s="20" t="str">
        <f>IF($B43="","",SUMIFS('Time Card Data'!$P$2:$P$601,'Time Card Data'!$R$2:$R$601,$B43,'Time Card Data'!$S$2:$S$601,1))</f>
        <v/>
      </c>
      <c r="G43" s="20" t="str">
        <f>IF($B43="","",SUMIFS('Time Card Data'!$X$2:$X$601,'Time Card Data'!$R$2:$R$601,$B43,'Time Card Data'!$S$2:$S$601,1))</f>
        <v/>
      </c>
      <c r="H43" s="20" t="str">
        <f>IF($B43="","",SUMIFS('Time Card Data'!$Y$2:$Y$601,'Time Card Data'!$R$2:$R$601,$B43,'Time Card Data'!$S$2:$S$601,1))</f>
        <v/>
      </c>
      <c r="I43" s="20" t="str">
        <f>IF($B43="","",SUMIFS('Time Card Data'!$AG$2:$AG$601,'Time Card Data'!$R$2:$R$601,$B43,'Time Card Data'!$S$2:$S$601,1))</f>
        <v/>
      </c>
      <c r="J43" s="20" t="str">
        <f t="shared" si="1"/>
        <v/>
      </c>
    </row>
    <row r="44" spans="1:10">
      <c r="A44" s="22">
        <v>43</v>
      </c>
      <c r="B44" s="22" t="str">
        <f>IFERROR(INDEX('Time Card Data'!$R$2:$R$601,MATCH(A44,'Time Card Data'!$AJ$2:$AJ$601,0)),"")</f>
        <v/>
      </c>
      <c r="C44" s="22" t="str">
        <f>IF($B44="","",IFERROR(INDEX('Time Card Data'!$B$2:$B$601,MATCH($B44,'Time Card Data'!$R$2:$R$601,0)),""))</f>
        <v/>
      </c>
      <c r="D44" s="25" t="str">
        <f>IF($B44="","",SUMIFS('Time Card Data'!$N$2:$N$601,'Time Card Data'!$R$2:$R$601,$B44,'Time Card Data'!$S$2:$S$601,1))</f>
        <v/>
      </c>
      <c r="E44" s="20" t="str">
        <f>IF($B44="","",SUMIFS('Time Card Data'!$O$2:$O$601,'Time Card Data'!$R$2:$R$601,$B44,'Time Card Data'!$S$2:$S$601,1))</f>
        <v/>
      </c>
      <c r="F44" s="20" t="str">
        <f>IF($B44="","",SUMIFS('Time Card Data'!$P$2:$P$601,'Time Card Data'!$R$2:$R$601,$B44,'Time Card Data'!$S$2:$S$601,1))</f>
        <v/>
      </c>
      <c r="G44" s="20" t="str">
        <f>IF($B44="","",SUMIFS('Time Card Data'!$X$2:$X$601,'Time Card Data'!$R$2:$R$601,$B44,'Time Card Data'!$S$2:$S$601,1))</f>
        <v/>
      </c>
      <c r="H44" s="20" t="str">
        <f>IF($B44="","",SUMIFS('Time Card Data'!$Y$2:$Y$601,'Time Card Data'!$R$2:$R$601,$B44,'Time Card Data'!$S$2:$S$601,1))</f>
        <v/>
      </c>
      <c r="I44" s="20" t="str">
        <f>IF($B44="","",SUMIFS('Time Card Data'!$AG$2:$AG$601,'Time Card Data'!$R$2:$R$601,$B44,'Time Card Data'!$S$2:$S$601,1))</f>
        <v/>
      </c>
      <c r="J44" s="20" t="str">
        <f t="shared" si="1"/>
        <v/>
      </c>
    </row>
    <row r="45" spans="1:10">
      <c r="A45" s="22">
        <v>44</v>
      </c>
      <c r="B45" s="22" t="str">
        <f>IFERROR(INDEX('Time Card Data'!$R$2:$R$601,MATCH(A45,'Time Card Data'!$AJ$2:$AJ$601,0)),"")</f>
        <v/>
      </c>
      <c r="C45" s="22" t="str">
        <f>IF($B45="","",IFERROR(INDEX('Time Card Data'!$B$2:$B$601,MATCH($B45,'Time Card Data'!$R$2:$R$601,0)),""))</f>
        <v/>
      </c>
      <c r="D45" s="25" t="str">
        <f>IF($B45="","",SUMIFS('Time Card Data'!$N$2:$N$601,'Time Card Data'!$R$2:$R$601,$B45,'Time Card Data'!$S$2:$S$601,1))</f>
        <v/>
      </c>
      <c r="E45" s="20" t="str">
        <f>IF($B45="","",SUMIFS('Time Card Data'!$O$2:$O$601,'Time Card Data'!$R$2:$R$601,$B45,'Time Card Data'!$S$2:$S$601,1))</f>
        <v/>
      </c>
      <c r="F45" s="20" t="str">
        <f>IF($B45="","",SUMIFS('Time Card Data'!$P$2:$P$601,'Time Card Data'!$R$2:$R$601,$B45,'Time Card Data'!$S$2:$S$601,1))</f>
        <v/>
      </c>
      <c r="G45" s="20" t="str">
        <f>IF($B45="","",SUMIFS('Time Card Data'!$X$2:$X$601,'Time Card Data'!$R$2:$R$601,$B45,'Time Card Data'!$S$2:$S$601,1))</f>
        <v/>
      </c>
      <c r="H45" s="20" t="str">
        <f>IF($B45="","",SUMIFS('Time Card Data'!$Y$2:$Y$601,'Time Card Data'!$R$2:$R$601,$B45,'Time Card Data'!$S$2:$S$601,1))</f>
        <v/>
      </c>
      <c r="I45" s="20" t="str">
        <f>IF($B45="","",SUMIFS('Time Card Data'!$AG$2:$AG$601,'Time Card Data'!$R$2:$R$601,$B45,'Time Card Data'!$S$2:$S$601,1))</f>
        <v/>
      </c>
      <c r="J45" s="20" t="str">
        <f t="shared" si="1"/>
        <v/>
      </c>
    </row>
    <row r="46" spans="1:10">
      <c r="A46" s="22">
        <v>45</v>
      </c>
      <c r="B46" s="22" t="str">
        <f>IFERROR(INDEX('Time Card Data'!$R$2:$R$601,MATCH(A46,'Time Card Data'!$AJ$2:$AJ$601,0)),"")</f>
        <v/>
      </c>
      <c r="C46" s="22" t="str">
        <f>IF($B46="","",IFERROR(INDEX('Time Card Data'!$B$2:$B$601,MATCH($B46,'Time Card Data'!$R$2:$R$601,0)),""))</f>
        <v/>
      </c>
      <c r="D46" s="25" t="str">
        <f>IF($B46="","",SUMIFS('Time Card Data'!$N$2:$N$601,'Time Card Data'!$R$2:$R$601,$B46,'Time Card Data'!$S$2:$S$601,1))</f>
        <v/>
      </c>
      <c r="E46" s="20" t="str">
        <f>IF($B46="","",SUMIFS('Time Card Data'!$O$2:$O$601,'Time Card Data'!$R$2:$R$601,$B46,'Time Card Data'!$S$2:$S$601,1))</f>
        <v/>
      </c>
      <c r="F46" s="20" t="str">
        <f>IF($B46="","",SUMIFS('Time Card Data'!$P$2:$P$601,'Time Card Data'!$R$2:$R$601,$B46,'Time Card Data'!$S$2:$S$601,1))</f>
        <v/>
      </c>
      <c r="G46" s="20" t="str">
        <f>IF($B46="","",SUMIFS('Time Card Data'!$X$2:$X$601,'Time Card Data'!$R$2:$R$601,$B46,'Time Card Data'!$S$2:$S$601,1))</f>
        <v/>
      </c>
      <c r="H46" s="20" t="str">
        <f>IF($B46="","",SUMIFS('Time Card Data'!$Y$2:$Y$601,'Time Card Data'!$R$2:$R$601,$B46,'Time Card Data'!$S$2:$S$601,1))</f>
        <v/>
      </c>
      <c r="I46" s="20" t="str">
        <f>IF($B46="","",SUMIFS('Time Card Data'!$AG$2:$AG$601,'Time Card Data'!$R$2:$R$601,$B46,'Time Card Data'!$S$2:$S$601,1))</f>
        <v/>
      </c>
      <c r="J46" s="20" t="str">
        <f t="shared" si="1"/>
        <v/>
      </c>
    </row>
    <row r="47" spans="1:10">
      <c r="A47" s="22">
        <v>46</v>
      </c>
      <c r="B47" s="22" t="str">
        <f>IFERROR(INDEX('Time Card Data'!$R$2:$R$601,MATCH(A47,'Time Card Data'!$AJ$2:$AJ$601,0)),"")</f>
        <v/>
      </c>
      <c r="C47" s="22" t="str">
        <f>IF($B47="","",IFERROR(INDEX('Time Card Data'!$B$2:$B$601,MATCH($B47,'Time Card Data'!$R$2:$R$601,0)),""))</f>
        <v/>
      </c>
      <c r="D47" s="25" t="str">
        <f>IF($B47="","",SUMIFS('Time Card Data'!$N$2:$N$601,'Time Card Data'!$R$2:$R$601,$B47,'Time Card Data'!$S$2:$S$601,1))</f>
        <v/>
      </c>
      <c r="E47" s="20" t="str">
        <f>IF($B47="","",SUMIFS('Time Card Data'!$O$2:$O$601,'Time Card Data'!$R$2:$R$601,$B47,'Time Card Data'!$S$2:$S$601,1))</f>
        <v/>
      </c>
      <c r="F47" s="20" t="str">
        <f>IF($B47="","",SUMIFS('Time Card Data'!$P$2:$P$601,'Time Card Data'!$R$2:$R$601,$B47,'Time Card Data'!$S$2:$S$601,1))</f>
        <v/>
      </c>
      <c r="G47" s="20" t="str">
        <f>IF($B47="","",SUMIFS('Time Card Data'!$X$2:$X$601,'Time Card Data'!$R$2:$R$601,$B47,'Time Card Data'!$S$2:$S$601,1))</f>
        <v/>
      </c>
      <c r="H47" s="20" t="str">
        <f>IF($B47="","",SUMIFS('Time Card Data'!$Y$2:$Y$601,'Time Card Data'!$R$2:$R$601,$B47,'Time Card Data'!$S$2:$S$601,1))</f>
        <v/>
      </c>
      <c r="I47" s="20" t="str">
        <f>IF($B47="","",SUMIFS('Time Card Data'!$AG$2:$AG$601,'Time Card Data'!$R$2:$R$601,$B47,'Time Card Data'!$S$2:$S$601,1))</f>
        <v/>
      </c>
      <c r="J47" s="20" t="str">
        <f t="shared" si="1"/>
        <v/>
      </c>
    </row>
    <row r="48" spans="1:10">
      <c r="A48" s="22">
        <v>47</v>
      </c>
      <c r="B48" s="22" t="str">
        <f>IFERROR(INDEX('Time Card Data'!$R$2:$R$601,MATCH(A48,'Time Card Data'!$AJ$2:$AJ$601,0)),"")</f>
        <v/>
      </c>
      <c r="C48" s="22" t="str">
        <f>IF($B48="","",IFERROR(INDEX('Time Card Data'!$B$2:$B$601,MATCH($B48,'Time Card Data'!$R$2:$R$601,0)),""))</f>
        <v/>
      </c>
      <c r="D48" s="25" t="str">
        <f>IF($B48="","",SUMIFS('Time Card Data'!$N$2:$N$601,'Time Card Data'!$R$2:$R$601,$B48,'Time Card Data'!$S$2:$S$601,1))</f>
        <v/>
      </c>
      <c r="E48" s="20" t="str">
        <f>IF($B48="","",SUMIFS('Time Card Data'!$O$2:$O$601,'Time Card Data'!$R$2:$R$601,$B48,'Time Card Data'!$S$2:$S$601,1))</f>
        <v/>
      </c>
      <c r="F48" s="20" t="str">
        <f>IF($B48="","",SUMIFS('Time Card Data'!$P$2:$P$601,'Time Card Data'!$R$2:$R$601,$B48,'Time Card Data'!$S$2:$S$601,1))</f>
        <v/>
      </c>
      <c r="G48" s="20" t="str">
        <f>IF($B48="","",SUMIFS('Time Card Data'!$X$2:$X$601,'Time Card Data'!$R$2:$R$601,$B48,'Time Card Data'!$S$2:$S$601,1))</f>
        <v/>
      </c>
      <c r="H48" s="20" t="str">
        <f>IF($B48="","",SUMIFS('Time Card Data'!$Y$2:$Y$601,'Time Card Data'!$R$2:$R$601,$B48,'Time Card Data'!$S$2:$S$601,1))</f>
        <v/>
      </c>
      <c r="I48" s="20" t="str">
        <f>IF($B48="","",SUMIFS('Time Card Data'!$AG$2:$AG$601,'Time Card Data'!$R$2:$R$601,$B48,'Time Card Data'!$S$2:$S$601,1))</f>
        <v/>
      </c>
      <c r="J48" s="20" t="str">
        <f t="shared" si="1"/>
        <v/>
      </c>
    </row>
    <row r="49" spans="1:10">
      <c r="A49" s="22">
        <v>48</v>
      </c>
      <c r="B49" s="22" t="str">
        <f>IFERROR(INDEX('Time Card Data'!$R$2:$R$601,MATCH(A49,'Time Card Data'!$AJ$2:$AJ$601,0)),"")</f>
        <v/>
      </c>
      <c r="C49" s="22" t="str">
        <f>IF($B49="","",IFERROR(INDEX('Time Card Data'!$B$2:$B$601,MATCH($B49,'Time Card Data'!$R$2:$R$601,0)),""))</f>
        <v/>
      </c>
      <c r="D49" s="25" t="str">
        <f>IF($B49="","",SUMIFS('Time Card Data'!$N$2:$N$601,'Time Card Data'!$R$2:$R$601,$B49,'Time Card Data'!$S$2:$S$601,1))</f>
        <v/>
      </c>
      <c r="E49" s="20" t="str">
        <f>IF($B49="","",SUMIFS('Time Card Data'!$O$2:$O$601,'Time Card Data'!$R$2:$R$601,$B49,'Time Card Data'!$S$2:$S$601,1))</f>
        <v/>
      </c>
      <c r="F49" s="20" t="str">
        <f>IF($B49="","",SUMIFS('Time Card Data'!$P$2:$P$601,'Time Card Data'!$R$2:$R$601,$B49,'Time Card Data'!$S$2:$S$601,1))</f>
        <v/>
      </c>
      <c r="G49" s="20" t="str">
        <f>IF($B49="","",SUMIFS('Time Card Data'!$X$2:$X$601,'Time Card Data'!$R$2:$R$601,$B49,'Time Card Data'!$S$2:$S$601,1))</f>
        <v/>
      </c>
      <c r="H49" s="20" t="str">
        <f>IF($B49="","",SUMIFS('Time Card Data'!$Y$2:$Y$601,'Time Card Data'!$R$2:$R$601,$B49,'Time Card Data'!$S$2:$S$601,1))</f>
        <v/>
      </c>
      <c r="I49" s="20" t="str">
        <f>IF($B49="","",SUMIFS('Time Card Data'!$AG$2:$AG$601,'Time Card Data'!$R$2:$R$601,$B49,'Time Card Data'!$S$2:$S$601,1))</f>
        <v/>
      </c>
      <c r="J49" s="20" t="str">
        <f t="shared" si="1"/>
        <v/>
      </c>
    </row>
    <row r="50" spans="1:10">
      <c r="A50" s="22">
        <v>49</v>
      </c>
      <c r="B50" s="22" t="str">
        <f>IFERROR(INDEX('Time Card Data'!$R$2:$R$601,MATCH(A50,'Time Card Data'!$AJ$2:$AJ$601,0)),"")</f>
        <v/>
      </c>
      <c r="C50" s="22" t="str">
        <f>IF($B50="","",IFERROR(INDEX('Time Card Data'!$B$2:$B$601,MATCH($B50,'Time Card Data'!$R$2:$R$601,0)),""))</f>
        <v/>
      </c>
      <c r="D50" s="25" t="str">
        <f>IF($B50="","",SUMIFS('Time Card Data'!$N$2:$N$601,'Time Card Data'!$R$2:$R$601,$B50,'Time Card Data'!$S$2:$S$601,1))</f>
        <v/>
      </c>
      <c r="E50" s="20" t="str">
        <f>IF($B50="","",SUMIFS('Time Card Data'!$O$2:$O$601,'Time Card Data'!$R$2:$R$601,$B50,'Time Card Data'!$S$2:$S$601,1))</f>
        <v/>
      </c>
      <c r="F50" s="20" t="str">
        <f>IF($B50="","",SUMIFS('Time Card Data'!$P$2:$P$601,'Time Card Data'!$R$2:$R$601,$B50,'Time Card Data'!$S$2:$S$601,1))</f>
        <v/>
      </c>
      <c r="G50" s="20" t="str">
        <f>IF($B50="","",SUMIFS('Time Card Data'!$X$2:$X$601,'Time Card Data'!$R$2:$R$601,$B50,'Time Card Data'!$S$2:$S$601,1))</f>
        <v/>
      </c>
      <c r="H50" s="20" t="str">
        <f>IF($B50="","",SUMIFS('Time Card Data'!$Y$2:$Y$601,'Time Card Data'!$R$2:$R$601,$B50,'Time Card Data'!$S$2:$S$601,1))</f>
        <v/>
      </c>
      <c r="I50" s="20" t="str">
        <f>IF($B50="","",SUMIFS('Time Card Data'!$AG$2:$AG$601,'Time Card Data'!$R$2:$R$601,$B50,'Time Card Data'!$S$2:$S$601,1))</f>
        <v/>
      </c>
      <c r="J50" s="20" t="str">
        <f t="shared" si="1"/>
        <v/>
      </c>
    </row>
    <row r="51" spans="1:10">
      <c r="A51" s="22">
        <v>50</v>
      </c>
      <c r="B51" s="22" t="str">
        <f>IFERROR(INDEX('Time Card Data'!$R$2:$R$601,MATCH(A51,'Time Card Data'!$AJ$2:$AJ$601,0)),"")</f>
        <v/>
      </c>
      <c r="C51" s="22" t="str">
        <f>IF($B51="","",IFERROR(INDEX('Time Card Data'!$B$2:$B$601,MATCH($B51,'Time Card Data'!$R$2:$R$601,0)),""))</f>
        <v/>
      </c>
      <c r="D51" s="25" t="str">
        <f>IF($B51="","",SUMIFS('Time Card Data'!$N$2:$N$601,'Time Card Data'!$R$2:$R$601,$B51,'Time Card Data'!$S$2:$S$601,1))</f>
        <v/>
      </c>
      <c r="E51" s="20" t="str">
        <f>IF($B51="","",SUMIFS('Time Card Data'!$O$2:$O$601,'Time Card Data'!$R$2:$R$601,$B51,'Time Card Data'!$S$2:$S$601,1))</f>
        <v/>
      </c>
      <c r="F51" s="20" t="str">
        <f>IF($B51="","",SUMIFS('Time Card Data'!$P$2:$P$601,'Time Card Data'!$R$2:$R$601,$B51,'Time Card Data'!$S$2:$S$601,1))</f>
        <v/>
      </c>
      <c r="G51" s="20" t="str">
        <f>IF($B51="","",SUMIFS('Time Card Data'!$X$2:$X$601,'Time Card Data'!$R$2:$R$601,$B51,'Time Card Data'!$S$2:$S$601,1))</f>
        <v/>
      </c>
      <c r="H51" s="20" t="str">
        <f>IF($B51="","",SUMIFS('Time Card Data'!$Y$2:$Y$601,'Time Card Data'!$R$2:$R$601,$B51,'Time Card Data'!$S$2:$S$601,1))</f>
        <v/>
      </c>
      <c r="I51" s="20" t="str">
        <f>IF($B51="","",SUMIFS('Time Card Data'!$AG$2:$AG$601,'Time Card Data'!$R$2:$R$601,$B51,'Time Card Data'!$S$2:$S$601,1))</f>
        <v/>
      </c>
      <c r="J51" s="20" t="str">
        <f t="shared" si="1"/>
        <v/>
      </c>
    </row>
    <row r="52" spans="1:10">
      <c r="A52" s="22">
        <v>51</v>
      </c>
      <c r="B52" s="22" t="str">
        <f>IFERROR(INDEX('Time Card Data'!$R$2:$R$601,MATCH(A52,'Time Card Data'!$AJ$2:$AJ$601,0)),"")</f>
        <v/>
      </c>
      <c r="C52" s="22" t="str">
        <f>IF($B52="","",IFERROR(INDEX('Time Card Data'!$B$2:$B$601,MATCH($B52,'Time Card Data'!$R$2:$R$601,0)),""))</f>
        <v/>
      </c>
      <c r="D52" s="25" t="str">
        <f>IF($B52="","",SUMIFS('Time Card Data'!$N$2:$N$601,'Time Card Data'!$R$2:$R$601,$B52,'Time Card Data'!$S$2:$S$601,1))</f>
        <v/>
      </c>
      <c r="E52" s="20" t="str">
        <f>IF($B52="","",SUMIFS('Time Card Data'!$O$2:$O$601,'Time Card Data'!$R$2:$R$601,$B52,'Time Card Data'!$S$2:$S$601,1))</f>
        <v/>
      </c>
      <c r="F52" s="20" t="str">
        <f>IF($B52="","",SUMIFS('Time Card Data'!$P$2:$P$601,'Time Card Data'!$R$2:$R$601,$B52,'Time Card Data'!$S$2:$S$601,1))</f>
        <v/>
      </c>
      <c r="G52" s="20" t="str">
        <f>IF($B52="","",SUMIFS('Time Card Data'!$X$2:$X$601,'Time Card Data'!$R$2:$R$601,$B52,'Time Card Data'!$S$2:$S$601,1))</f>
        <v/>
      </c>
      <c r="H52" s="20" t="str">
        <f>IF($B52="","",SUMIFS('Time Card Data'!$Y$2:$Y$601,'Time Card Data'!$R$2:$R$601,$B52,'Time Card Data'!$S$2:$S$601,1))</f>
        <v/>
      </c>
      <c r="I52" s="20" t="str">
        <f>IF($B52="","",SUMIFS('Time Card Data'!$AG$2:$AG$601,'Time Card Data'!$R$2:$R$601,$B52,'Time Card Data'!$S$2:$S$601,1))</f>
        <v/>
      </c>
      <c r="J52" s="20" t="str">
        <f t="shared" si="1"/>
        <v/>
      </c>
    </row>
    <row r="53" spans="1:10">
      <c r="A53" s="22">
        <v>52</v>
      </c>
      <c r="B53" s="22" t="str">
        <f>IFERROR(INDEX('Time Card Data'!$R$2:$R$601,MATCH(A53,'Time Card Data'!$AJ$2:$AJ$601,0)),"")</f>
        <v/>
      </c>
      <c r="C53" s="22" t="str">
        <f>IF($B53="","",IFERROR(INDEX('Time Card Data'!$B$2:$B$601,MATCH($B53,'Time Card Data'!$R$2:$R$601,0)),""))</f>
        <v/>
      </c>
      <c r="D53" s="25" t="str">
        <f>IF($B53="","",SUMIFS('Time Card Data'!$N$2:$N$601,'Time Card Data'!$R$2:$R$601,$B53,'Time Card Data'!$S$2:$S$601,1))</f>
        <v/>
      </c>
      <c r="E53" s="20" t="str">
        <f>IF($B53="","",SUMIFS('Time Card Data'!$O$2:$O$601,'Time Card Data'!$R$2:$R$601,$B53,'Time Card Data'!$S$2:$S$601,1))</f>
        <v/>
      </c>
      <c r="F53" s="20" t="str">
        <f>IF($B53="","",SUMIFS('Time Card Data'!$P$2:$P$601,'Time Card Data'!$R$2:$R$601,$B53,'Time Card Data'!$S$2:$S$601,1))</f>
        <v/>
      </c>
      <c r="G53" s="20" t="str">
        <f>IF($B53="","",SUMIFS('Time Card Data'!$X$2:$X$601,'Time Card Data'!$R$2:$R$601,$B53,'Time Card Data'!$S$2:$S$601,1))</f>
        <v/>
      </c>
      <c r="H53" s="20" t="str">
        <f>IF($B53="","",SUMIFS('Time Card Data'!$Y$2:$Y$601,'Time Card Data'!$R$2:$R$601,$B53,'Time Card Data'!$S$2:$S$601,1))</f>
        <v/>
      </c>
      <c r="I53" s="20" t="str">
        <f>IF($B53="","",SUMIFS('Time Card Data'!$AG$2:$AG$601,'Time Card Data'!$R$2:$R$601,$B53,'Time Card Data'!$S$2:$S$601,1))</f>
        <v/>
      </c>
      <c r="J53" s="20" t="str">
        <f t="shared" si="1"/>
        <v/>
      </c>
    </row>
    <row r="54" spans="1:10">
      <c r="A54" s="22">
        <v>53</v>
      </c>
      <c r="B54" s="22" t="str">
        <f>IFERROR(INDEX('Time Card Data'!$R$2:$R$601,MATCH(A54,'Time Card Data'!$AJ$2:$AJ$601,0)),"")</f>
        <v/>
      </c>
      <c r="C54" s="22" t="str">
        <f>IF($B54="","",IFERROR(INDEX('Time Card Data'!$B$2:$B$601,MATCH($B54,'Time Card Data'!$R$2:$R$601,0)),""))</f>
        <v/>
      </c>
      <c r="D54" s="25" t="str">
        <f>IF($B54="","",SUMIFS('Time Card Data'!$N$2:$N$601,'Time Card Data'!$R$2:$R$601,$B54,'Time Card Data'!$S$2:$S$601,1))</f>
        <v/>
      </c>
      <c r="E54" s="20" t="str">
        <f>IF($B54="","",SUMIFS('Time Card Data'!$O$2:$O$601,'Time Card Data'!$R$2:$R$601,$B54,'Time Card Data'!$S$2:$S$601,1))</f>
        <v/>
      </c>
      <c r="F54" s="20" t="str">
        <f>IF($B54="","",SUMIFS('Time Card Data'!$P$2:$P$601,'Time Card Data'!$R$2:$R$601,$B54,'Time Card Data'!$S$2:$S$601,1))</f>
        <v/>
      </c>
      <c r="G54" s="20" t="str">
        <f>IF($B54="","",SUMIFS('Time Card Data'!$X$2:$X$601,'Time Card Data'!$R$2:$R$601,$B54,'Time Card Data'!$S$2:$S$601,1))</f>
        <v/>
      </c>
      <c r="H54" s="20" t="str">
        <f>IF($B54="","",SUMIFS('Time Card Data'!$Y$2:$Y$601,'Time Card Data'!$R$2:$R$601,$B54,'Time Card Data'!$S$2:$S$601,1))</f>
        <v/>
      </c>
      <c r="I54" s="20" t="str">
        <f>IF($B54="","",SUMIFS('Time Card Data'!$AG$2:$AG$601,'Time Card Data'!$R$2:$R$601,$B54,'Time Card Data'!$S$2:$S$601,1))</f>
        <v/>
      </c>
      <c r="J54" s="20" t="str">
        <f t="shared" si="1"/>
        <v/>
      </c>
    </row>
    <row r="55" spans="1:10">
      <c r="A55" s="22">
        <v>54</v>
      </c>
      <c r="B55" s="22" t="str">
        <f>IFERROR(INDEX('Time Card Data'!$R$2:$R$601,MATCH(A55,'Time Card Data'!$AJ$2:$AJ$601,0)),"")</f>
        <v/>
      </c>
      <c r="C55" s="22" t="str">
        <f>IF($B55="","",IFERROR(INDEX('Time Card Data'!$B$2:$B$601,MATCH($B55,'Time Card Data'!$R$2:$R$601,0)),""))</f>
        <v/>
      </c>
      <c r="D55" s="25" t="str">
        <f>IF($B55="","",SUMIFS('Time Card Data'!$N$2:$N$601,'Time Card Data'!$R$2:$R$601,$B55,'Time Card Data'!$S$2:$S$601,1))</f>
        <v/>
      </c>
      <c r="E55" s="20" t="str">
        <f>IF($B55="","",SUMIFS('Time Card Data'!$O$2:$O$601,'Time Card Data'!$R$2:$R$601,$B55,'Time Card Data'!$S$2:$S$601,1))</f>
        <v/>
      </c>
      <c r="F55" s="20" t="str">
        <f>IF($B55="","",SUMIFS('Time Card Data'!$P$2:$P$601,'Time Card Data'!$R$2:$R$601,$B55,'Time Card Data'!$S$2:$S$601,1))</f>
        <v/>
      </c>
      <c r="G55" s="20" t="str">
        <f>IF($B55="","",SUMIFS('Time Card Data'!$X$2:$X$601,'Time Card Data'!$R$2:$R$601,$B55,'Time Card Data'!$S$2:$S$601,1))</f>
        <v/>
      </c>
      <c r="H55" s="20" t="str">
        <f>IF($B55="","",SUMIFS('Time Card Data'!$Y$2:$Y$601,'Time Card Data'!$R$2:$R$601,$B55,'Time Card Data'!$S$2:$S$601,1))</f>
        <v/>
      </c>
      <c r="I55" s="20" t="str">
        <f>IF($B55="","",SUMIFS('Time Card Data'!$AG$2:$AG$601,'Time Card Data'!$R$2:$R$601,$B55,'Time Card Data'!$S$2:$S$601,1))</f>
        <v/>
      </c>
      <c r="J55" s="20" t="str">
        <f t="shared" si="1"/>
        <v/>
      </c>
    </row>
    <row r="56" spans="1:10">
      <c r="A56" s="22">
        <v>55</v>
      </c>
      <c r="B56" s="22" t="str">
        <f>IFERROR(INDEX('Time Card Data'!$R$2:$R$601,MATCH(A56,'Time Card Data'!$AJ$2:$AJ$601,0)),"")</f>
        <v/>
      </c>
      <c r="C56" s="22" t="str">
        <f>IF($B56="","",IFERROR(INDEX('Time Card Data'!$B$2:$B$601,MATCH($B56,'Time Card Data'!$R$2:$R$601,0)),""))</f>
        <v/>
      </c>
      <c r="D56" s="25" t="str">
        <f>IF($B56="","",SUMIFS('Time Card Data'!$N$2:$N$601,'Time Card Data'!$R$2:$R$601,$B56,'Time Card Data'!$S$2:$S$601,1))</f>
        <v/>
      </c>
      <c r="E56" s="20" t="str">
        <f>IF($B56="","",SUMIFS('Time Card Data'!$O$2:$O$601,'Time Card Data'!$R$2:$R$601,$B56,'Time Card Data'!$S$2:$S$601,1))</f>
        <v/>
      </c>
      <c r="F56" s="20" t="str">
        <f>IF($B56="","",SUMIFS('Time Card Data'!$P$2:$P$601,'Time Card Data'!$R$2:$R$601,$B56,'Time Card Data'!$S$2:$S$601,1))</f>
        <v/>
      </c>
      <c r="G56" s="20" t="str">
        <f>IF($B56="","",SUMIFS('Time Card Data'!$X$2:$X$601,'Time Card Data'!$R$2:$R$601,$B56,'Time Card Data'!$S$2:$S$601,1))</f>
        <v/>
      </c>
      <c r="H56" s="20" t="str">
        <f>IF($B56="","",SUMIFS('Time Card Data'!$Y$2:$Y$601,'Time Card Data'!$R$2:$R$601,$B56,'Time Card Data'!$S$2:$S$601,1))</f>
        <v/>
      </c>
      <c r="I56" s="20" t="str">
        <f>IF($B56="","",SUMIFS('Time Card Data'!$AG$2:$AG$601,'Time Card Data'!$R$2:$R$601,$B56,'Time Card Data'!$S$2:$S$601,1))</f>
        <v/>
      </c>
      <c r="J56" s="20" t="str">
        <f t="shared" si="1"/>
        <v/>
      </c>
    </row>
    <row r="57" spans="1:10">
      <c r="A57" s="22">
        <v>56</v>
      </c>
      <c r="B57" s="22" t="str">
        <f>IFERROR(INDEX('Time Card Data'!$R$2:$R$601,MATCH(A57,'Time Card Data'!$AJ$2:$AJ$601,0)),"")</f>
        <v/>
      </c>
      <c r="C57" s="22" t="str">
        <f>IF($B57="","",IFERROR(INDEX('Time Card Data'!$B$2:$B$601,MATCH($B57,'Time Card Data'!$R$2:$R$601,0)),""))</f>
        <v/>
      </c>
      <c r="D57" s="25" t="str">
        <f>IF($B57="","",SUMIFS('Time Card Data'!$N$2:$N$601,'Time Card Data'!$R$2:$R$601,$B57,'Time Card Data'!$S$2:$S$601,1))</f>
        <v/>
      </c>
      <c r="E57" s="20" t="str">
        <f>IF($B57="","",SUMIFS('Time Card Data'!$O$2:$O$601,'Time Card Data'!$R$2:$R$601,$B57,'Time Card Data'!$S$2:$S$601,1))</f>
        <v/>
      </c>
      <c r="F57" s="20" t="str">
        <f>IF($B57="","",SUMIFS('Time Card Data'!$P$2:$P$601,'Time Card Data'!$R$2:$R$601,$B57,'Time Card Data'!$S$2:$S$601,1))</f>
        <v/>
      </c>
      <c r="G57" s="20" t="str">
        <f>IF($B57="","",SUMIFS('Time Card Data'!$X$2:$X$601,'Time Card Data'!$R$2:$R$601,$B57,'Time Card Data'!$S$2:$S$601,1))</f>
        <v/>
      </c>
      <c r="H57" s="20" t="str">
        <f>IF($B57="","",SUMIFS('Time Card Data'!$Y$2:$Y$601,'Time Card Data'!$R$2:$R$601,$B57,'Time Card Data'!$S$2:$S$601,1))</f>
        <v/>
      </c>
      <c r="I57" s="20" t="str">
        <f>IF($B57="","",SUMIFS('Time Card Data'!$AG$2:$AG$601,'Time Card Data'!$R$2:$R$601,$B57,'Time Card Data'!$S$2:$S$601,1))</f>
        <v/>
      </c>
      <c r="J57" s="20" t="str">
        <f t="shared" si="1"/>
        <v/>
      </c>
    </row>
    <row r="58" spans="1:10">
      <c r="A58" s="22">
        <v>57</v>
      </c>
      <c r="B58" s="22" t="str">
        <f>IFERROR(INDEX('Time Card Data'!$R$2:$R$601,MATCH(A58,'Time Card Data'!$AJ$2:$AJ$601,0)),"")</f>
        <v/>
      </c>
      <c r="C58" s="22" t="str">
        <f>IF($B58="","",IFERROR(INDEX('Time Card Data'!$B$2:$B$601,MATCH($B58,'Time Card Data'!$R$2:$R$601,0)),""))</f>
        <v/>
      </c>
      <c r="D58" s="25" t="str">
        <f>IF($B58="","",SUMIFS('Time Card Data'!$N$2:$N$601,'Time Card Data'!$R$2:$R$601,$B58,'Time Card Data'!$S$2:$S$601,1))</f>
        <v/>
      </c>
      <c r="E58" s="20" t="str">
        <f>IF($B58="","",SUMIFS('Time Card Data'!$O$2:$O$601,'Time Card Data'!$R$2:$R$601,$B58,'Time Card Data'!$S$2:$S$601,1))</f>
        <v/>
      </c>
      <c r="F58" s="20" t="str">
        <f>IF($B58="","",SUMIFS('Time Card Data'!$P$2:$P$601,'Time Card Data'!$R$2:$R$601,$B58,'Time Card Data'!$S$2:$S$601,1))</f>
        <v/>
      </c>
      <c r="G58" s="20" t="str">
        <f>IF($B58="","",SUMIFS('Time Card Data'!$X$2:$X$601,'Time Card Data'!$R$2:$R$601,$B58,'Time Card Data'!$S$2:$S$601,1))</f>
        <v/>
      </c>
      <c r="H58" s="20" t="str">
        <f>IF($B58="","",SUMIFS('Time Card Data'!$Y$2:$Y$601,'Time Card Data'!$R$2:$R$601,$B58,'Time Card Data'!$S$2:$S$601,1))</f>
        <v/>
      </c>
      <c r="I58" s="20" t="str">
        <f>IF($B58="","",SUMIFS('Time Card Data'!$AG$2:$AG$601,'Time Card Data'!$R$2:$R$601,$B58,'Time Card Data'!$S$2:$S$601,1))</f>
        <v/>
      </c>
      <c r="J58" s="20" t="str">
        <f t="shared" si="1"/>
        <v/>
      </c>
    </row>
    <row r="59" spans="1:10">
      <c r="A59" s="22">
        <v>58</v>
      </c>
      <c r="B59" s="22" t="str">
        <f>IFERROR(INDEX('Time Card Data'!$R$2:$R$601,MATCH(A59,'Time Card Data'!$AJ$2:$AJ$601,0)),"")</f>
        <v/>
      </c>
      <c r="C59" s="22" t="str">
        <f>IF($B59="","",IFERROR(INDEX('Time Card Data'!$B$2:$B$601,MATCH($B59,'Time Card Data'!$R$2:$R$601,0)),""))</f>
        <v/>
      </c>
      <c r="D59" s="25" t="str">
        <f>IF($B59="","",SUMIFS('Time Card Data'!$N$2:$N$601,'Time Card Data'!$R$2:$R$601,$B59,'Time Card Data'!$S$2:$S$601,1))</f>
        <v/>
      </c>
      <c r="E59" s="20" t="str">
        <f>IF($B59="","",SUMIFS('Time Card Data'!$O$2:$O$601,'Time Card Data'!$R$2:$R$601,$B59,'Time Card Data'!$S$2:$S$601,1))</f>
        <v/>
      </c>
      <c r="F59" s="20" t="str">
        <f>IF($B59="","",SUMIFS('Time Card Data'!$P$2:$P$601,'Time Card Data'!$R$2:$R$601,$B59,'Time Card Data'!$S$2:$S$601,1))</f>
        <v/>
      </c>
      <c r="G59" s="20" t="str">
        <f>IF($B59="","",SUMIFS('Time Card Data'!$X$2:$X$601,'Time Card Data'!$R$2:$R$601,$B59,'Time Card Data'!$S$2:$S$601,1))</f>
        <v/>
      </c>
      <c r="H59" s="20" t="str">
        <f>IF($B59="","",SUMIFS('Time Card Data'!$Y$2:$Y$601,'Time Card Data'!$R$2:$R$601,$B59,'Time Card Data'!$S$2:$S$601,1))</f>
        <v/>
      </c>
      <c r="I59" s="20" t="str">
        <f>IF($B59="","",SUMIFS('Time Card Data'!$AG$2:$AG$601,'Time Card Data'!$R$2:$R$601,$B59,'Time Card Data'!$S$2:$S$601,1))</f>
        <v/>
      </c>
      <c r="J59" s="20" t="str">
        <f t="shared" si="1"/>
        <v/>
      </c>
    </row>
    <row r="60" spans="1:10">
      <c r="A60" s="22">
        <v>59</v>
      </c>
      <c r="B60" s="22" t="str">
        <f>IFERROR(INDEX('Time Card Data'!$R$2:$R$601,MATCH(A60,'Time Card Data'!$AJ$2:$AJ$601,0)),"")</f>
        <v/>
      </c>
      <c r="C60" s="22" t="str">
        <f>IF($B60="","",IFERROR(INDEX('Time Card Data'!$B$2:$B$601,MATCH($B60,'Time Card Data'!$R$2:$R$601,0)),""))</f>
        <v/>
      </c>
      <c r="D60" s="25" t="str">
        <f>IF($B60="","",SUMIFS('Time Card Data'!$N$2:$N$601,'Time Card Data'!$R$2:$R$601,$B60,'Time Card Data'!$S$2:$S$601,1))</f>
        <v/>
      </c>
      <c r="E60" s="20" t="str">
        <f>IF($B60="","",SUMIFS('Time Card Data'!$O$2:$O$601,'Time Card Data'!$R$2:$R$601,$B60,'Time Card Data'!$S$2:$S$601,1))</f>
        <v/>
      </c>
      <c r="F60" s="20" t="str">
        <f>IF($B60="","",SUMIFS('Time Card Data'!$P$2:$P$601,'Time Card Data'!$R$2:$R$601,$B60,'Time Card Data'!$S$2:$S$601,1))</f>
        <v/>
      </c>
      <c r="G60" s="20" t="str">
        <f>IF($B60="","",SUMIFS('Time Card Data'!$X$2:$X$601,'Time Card Data'!$R$2:$R$601,$B60,'Time Card Data'!$S$2:$S$601,1))</f>
        <v/>
      </c>
      <c r="H60" s="20" t="str">
        <f>IF($B60="","",SUMIFS('Time Card Data'!$Y$2:$Y$601,'Time Card Data'!$R$2:$R$601,$B60,'Time Card Data'!$S$2:$S$601,1))</f>
        <v/>
      </c>
      <c r="I60" s="20" t="str">
        <f>IF($B60="","",SUMIFS('Time Card Data'!$AG$2:$AG$601,'Time Card Data'!$R$2:$R$601,$B60,'Time Card Data'!$S$2:$S$601,1))</f>
        <v/>
      </c>
      <c r="J60" s="20" t="str">
        <f t="shared" si="1"/>
        <v/>
      </c>
    </row>
    <row r="61" spans="1:10">
      <c r="A61" s="22">
        <v>60</v>
      </c>
      <c r="B61" s="22" t="str">
        <f>IFERROR(INDEX('Time Card Data'!$R$2:$R$601,MATCH(A61,'Time Card Data'!$AJ$2:$AJ$601,0)),"")</f>
        <v/>
      </c>
      <c r="C61" s="22" t="str">
        <f>IF($B61="","",IFERROR(INDEX('Time Card Data'!$B$2:$B$601,MATCH($B61,'Time Card Data'!$R$2:$R$601,0)),""))</f>
        <v/>
      </c>
      <c r="D61" s="25" t="str">
        <f>IF($B61="","",SUMIFS('Time Card Data'!$N$2:$N$601,'Time Card Data'!$R$2:$R$601,$B61,'Time Card Data'!$S$2:$S$601,1))</f>
        <v/>
      </c>
      <c r="E61" s="20" t="str">
        <f>IF($B61="","",SUMIFS('Time Card Data'!$O$2:$O$601,'Time Card Data'!$R$2:$R$601,$B61,'Time Card Data'!$S$2:$S$601,1))</f>
        <v/>
      </c>
      <c r="F61" s="20" t="str">
        <f>IF($B61="","",SUMIFS('Time Card Data'!$P$2:$P$601,'Time Card Data'!$R$2:$R$601,$B61,'Time Card Data'!$S$2:$S$601,1))</f>
        <v/>
      </c>
      <c r="G61" s="20" t="str">
        <f>IF($B61="","",SUMIFS('Time Card Data'!$X$2:$X$601,'Time Card Data'!$R$2:$R$601,$B61,'Time Card Data'!$S$2:$S$601,1))</f>
        <v/>
      </c>
      <c r="H61" s="20" t="str">
        <f>IF($B61="","",SUMIFS('Time Card Data'!$Y$2:$Y$601,'Time Card Data'!$R$2:$R$601,$B61,'Time Card Data'!$S$2:$S$601,1))</f>
        <v/>
      </c>
      <c r="I61" s="20" t="str">
        <f>IF($B61="","",SUMIFS('Time Card Data'!$AG$2:$AG$601,'Time Card Data'!$R$2:$R$601,$B61,'Time Card Data'!$S$2:$S$601,1))</f>
        <v/>
      </c>
      <c r="J61" s="20" t="str">
        <f t="shared" si="1"/>
        <v/>
      </c>
    </row>
    <row r="63" spans="1:10">
      <c r="A63" s="26"/>
      <c r="B63" s="23" t="s">
        <v>96</v>
      </c>
      <c r="E63" s="24">
        <f t="shared" ref="E63:J63" si="2">SUM(E2:E61)</f>
        <v>14712.1</v>
      </c>
      <c r="F63" s="24">
        <f t="shared" si="2"/>
        <v>2821.0899999999997</v>
      </c>
      <c r="G63" s="24">
        <f t="shared" si="2"/>
        <v>1670.0499999999997</v>
      </c>
      <c r="H63" s="24">
        <f t="shared" si="2"/>
        <v>1151.04</v>
      </c>
      <c r="I63" s="24">
        <f t="shared" si="2"/>
        <v>1670.0500000000002</v>
      </c>
      <c r="J63" s="24">
        <f t="shared" si="2"/>
        <v>2821.0899999999997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Yahya Qureshi</cp:lastModifiedBy>
  <cp:revision>0</cp:revision>
  <dcterms:created xsi:type="dcterms:W3CDTF">2026-09-23T10:57:27Z</dcterms:created>
  <dcterms:modified xsi:type="dcterms:W3CDTF">2026-09-25T05:38:12Z</dcterms:modified>
  <cp:category/>
  <cp:contentStatus/>
</cp:coreProperties>
</file>