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hyaQureshi\Downloads\"/>
    </mc:Choice>
  </mc:AlternateContent>
  <xr:revisionPtr revIDLastSave="0" documentId="13_ncr:1_{E094DE52-CC80-4917-9AAA-52E76B0F130C}" xr6:coauthVersionLast="47" xr6:coauthVersionMax="47" xr10:uidLastSave="{00000000-0000-0000-0000-000000000000}"/>
  <bookViews>
    <workbookView xWindow="-108" yWindow="-108" windowWidth="23256" windowHeight="14616" tabRatio="500" xr2:uid="{00000000-000D-0000-FFFF-FFFF00000000}"/>
  </bookViews>
  <sheets>
    <sheet name="Template" sheetId="1" r:id="rId1"/>
    <sheet name="13 - 26 July" sheetId="2" r:id="rId2"/>
    <sheet name=" 7-20-Sep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64" i="2" l="1"/>
  <c r="A264" i="2"/>
  <c r="F263" i="2"/>
  <c r="A263" i="2"/>
  <c r="F262" i="2"/>
  <c r="A262" i="2"/>
  <c r="F261" i="2"/>
  <c r="A261" i="2"/>
  <c r="F260" i="2"/>
  <c r="A260" i="2"/>
  <c r="F259" i="2"/>
  <c r="A259" i="2"/>
  <c r="F258" i="2"/>
  <c r="A258" i="2"/>
  <c r="D254" i="2"/>
  <c r="D253" i="2"/>
  <c r="D255" i="2" s="1"/>
  <c r="F245" i="2"/>
  <c r="A245" i="2"/>
  <c r="F244" i="2"/>
  <c r="A244" i="2"/>
  <c r="F243" i="2"/>
  <c r="A243" i="2"/>
  <c r="F242" i="2"/>
  <c r="A242" i="2"/>
  <c r="F241" i="2"/>
  <c r="A241" i="2"/>
  <c r="F240" i="2"/>
  <c r="A240" i="2"/>
  <c r="F239" i="2"/>
  <c r="A239" i="2"/>
  <c r="D235" i="2"/>
  <c r="D236" i="2" s="1"/>
  <c r="D234" i="2"/>
  <c r="H226" i="2"/>
  <c r="F226" i="2"/>
  <c r="A226" i="2"/>
  <c r="F225" i="2"/>
  <c r="A225" i="2"/>
  <c r="F224" i="2"/>
  <c r="A224" i="2"/>
  <c r="F223" i="2"/>
  <c r="A223" i="2"/>
  <c r="F222" i="2"/>
  <c r="A222" i="2"/>
  <c r="F221" i="2"/>
  <c r="A221" i="2"/>
  <c r="F220" i="2"/>
  <c r="A220" i="2"/>
  <c r="D216" i="2"/>
  <c r="D217" i="2" s="1"/>
  <c r="D215" i="2"/>
  <c r="F207" i="2"/>
  <c r="A207" i="2"/>
  <c r="H206" i="2"/>
  <c r="F206" i="2"/>
  <c r="A206" i="2"/>
  <c r="F205" i="2"/>
  <c r="A205" i="2"/>
  <c r="F204" i="2"/>
  <c r="A204" i="2"/>
  <c r="F203" i="2"/>
  <c r="A203" i="2"/>
  <c r="F202" i="2"/>
  <c r="A202" i="2"/>
  <c r="F201" i="2"/>
  <c r="A201" i="2"/>
  <c r="D197" i="2"/>
  <c r="D198" i="2" s="1"/>
  <c r="D196" i="2"/>
  <c r="F188" i="2"/>
  <c r="A188" i="2"/>
  <c r="I187" i="2"/>
  <c r="F187" i="2"/>
  <c r="A187" i="2"/>
  <c r="H186" i="2"/>
  <c r="F186" i="2"/>
  <c r="A186" i="2"/>
  <c r="F185" i="2"/>
  <c r="A185" i="2"/>
  <c r="F184" i="2"/>
  <c r="A184" i="2"/>
  <c r="F183" i="2"/>
  <c r="A183" i="2"/>
  <c r="F182" i="2"/>
  <c r="A182" i="2"/>
  <c r="D178" i="2"/>
  <c r="D177" i="2"/>
  <c r="D179" i="2" s="1"/>
  <c r="F169" i="2"/>
  <c r="A169" i="2"/>
  <c r="F168" i="2"/>
  <c r="A168" i="2"/>
  <c r="F167" i="2"/>
  <c r="A167" i="2"/>
  <c r="H166" i="2"/>
  <c r="F166" i="2"/>
  <c r="A166" i="2"/>
  <c r="F165" i="2"/>
  <c r="A165" i="2"/>
  <c r="F164" i="2"/>
  <c r="A164" i="2"/>
  <c r="F163" i="2"/>
  <c r="A163" i="2"/>
  <c r="D159" i="2"/>
  <c r="D158" i="2"/>
  <c r="F150" i="2"/>
  <c r="E150" i="2"/>
  <c r="A150" i="2"/>
  <c r="F149" i="2"/>
  <c r="E149" i="2"/>
  <c r="A149" i="2"/>
  <c r="F148" i="2"/>
  <c r="E148" i="2"/>
  <c r="A148" i="2"/>
  <c r="F147" i="2"/>
  <c r="E147" i="2"/>
  <c r="A147" i="2"/>
  <c r="H146" i="2"/>
  <c r="F146" i="2"/>
  <c r="E146" i="2"/>
  <c r="A146" i="2"/>
  <c r="F145" i="2"/>
  <c r="E145" i="2"/>
  <c r="A145" i="2"/>
  <c r="F144" i="2"/>
  <c r="E144" i="2"/>
  <c r="A144" i="2"/>
  <c r="D140" i="2"/>
  <c r="D139" i="2"/>
  <c r="D141" i="2" s="1"/>
  <c r="F131" i="2"/>
  <c r="A131" i="2"/>
  <c r="F130" i="2"/>
  <c r="A130" i="2"/>
  <c r="F129" i="2"/>
  <c r="A129" i="2"/>
  <c r="I128" i="2"/>
  <c r="F128" i="2"/>
  <c r="E128" i="2"/>
  <c r="A128" i="2"/>
  <c r="I127" i="2"/>
  <c r="F127" i="2"/>
  <c r="E127" i="2"/>
  <c r="A127" i="2"/>
  <c r="H126" i="2"/>
  <c r="F126" i="2"/>
  <c r="A126" i="2"/>
  <c r="F125" i="2"/>
  <c r="E125" i="2"/>
  <c r="A125" i="2"/>
  <c r="D121" i="2"/>
  <c r="D120" i="2"/>
  <c r="D122" i="2" s="1"/>
  <c r="F112" i="2"/>
  <c r="A112" i="2"/>
  <c r="F111" i="2"/>
  <c r="A111" i="2"/>
  <c r="F110" i="2"/>
  <c r="A110" i="2"/>
  <c r="F109" i="2"/>
  <c r="A109" i="2"/>
  <c r="F108" i="2"/>
  <c r="A108" i="2"/>
  <c r="I107" i="2"/>
  <c r="F107" i="2"/>
  <c r="A107" i="2"/>
  <c r="H106" i="2"/>
  <c r="F106" i="2"/>
  <c r="A106" i="2"/>
  <c r="D102" i="2"/>
  <c r="D103" i="2" s="1"/>
  <c r="D101" i="2"/>
  <c r="F93" i="2"/>
  <c r="A93" i="2"/>
  <c r="F92" i="2"/>
  <c r="A92" i="2"/>
  <c r="F91" i="2"/>
  <c r="A91" i="2"/>
  <c r="F90" i="2"/>
  <c r="A90" i="2"/>
  <c r="F89" i="2"/>
  <c r="A89" i="2"/>
  <c r="F88" i="2"/>
  <c r="E88" i="2"/>
  <c r="A88" i="2"/>
  <c r="F87" i="2"/>
  <c r="A87" i="2"/>
  <c r="H86" i="2"/>
  <c r="D83" i="2"/>
  <c r="D82" i="2"/>
  <c r="D84" i="2" s="1"/>
  <c r="F74" i="2"/>
  <c r="A74" i="2"/>
  <c r="F73" i="2"/>
  <c r="A73" i="2"/>
  <c r="F72" i="2"/>
  <c r="A72" i="2"/>
  <c r="F71" i="2"/>
  <c r="A71" i="2"/>
  <c r="F70" i="2"/>
  <c r="A70" i="2"/>
  <c r="F69" i="2"/>
  <c r="A69" i="2"/>
  <c r="F68" i="2"/>
  <c r="A68" i="2"/>
  <c r="H66" i="2"/>
  <c r="D64" i="2"/>
  <c r="D63" i="2"/>
  <c r="F55" i="2"/>
  <c r="A55" i="2"/>
  <c r="F54" i="2"/>
  <c r="A54" i="2"/>
  <c r="F53" i="2"/>
  <c r="E53" i="2"/>
  <c r="A53" i="2"/>
  <c r="F52" i="2"/>
  <c r="A52" i="2"/>
  <c r="F51" i="2"/>
  <c r="A51" i="2"/>
  <c r="F50" i="2"/>
  <c r="A50" i="2"/>
  <c r="F49" i="2"/>
  <c r="A49" i="2"/>
  <c r="H46" i="2"/>
  <c r="D46" i="2"/>
  <c r="D45" i="2"/>
  <c r="D44" i="2"/>
  <c r="F36" i="2"/>
  <c r="A36" i="2"/>
  <c r="F35" i="2"/>
  <c r="A35" i="2"/>
  <c r="F34" i="2"/>
  <c r="A34" i="2"/>
  <c r="F33" i="2"/>
  <c r="A33" i="2"/>
  <c r="F32" i="2"/>
  <c r="A32" i="2"/>
  <c r="F31" i="2"/>
  <c r="A31" i="2"/>
  <c r="F30" i="2"/>
  <c r="A30" i="2"/>
  <c r="H26" i="2"/>
  <c r="D26" i="2"/>
  <c r="D25" i="2"/>
  <c r="D27" i="2" s="1"/>
  <c r="E32" i="2" s="1"/>
  <c r="K19" i="2"/>
  <c r="J19" i="2"/>
  <c r="I19" i="2"/>
  <c r="K18" i="2"/>
  <c r="J18" i="2"/>
  <c r="I18" i="2"/>
  <c r="K17" i="2"/>
  <c r="J17" i="2"/>
  <c r="I17" i="2"/>
  <c r="F17" i="2"/>
  <c r="A17" i="2"/>
  <c r="K16" i="2"/>
  <c r="J16" i="2"/>
  <c r="I16" i="2"/>
  <c r="F16" i="2"/>
  <c r="I38" i="2" s="1"/>
  <c r="A16" i="2"/>
  <c r="K15" i="2"/>
  <c r="J15" i="2"/>
  <c r="F15" i="2"/>
  <c r="A15" i="2"/>
  <c r="K14" i="2"/>
  <c r="J14" i="2"/>
  <c r="F14" i="2"/>
  <c r="A14" i="2"/>
  <c r="K13" i="2"/>
  <c r="J13" i="2"/>
  <c r="I13" i="2"/>
  <c r="F13" i="2"/>
  <c r="A13" i="2"/>
  <c r="K12" i="2"/>
  <c r="J12" i="2"/>
  <c r="F12" i="2"/>
  <c r="A12" i="2"/>
  <c r="K11" i="2"/>
  <c r="J11" i="2"/>
  <c r="J21" i="2" s="1"/>
  <c r="F11" i="2"/>
  <c r="A11" i="2"/>
  <c r="K10" i="2"/>
  <c r="J10" i="2"/>
  <c r="I10" i="2"/>
  <c r="K9" i="2"/>
  <c r="J9" i="2"/>
  <c r="K8" i="2"/>
  <c r="J8" i="2"/>
  <c r="D8" i="2"/>
  <c r="D9" i="2" s="1"/>
  <c r="K7" i="2"/>
  <c r="J7" i="2"/>
  <c r="I7" i="2"/>
  <c r="D7" i="2"/>
  <c r="K6" i="2"/>
  <c r="J6" i="2"/>
  <c r="I6" i="2"/>
  <c r="K5" i="2"/>
  <c r="J5" i="2"/>
  <c r="I5" i="2"/>
  <c r="K4" i="2"/>
  <c r="J4" i="2"/>
  <c r="I268" i="1"/>
  <c r="I267" i="1"/>
  <c r="H266" i="1"/>
  <c r="F264" i="1"/>
  <c r="A264" i="1"/>
  <c r="F263" i="1"/>
  <c r="A263" i="1"/>
  <c r="F262" i="1"/>
  <c r="A262" i="1"/>
  <c r="F261" i="1"/>
  <c r="A261" i="1"/>
  <c r="F260" i="1"/>
  <c r="A260" i="1"/>
  <c r="F259" i="1"/>
  <c r="A259" i="1"/>
  <c r="F258" i="1"/>
  <c r="A258" i="1"/>
  <c r="D255" i="1"/>
  <c r="D254" i="1"/>
  <c r="D253" i="1"/>
  <c r="H246" i="1"/>
  <c r="F245" i="1"/>
  <c r="A245" i="1"/>
  <c r="F244" i="1"/>
  <c r="A244" i="1"/>
  <c r="F243" i="1"/>
  <c r="A243" i="1"/>
  <c r="F242" i="1"/>
  <c r="A242" i="1"/>
  <c r="F241" i="1"/>
  <c r="A241" i="1"/>
  <c r="F240" i="1"/>
  <c r="A240" i="1"/>
  <c r="F239" i="1"/>
  <c r="A239" i="1"/>
  <c r="D235" i="1"/>
  <c r="D234" i="1"/>
  <c r="I228" i="1"/>
  <c r="I227" i="1"/>
  <c r="H226" i="1"/>
  <c r="F226" i="1"/>
  <c r="A226" i="1"/>
  <c r="F225" i="1"/>
  <c r="E225" i="1"/>
  <c r="A225" i="1"/>
  <c r="F224" i="1"/>
  <c r="E224" i="1"/>
  <c r="A224" i="1"/>
  <c r="F223" i="1"/>
  <c r="E223" i="1"/>
  <c r="A223" i="1"/>
  <c r="F222" i="1"/>
  <c r="A222" i="1"/>
  <c r="F221" i="1"/>
  <c r="E221" i="1"/>
  <c r="A221" i="1"/>
  <c r="F220" i="1"/>
  <c r="A220" i="1"/>
  <c r="D217" i="1"/>
  <c r="D216" i="1"/>
  <c r="D215" i="1"/>
  <c r="F207" i="1"/>
  <c r="A207" i="1"/>
  <c r="H206" i="1"/>
  <c r="F206" i="1"/>
  <c r="A206" i="1"/>
  <c r="F205" i="1"/>
  <c r="A205" i="1"/>
  <c r="F204" i="1"/>
  <c r="A204" i="1"/>
  <c r="F203" i="1"/>
  <c r="A203" i="1"/>
  <c r="F202" i="1"/>
  <c r="A202" i="1"/>
  <c r="F201" i="1"/>
  <c r="A201" i="1"/>
  <c r="D197" i="1"/>
  <c r="D196" i="1"/>
  <c r="D198" i="1" s="1"/>
  <c r="I188" i="1"/>
  <c r="F188" i="1"/>
  <c r="A188" i="1"/>
  <c r="I187" i="1"/>
  <c r="F187" i="1"/>
  <c r="A187" i="1"/>
  <c r="H186" i="1"/>
  <c r="F186" i="1"/>
  <c r="A186" i="1"/>
  <c r="F185" i="1"/>
  <c r="A185" i="1"/>
  <c r="F184" i="1"/>
  <c r="A184" i="1"/>
  <c r="F183" i="1"/>
  <c r="A183" i="1"/>
  <c r="F182" i="1"/>
  <c r="A182" i="1"/>
  <c r="D178" i="1"/>
  <c r="D177" i="1"/>
  <c r="D179" i="1" s="1"/>
  <c r="F169" i="1"/>
  <c r="A169" i="1"/>
  <c r="F168" i="1"/>
  <c r="A168" i="1"/>
  <c r="I167" i="1"/>
  <c r="F167" i="1"/>
  <c r="A167" i="1"/>
  <c r="H166" i="1"/>
  <c r="F166" i="1"/>
  <c r="A166" i="1"/>
  <c r="F165" i="1"/>
  <c r="A165" i="1"/>
  <c r="F164" i="1"/>
  <c r="A164" i="1"/>
  <c r="F163" i="1"/>
  <c r="A163" i="1"/>
  <c r="D159" i="1"/>
  <c r="D158" i="1"/>
  <c r="E151" i="1"/>
  <c r="F150" i="1"/>
  <c r="A150" i="1"/>
  <c r="F149" i="1"/>
  <c r="E149" i="1"/>
  <c r="A149" i="1"/>
  <c r="F148" i="1"/>
  <c r="A148" i="1"/>
  <c r="F147" i="1"/>
  <c r="E147" i="1"/>
  <c r="A147" i="1"/>
  <c r="H146" i="1"/>
  <c r="F146" i="1"/>
  <c r="A146" i="1"/>
  <c r="F145" i="1"/>
  <c r="A145" i="1"/>
  <c r="F144" i="1"/>
  <c r="E144" i="1"/>
  <c r="A144" i="1"/>
  <c r="D140" i="1"/>
  <c r="D139" i="1"/>
  <c r="D141" i="1" s="1"/>
  <c r="F131" i="1"/>
  <c r="A131" i="1"/>
  <c r="F130" i="1"/>
  <c r="E130" i="1"/>
  <c r="A130" i="1"/>
  <c r="F129" i="1"/>
  <c r="A129" i="1"/>
  <c r="F128" i="1"/>
  <c r="A128" i="1"/>
  <c r="F127" i="1"/>
  <c r="A127" i="1"/>
  <c r="H126" i="1"/>
  <c r="F126" i="1"/>
  <c r="A126" i="1"/>
  <c r="F125" i="1"/>
  <c r="E125" i="1"/>
  <c r="E132" i="1" s="1"/>
  <c r="A125" i="1"/>
  <c r="D122" i="1"/>
  <c r="D121" i="1"/>
  <c r="D120" i="1"/>
  <c r="F112" i="1"/>
  <c r="E112" i="1"/>
  <c r="A112" i="1"/>
  <c r="F111" i="1"/>
  <c r="A111" i="1"/>
  <c r="F110" i="1"/>
  <c r="A110" i="1"/>
  <c r="F109" i="1"/>
  <c r="A109" i="1"/>
  <c r="F108" i="1"/>
  <c r="A108" i="1"/>
  <c r="F107" i="1"/>
  <c r="A107" i="1"/>
  <c r="H106" i="1"/>
  <c r="F106" i="1"/>
  <c r="A106" i="1"/>
  <c r="D102" i="1"/>
  <c r="D101" i="1"/>
  <c r="D103" i="1" s="1"/>
  <c r="F93" i="1"/>
  <c r="A93" i="1"/>
  <c r="F92" i="1"/>
  <c r="A92" i="1"/>
  <c r="F91" i="1"/>
  <c r="A91" i="1"/>
  <c r="F90" i="1"/>
  <c r="A90" i="1"/>
  <c r="F89" i="1"/>
  <c r="A89" i="1"/>
  <c r="I88" i="1"/>
  <c r="F88" i="1"/>
  <c r="A88" i="1"/>
  <c r="I87" i="1"/>
  <c r="F87" i="1"/>
  <c r="A87" i="1"/>
  <c r="H86" i="1"/>
  <c r="D84" i="1"/>
  <c r="D83" i="1"/>
  <c r="D82" i="1"/>
  <c r="F74" i="1"/>
  <c r="A74" i="1"/>
  <c r="F73" i="1"/>
  <c r="A73" i="1"/>
  <c r="F72" i="1"/>
  <c r="A72" i="1"/>
  <c r="F71" i="1"/>
  <c r="A71" i="1"/>
  <c r="F70" i="1"/>
  <c r="A70" i="1"/>
  <c r="F69" i="1"/>
  <c r="A69" i="1"/>
  <c r="F68" i="1"/>
  <c r="A68" i="1"/>
  <c r="H66" i="1"/>
  <c r="D64" i="1"/>
  <c r="D63" i="1"/>
  <c r="F55" i="1"/>
  <c r="A55" i="1"/>
  <c r="F54" i="1"/>
  <c r="A54" i="1"/>
  <c r="F53" i="1"/>
  <c r="A53" i="1"/>
  <c r="F52" i="1"/>
  <c r="A52" i="1"/>
  <c r="F51" i="1"/>
  <c r="A51" i="1"/>
  <c r="F50" i="1"/>
  <c r="A50" i="1"/>
  <c r="A49" i="1"/>
  <c r="H46" i="1"/>
  <c r="D45" i="1"/>
  <c r="D46" i="1" s="1"/>
  <c r="D44" i="1"/>
  <c r="F36" i="1"/>
  <c r="E36" i="1"/>
  <c r="A36" i="1"/>
  <c r="F35" i="1"/>
  <c r="A35" i="1"/>
  <c r="F34" i="1"/>
  <c r="A34" i="1"/>
  <c r="F33" i="1"/>
  <c r="A33" i="1"/>
  <c r="F32" i="1"/>
  <c r="A32" i="1"/>
  <c r="F31" i="1"/>
  <c r="A31" i="1"/>
  <c r="F30" i="1"/>
  <c r="A30" i="1"/>
  <c r="I27" i="1"/>
  <c r="D27" i="1"/>
  <c r="E33" i="1" s="1"/>
  <c r="H26" i="1"/>
  <c r="D26" i="1"/>
  <c r="D25" i="1"/>
  <c r="K19" i="1"/>
  <c r="J19" i="1"/>
  <c r="I19" i="1"/>
  <c r="K18" i="1"/>
  <c r="J18" i="1"/>
  <c r="I18" i="1"/>
  <c r="K17" i="1"/>
  <c r="J17" i="1"/>
  <c r="I17" i="1"/>
  <c r="F17" i="1"/>
  <c r="A17" i="1"/>
  <c r="K16" i="1"/>
  <c r="J16" i="1"/>
  <c r="I16" i="1"/>
  <c r="F16" i="1"/>
  <c r="A16" i="1"/>
  <c r="K15" i="1"/>
  <c r="J15" i="1"/>
  <c r="I15" i="1"/>
  <c r="F15" i="1"/>
  <c r="A15" i="1"/>
  <c r="K14" i="1"/>
  <c r="J14" i="1"/>
  <c r="I14" i="1"/>
  <c r="F14" i="1"/>
  <c r="A14" i="1"/>
  <c r="K13" i="1"/>
  <c r="J13" i="1"/>
  <c r="I13" i="1"/>
  <c r="F13" i="1"/>
  <c r="A13" i="1"/>
  <c r="K12" i="1"/>
  <c r="J12" i="1"/>
  <c r="J21" i="1" s="1"/>
  <c r="I12" i="1"/>
  <c r="F12" i="1"/>
  <c r="E12" i="1"/>
  <c r="A12" i="1"/>
  <c r="K11" i="1"/>
  <c r="J11" i="1"/>
  <c r="I11" i="1"/>
  <c r="F11" i="1"/>
  <c r="A11" i="1"/>
  <c r="K10" i="1"/>
  <c r="J10" i="1"/>
  <c r="I10" i="1"/>
  <c r="K9" i="1"/>
  <c r="J9" i="1"/>
  <c r="I9" i="1"/>
  <c r="D9" i="1"/>
  <c r="K8" i="1"/>
  <c r="J8" i="1"/>
  <c r="I8" i="1"/>
  <c r="D8" i="1"/>
  <c r="K7" i="1"/>
  <c r="J7" i="1"/>
  <c r="I7" i="1"/>
  <c r="D7" i="1"/>
  <c r="K6" i="1"/>
  <c r="J6" i="1"/>
  <c r="I6" i="1"/>
  <c r="K5" i="1"/>
  <c r="J5" i="1"/>
  <c r="I5" i="1"/>
  <c r="K4" i="1"/>
  <c r="J4" i="1"/>
  <c r="I4" i="1"/>
  <c r="F265" i="3"/>
  <c r="A265" i="3"/>
  <c r="F264" i="3"/>
  <c r="A264" i="3"/>
  <c r="F263" i="3"/>
  <c r="A263" i="3"/>
  <c r="F262" i="3"/>
  <c r="A262" i="3"/>
  <c r="F261" i="3"/>
  <c r="E261" i="3"/>
  <c r="A261" i="3"/>
  <c r="F260" i="3"/>
  <c r="A260" i="3"/>
  <c r="F259" i="3"/>
  <c r="A259" i="3"/>
  <c r="D255" i="3"/>
  <c r="D256" i="3" s="1"/>
  <c r="E263" i="3" s="1"/>
  <c r="D254" i="3"/>
  <c r="F246" i="3"/>
  <c r="A246" i="3"/>
  <c r="F245" i="3"/>
  <c r="A245" i="3"/>
  <c r="F244" i="3"/>
  <c r="A244" i="3"/>
  <c r="F243" i="3"/>
  <c r="A243" i="3"/>
  <c r="F242" i="3"/>
  <c r="A242" i="3"/>
  <c r="F241" i="3"/>
  <c r="A241" i="3"/>
  <c r="F240" i="3"/>
  <c r="A240" i="3"/>
  <c r="D236" i="3"/>
  <c r="D235" i="3"/>
  <c r="D237" i="3" s="1"/>
  <c r="E240" i="3" s="1"/>
  <c r="I228" i="3"/>
  <c r="H227" i="3"/>
  <c r="F227" i="3"/>
  <c r="A227" i="3"/>
  <c r="F226" i="3"/>
  <c r="A226" i="3"/>
  <c r="F225" i="3"/>
  <c r="A225" i="3"/>
  <c r="F224" i="3"/>
  <c r="A224" i="3"/>
  <c r="F223" i="3"/>
  <c r="A223" i="3"/>
  <c r="F222" i="3"/>
  <c r="A222" i="3"/>
  <c r="F221" i="3"/>
  <c r="A221" i="3"/>
  <c r="D217" i="3"/>
  <c r="D218" i="3" s="1"/>
  <c r="D216" i="3"/>
  <c r="I209" i="3"/>
  <c r="I208" i="3"/>
  <c r="F208" i="3"/>
  <c r="A208" i="3"/>
  <c r="H207" i="3"/>
  <c r="F207" i="3"/>
  <c r="A207" i="3"/>
  <c r="F206" i="3"/>
  <c r="A206" i="3"/>
  <c r="F205" i="3"/>
  <c r="A205" i="3"/>
  <c r="F204" i="3"/>
  <c r="A204" i="3"/>
  <c r="F203" i="3"/>
  <c r="E203" i="3"/>
  <c r="A203" i="3"/>
  <c r="F202" i="3"/>
  <c r="E202" i="3"/>
  <c r="A202" i="3"/>
  <c r="D198" i="3"/>
  <c r="D197" i="3"/>
  <c r="D199" i="3" s="1"/>
  <c r="E206" i="3" s="1"/>
  <c r="F189" i="3"/>
  <c r="A189" i="3"/>
  <c r="I188" i="3"/>
  <c r="F188" i="3"/>
  <c r="A188" i="3"/>
  <c r="H187" i="3"/>
  <c r="F187" i="3"/>
  <c r="A187" i="3"/>
  <c r="F186" i="3"/>
  <c r="A186" i="3"/>
  <c r="F185" i="3"/>
  <c r="A185" i="3"/>
  <c r="F184" i="3"/>
  <c r="A184" i="3"/>
  <c r="F183" i="3"/>
  <c r="A183" i="3"/>
  <c r="D179" i="3"/>
  <c r="D180" i="3" s="1"/>
  <c r="D178" i="3"/>
  <c r="F170" i="3"/>
  <c r="E170" i="3"/>
  <c r="A170" i="3"/>
  <c r="F169" i="3"/>
  <c r="E169" i="3"/>
  <c r="A169" i="3"/>
  <c r="F168" i="3"/>
  <c r="E168" i="3"/>
  <c r="A168" i="3"/>
  <c r="H167" i="3"/>
  <c r="F167" i="3"/>
  <c r="E167" i="3"/>
  <c r="A167" i="3"/>
  <c r="F166" i="3"/>
  <c r="E166" i="3"/>
  <c r="A166" i="3"/>
  <c r="F165" i="3"/>
  <c r="E165" i="3"/>
  <c r="A165" i="3"/>
  <c r="F164" i="3"/>
  <c r="A164" i="3"/>
  <c r="D161" i="3"/>
  <c r="E164" i="3" s="1"/>
  <c r="D160" i="3"/>
  <c r="D159" i="3"/>
  <c r="F151" i="3"/>
  <c r="A151" i="3"/>
  <c r="F150" i="3"/>
  <c r="A150" i="3"/>
  <c r="F149" i="3"/>
  <c r="A149" i="3"/>
  <c r="F148" i="3"/>
  <c r="A148" i="3"/>
  <c r="H147" i="3"/>
  <c r="J163" i="3" s="1"/>
  <c r="F147" i="3"/>
  <c r="A147" i="3"/>
  <c r="F146" i="3"/>
  <c r="A146" i="3"/>
  <c r="F145" i="3"/>
  <c r="A145" i="3"/>
  <c r="D141" i="3"/>
  <c r="D140" i="3"/>
  <c r="D142" i="3" s="1"/>
  <c r="F132" i="3"/>
  <c r="A132" i="3"/>
  <c r="F131" i="3"/>
  <c r="A131" i="3"/>
  <c r="F130" i="3"/>
  <c r="A130" i="3"/>
  <c r="F129" i="3"/>
  <c r="A129" i="3"/>
  <c r="I128" i="3"/>
  <c r="F128" i="3"/>
  <c r="A128" i="3"/>
  <c r="H127" i="3"/>
  <c r="F127" i="3"/>
  <c r="A127" i="3"/>
  <c r="F126" i="3"/>
  <c r="A126" i="3"/>
  <c r="D122" i="3"/>
  <c r="D121" i="3"/>
  <c r="F113" i="3"/>
  <c r="A113" i="3"/>
  <c r="F112" i="3"/>
  <c r="A112" i="3"/>
  <c r="F111" i="3"/>
  <c r="A111" i="3"/>
  <c r="F110" i="3"/>
  <c r="A110" i="3"/>
  <c r="F109" i="3"/>
  <c r="A109" i="3"/>
  <c r="F108" i="3"/>
  <c r="A108" i="3"/>
  <c r="H107" i="3"/>
  <c r="F107" i="3"/>
  <c r="A107" i="3"/>
  <c r="D103" i="3"/>
  <c r="D104" i="3" s="1"/>
  <c r="E109" i="3" s="1"/>
  <c r="D102" i="3"/>
  <c r="F94" i="3"/>
  <c r="E94" i="3"/>
  <c r="A94" i="3"/>
  <c r="F93" i="3"/>
  <c r="A93" i="3"/>
  <c r="F92" i="3"/>
  <c r="A92" i="3"/>
  <c r="F91" i="3"/>
  <c r="A91" i="3"/>
  <c r="F90" i="3"/>
  <c r="E90" i="3"/>
  <c r="A90" i="3"/>
  <c r="F89" i="3"/>
  <c r="A89" i="3"/>
  <c r="F88" i="3"/>
  <c r="A88" i="3"/>
  <c r="H87" i="3"/>
  <c r="D84" i="3"/>
  <c r="D83" i="3"/>
  <c r="D85" i="3" s="1"/>
  <c r="E92" i="3" s="1"/>
  <c r="F75" i="3"/>
  <c r="A75" i="3"/>
  <c r="F74" i="3"/>
  <c r="A74" i="3"/>
  <c r="F73" i="3"/>
  <c r="A73" i="3"/>
  <c r="F72" i="3"/>
  <c r="A72" i="3"/>
  <c r="F71" i="3"/>
  <c r="A71" i="3"/>
  <c r="F70" i="3"/>
  <c r="A70" i="3"/>
  <c r="F69" i="3"/>
  <c r="A69" i="3"/>
  <c r="I68" i="3"/>
  <c r="H67" i="3"/>
  <c r="D66" i="3"/>
  <c r="E74" i="3" s="1"/>
  <c r="D65" i="3"/>
  <c r="D64" i="3"/>
  <c r="F56" i="3"/>
  <c r="E56" i="3"/>
  <c r="A56" i="3"/>
  <c r="F55" i="3"/>
  <c r="A55" i="3"/>
  <c r="F54" i="3"/>
  <c r="E54" i="3"/>
  <c r="A54" i="3"/>
  <c r="F53" i="3"/>
  <c r="A53" i="3"/>
  <c r="F52" i="3"/>
  <c r="A52" i="3"/>
  <c r="F51" i="3"/>
  <c r="E51" i="3"/>
  <c r="A51" i="3"/>
  <c r="F50" i="3"/>
  <c r="E50" i="3"/>
  <c r="A50" i="3"/>
  <c r="I48" i="3"/>
  <c r="H47" i="3"/>
  <c r="D47" i="3"/>
  <c r="E52" i="3" s="1"/>
  <c r="D46" i="3"/>
  <c r="D45" i="3"/>
  <c r="H40" i="3"/>
  <c r="F37" i="3"/>
  <c r="A37" i="3"/>
  <c r="F36" i="3"/>
  <c r="A36" i="3"/>
  <c r="F35" i="3"/>
  <c r="A35" i="3"/>
  <c r="F34" i="3"/>
  <c r="A34" i="3"/>
  <c r="F33" i="3"/>
  <c r="A33" i="3"/>
  <c r="F32" i="3"/>
  <c r="A32" i="3"/>
  <c r="F31" i="3"/>
  <c r="A31" i="3"/>
  <c r="H27" i="3"/>
  <c r="D27" i="3"/>
  <c r="D26" i="3"/>
  <c r="D28" i="3" s="1"/>
  <c r="K20" i="3"/>
  <c r="J20" i="3"/>
  <c r="I20" i="3"/>
  <c r="K19" i="3"/>
  <c r="J19" i="3"/>
  <c r="I19" i="3"/>
  <c r="K18" i="3"/>
  <c r="J18" i="3"/>
  <c r="I18" i="3"/>
  <c r="F18" i="3"/>
  <c r="A18" i="3"/>
  <c r="K17" i="3"/>
  <c r="J17" i="3"/>
  <c r="I17" i="3"/>
  <c r="F17" i="3"/>
  <c r="A17" i="3"/>
  <c r="K16" i="3"/>
  <c r="J16" i="3"/>
  <c r="I16" i="3"/>
  <c r="F16" i="3"/>
  <c r="A16" i="3"/>
  <c r="K15" i="3"/>
  <c r="J15" i="3"/>
  <c r="F15" i="3"/>
  <c r="A15" i="3"/>
  <c r="K14" i="3"/>
  <c r="J14" i="3"/>
  <c r="F14" i="3"/>
  <c r="H232" i="3" s="1"/>
  <c r="A14" i="3"/>
  <c r="K13" i="3"/>
  <c r="J13" i="3"/>
  <c r="F13" i="3"/>
  <c r="H194" i="3" s="1"/>
  <c r="A13" i="3"/>
  <c r="K12" i="3"/>
  <c r="J12" i="3"/>
  <c r="F12" i="3"/>
  <c r="A12" i="3"/>
  <c r="K11" i="3"/>
  <c r="J11" i="3"/>
  <c r="K10" i="3"/>
  <c r="J10" i="3"/>
  <c r="I10" i="3"/>
  <c r="K9" i="3"/>
  <c r="J9" i="3"/>
  <c r="D9" i="3"/>
  <c r="K8" i="3"/>
  <c r="J8" i="3"/>
  <c r="I8" i="3"/>
  <c r="D8" i="3"/>
  <c r="D10" i="3" s="1"/>
  <c r="E15" i="3" s="1"/>
  <c r="K7" i="3"/>
  <c r="J7" i="3"/>
  <c r="K6" i="3"/>
  <c r="J6" i="3"/>
  <c r="J22" i="3" s="1"/>
  <c r="I6" i="3"/>
  <c r="K5" i="3"/>
  <c r="J5" i="3"/>
  <c r="E188" i="1" l="1"/>
  <c r="E185" i="1"/>
  <c r="E184" i="1"/>
  <c r="E182" i="1"/>
  <c r="E189" i="1" s="1"/>
  <c r="E183" i="1"/>
  <c r="E186" i="1"/>
  <c r="E187" i="1"/>
  <c r="E225" i="3"/>
  <c r="E227" i="3"/>
  <c r="E224" i="3"/>
  <c r="E226" i="3"/>
  <c r="E223" i="3"/>
  <c r="E222" i="3"/>
  <c r="J97" i="3" s="1"/>
  <c r="E221" i="3"/>
  <c r="E36" i="3"/>
  <c r="E33" i="3"/>
  <c r="E32" i="3"/>
  <c r="E35" i="3"/>
  <c r="E31" i="3"/>
  <c r="E37" i="3"/>
  <c r="E34" i="3"/>
  <c r="E151" i="3"/>
  <c r="E147" i="3"/>
  <c r="E149" i="3"/>
  <c r="E148" i="3"/>
  <c r="E145" i="3"/>
  <c r="E150" i="3"/>
  <c r="E146" i="3"/>
  <c r="E189" i="3"/>
  <c r="E188" i="3"/>
  <c r="E185" i="3"/>
  <c r="E187" i="3"/>
  <c r="E186" i="3"/>
  <c r="E183" i="3"/>
  <c r="E190" i="3" s="1"/>
  <c r="E184" i="3"/>
  <c r="E50" i="1"/>
  <c r="E51" i="1"/>
  <c r="E55" i="1"/>
  <c r="E52" i="1"/>
  <c r="E54" i="1"/>
  <c r="E53" i="1"/>
  <c r="E49" i="1"/>
  <c r="J78" i="3"/>
  <c r="J159" i="3"/>
  <c r="E93" i="1"/>
  <c r="E88" i="1"/>
  <c r="E90" i="1"/>
  <c r="E89" i="1"/>
  <c r="E87" i="1"/>
  <c r="E94" i="1" s="1"/>
  <c r="E91" i="1"/>
  <c r="I63" i="3"/>
  <c r="J79" i="3"/>
  <c r="J105" i="3"/>
  <c r="I97" i="3"/>
  <c r="I91" i="3"/>
  <c r="I105" i="3"/>
  <c r="J101" i="3"/>
  <c r="H97" i="3"/>
  <c r="H91" i="3"/>
  <c r="I104" i="3"/>
  <c r="J100" i="3"/>
  <c r="H96" i="3"/>
  <c r="H103" i="3"/>
  <c r="I98" i="3"/>
  <c r="H98" i="3"/>
  <c r="I93" i="3"/>
  <c r="H102" i="3"/>
  <c r="I96" i="3"/>
  <c r="H105" i="3"/>
  <c r="I100" i="3"/>
  <c r="H92" i="3"/>
  <c r="I99" i="3"/>
  <c r="H94" i="3"/>
  <c r="I95" i="3"/>
  <c r="I103" i="3"/>
  <c r="E113" i="3"/>
  <c r="H138" i="3"/>
  <c r="J178" i="3"/>
  <c r="H198" i="3"/>
  <c r="H225" i="3"/>
  <c r="H235" i="3"/>
  <c r="I242" i="3"/>
  <c r="H246" i="3"/>
  <c r="J83" i="2"/>
  <c r="I182" i="2"/>
  <c r="E12" i="3"/>
  <c r="H32" i="3"/>
  <c r="J40" i="3"/>
  <c r="J63" i="3"/>
  <c r="I80" i="3"/>
  <c r="J95" i="3"/>
  <c r="J103" i="3"/>
  <c r="H121" i="3"/>
  <c r="I131" i="3"/>
  <c r="H160" i="3"/>
  <c r="I198" i="3"/>
  <c r="H204" i="3"/>
  <c r="J225" i="3"/>
  <c r="J242" i="3"/>
  <c r="I246" i="3"/>
  <c r="E35" i="1"/>
  <c r="E107" i="1"/>
  <c r="E109" i="1"/>
  <c r="E108" i="1"/>
  <c r="E111" i="1"/>
  <c r="I56" i="2"/>
  <c r="H96" i="2"/>
  <c r="J145" i="2"/>
  <c r="J86" i="3"/>
  <c r="H145" i="3"/>
  <c r="H113" i="3"/>
  <c r="H179" i="3"/>
  <c r="H36" i="3"/>
  <c r="J64" i="3"/>
  <c r="J81" i="3"/>
  <c r="I88" i="3"/>
  <c r="J104" i="3"/>
  <c r="J146" i="3"/>
  <c r="J160" i="3"/>
  <c r="J179" i="3"/>
  <c r="H185" i="3"/>
  <c r="J211" i="3"/>
  <c r="H237" i="3"/>
  <c r="E243" i="3"/>
  <c r="E260" i="3"/>
  <c r="J200" i="3" s="1"/>
  <c r="E264" i="3"/>
  <c r="E259" i="3"/>
  <c r="E265" i="3"/>
  <c r="E92" i="1"/>
  <c r="I40" i="2"/>
  <c r="I36" i="3"/>
  <c r="H43" i="3"/>
  <c r="H57" i="3"/>
  <c r="J71" i="3"/>
  <c r="I74" i="3"/>
  <c r="H82" i="3"/>
  <c r="J92" i="3"/>
  <c r="H106" i="3"/>
  <c r="H122" i="3"/>
  <c r="J153" i="3"/>
  <c r="E171" i="3"/>
  <c r="I166" i="3"/>
  <c r="H171" i="3"/>
  <c r="I185" i="3"/>
  <c r="H191" i="3"/>
  <c r="H201" i="3"/>
  <c r="H212" i="3"/>
  <c r="H226" i="3"/>
  <c r="J237" i="3"/>
  <c r="I47" i="1"/>
  <c r="I48" i="1"/>
  <c r="E110" i="1"/>
  <c r="J62" i="3"/>
  <c r="H95" i="3"/>
  <c r="J35" i="3"/>
  <c r="I32" i="3"/>
  <c r="I121" i="3"/>
  <c r="I204" i="3"/>
  <c r="H53" i="3"/>
  <c r="H74" i="3"/>
  <c r="I92" i="3"/>
  <c r="E110" i="3"/>
  <c r="I33" i="3"/>
  <c r="J57" i="3"/>
  <c r="E73" i="3"/>
  <c r="E70" i="3"/>
  <c r="E75" i="3"/>
  <c r="E71" i="3"/>
  <c r="J53" i="3" s="1"/>
  <c r="E88" i="3"/>
  <c r="E91" i="3"/>
  <c r="E93" i="3"/>
  <c r="E89" i="3"/>
  <c r="J193" i="3" s="1"/>
  <c r="H99" i="3"/>
  <c r="I106" i="3"/>
  <c r="H132" i="3"/>
  <c r="I154" i="3"/>
  <c r="I181" i="3"/>
  <c r="H214" i="3"/>
  <c r="I65" i="2"/>
  <c r="J131" i="2"/>
  <c r="H58" i="3"/>
  <c r="E72" i="3"/>
  <c r="H116" i="3"/>
  <c r="H133" i="3"/>
  <c r="H193" i="3"/>
  <c r="H73" i="2"/>
  <c r="J44" i="3"/>
  <c r="J66" i="3"/>
  <c r="H93" i="3"/>
  <c r="I124" i="3"/>
  <c r="J133" i="3"/>
  <c r="I155" i="3"/>
  <c r="J173" i="3"/>
  <c r="E244" i="3"/>
  <c r="E106" i="1"/>
  <c r="E113" i="1" s="1"/>
  <c r="H40" i="2"/>
  <c r="I73" i="2"/>
  <c r="I185" i="2"/>
  <c r="I73" i="3"/>
  <c r="J137" i="3"/>
  <c r="J46" i="3"/>
  <c r="I41" i="3"/>
  <c r="J80" i="3"/>
  <c r="H140" i="3"/>
  <c r="I199" i="3"/>
  <c r="H57" i="2"/>
  <c r="J41" i="3"/>
  <c r="I56" i="3"/>
  <c r="H71" i="3"/>
  <c r="J113" i="3"/>
  <c r="J140" i="3"/>
  <c r="J36" i="3"/>
  <c r="J43" i="3"/>
  <c r="J115" i="3"/>
  <c r="H123" i="3"/>
  <c r="I141" i="3"/>
  <c r="I161" i="3"/>
  <c r="I171" i="3"/>
  <c r="H192" i="3"/>
  <c r="J205" i="3"/>
  <c r="J243" i="3"/>
  <c r="I51" i="2"/>
  <c r="I102" i="2"/>
  <c r="H212" i="2"/>
  <c r="H239" i="3"/>
  <c r="J226" i="3"/>
  <c r="H221" i="3"/>
  <c r="H217" i="3"/>
  <c r="I212" i="3"/>
  <c r="J206" i="3"/>
  <c r="I201" i="3"/>
  <c r="I192" i="3"/>
  <c r="J184" i="3"/>
  <c r="H182" i="3"/>
  <c r="H173" i="3"/>
  <c r="H143" i="3"/>
  <c r="I134" i="3"/>
  <c r="H65" i="3"/>
  <c r="H61" i="3"/>
  <c r="J56" i="3"/>
  <c r="J233" i="3"/>
  <c r="H197" i="3"/>
  <c r="I139" i="3"/>
  <c r="H54" i="3"/>
  <c r="I236" i="3"/>
  <c r="H231" i="3"/>
  <c r="I225" i="3"/>
  <c r="I222" i="3"/>
  <c r="J219" i="3"/>
  <c r="I215" i="3"/>
  <c r="I205" i="3"/>
  <c r="J223" i="3"/>
  <c r="H220" i="3"/>
  <c r="J213" i="3"/>
  <c r="I206" i="3"/>
  <c r="H203" i="3"/>
  <c r="I184" i="3"/>
  <c r="I180" i="3"/>
  <c r="J175" i="3"/>
  <c r="I144" i="3"/>
  <c r="H139" i="3"/>
  <c r="H64" i="3"/>
  <c r="J58" i="3"/>
  <c r="I52" i="3"/>
  <c r="J244" i="3"/>
  <c r="I235" i="3"/>
  <c r="I226" i="3"/>
  <c r="I219" i="3"/>
  <c r="H206" i="3"/>
  <c r="J198" i="3"/>
  <c r="I193" i="3"/>
  <c r="H184" i="3"/>
  <c r="H180" i="3"/>
  <c r="H144" i="3"/>
  <c r="J138" i="3"/>
  <c r="J132" i="3"/>
  <c r="I58" i="3"/>
  <c r="H52" i="3"/>
  <c r="H213" i="3"/>
  <c r="I175" i="3"/>
  <c r="H240" i="3"/>
  <c r="I233" i="3"/>
  <c r="H222" i="3"/>
  <c r="H218" i="3"/>
  <c r="H211" i="3"/>
  <c r="I202" i="3"/>
  <c r="H186" i="3"/>
  <c r="I179" i="3"/>
  <c r="I174" i="3"/>
  <c r="I146" i="3"/>
  <c r="I142" i="3"/>
  <c r="I137" i="3"/>
  <c r="H63" i="3"/>
  <c r="I57" i="3"/>
  <c r="J51" i="3"/>
  <c r="I238" i="3"/>
  <c r="J231" i="3"/>
  <c r="J221" i="3"/>
  <c r="H216" i="3"/>
  <c r="J204" i="3"/>
  <c r="H196" i="3"/>
  <c r="J185" i="3"/>
  <c r="I178" i="3"/>
  <c r="H172" i="3"/>
  <c r="I145" i="3"/>
  <c r="H141" i="3"/>
  <c r="J135" i="3"/>
  <c r="I66" i="3"/>
  <c r="J61" i="3"/>
  <c r="I53" i="3"/>
  <c r="I245" i="3"/>
  <c r="H224" i="3"/>
  <c r="H215" i="3"/>
  <c r="H200" i="3"/>
  <c r="J194" i="3"/>
  <c r="J182" i="3"/>
  <c r="H177" i="3"/>
  <c r="I140" i="3"/>
  <c r="H134" i="3"/>
  <c r="J65" i="3"/>
  <c r="J59" i="3"/>
  <c r="J236" i="3"/>
  <c r="J220" i="3"/>
  <c r="J199" i="3"/>
  <c r="J181" i="3"/>
  <c r="H245" i="3"/>
  <c r="J214" i="3"/>
  <c r="I194" i="3"/>
  <c r="I176" i="3"/>
  <c r="I44" i="3"/>
  <c r="H66" i="3"/>
  <c r="H83" i="3"/>
  <c r="J99" i="3"/>
  <c r="J106" i="3"/>
  <c r="E111" i="3"/>
  <c r="I123" i="3"/>
  <c r="J141" i="3"/>
  <c r="J165" i="3"/>
  <c r="H163" i="3"/>
  <c r="H159" i="3"/>
  <c r="J154" i="3"/>
  <c r="I165" i="3"/>
  <c r="I162" i="3"/>
  <c r="I158" i="3"/>
  <c r="I153" i="3"/>
  <c r="I149" i="3"/>
  <c r="H165" i="3"/>
  <c r="H162" i="3"/>
  <c r="H153" i="3"/>
  <c r="H158" i="3"/>
  <c r="H161" i="3"/>
  <c r="H157" i="3"/>
  <c r="H152" i="3"/>
  <c r="I148" i="3"/>
  <c r="H166" i="3"/>
  <c r="I163" i="3"/>
  <c r="I157" i="3"/>
  <c r="I151" i="3"/>
  <c r="J162" i="3"/>
  <c r="J156" i="3"/>
  <c r="H151" i="3"/>
  <c r="J155" i="3"/>
  <c r="I164" i="3"/>
  <c r="H154" i="3"/>
  <c r="I152" i="3"/>
  <c r="J166" i="3"/>
  <c r="J158" i="3"/>
  <c r="H155" i="3"/>
  <c r="J161" i="3"/>
  <c r="I172" i="3"/>
  <c r="J215" i="3"/>
  <c r="I127" i="1"/>
  <c r="J37" i="2"/>
  <c r="H134" i="2"/>
  <c r="H162" i="2"/>
  <c r="I43" i="3"/>
  <c r="J38" i="3"/>
  <c r="H31" i="3"/>
  <c r="H46" i="3"/>
  <c r="H42" i="3"/>
  <c r="J37" i="3"/>
  <c r="H35" i="3"/>
  <c r="J42" i="3"/>
  <c r="I37" i="3"/>
  <c r="I42" i="3"/>
  <c r="H37" i="3"/>
  <c r="H41" i="3"/>
  <c r="I31" i="3"/>
  <c r="J39" i="3"/>
  <c r="H33" i="3"/>
  <c r="I28" i="3"/>
  <c r="H44" i="3"/>
  <c r="I38" i="3"/>
  <c r="I35" i="3"/>
  <c r="J32" i="3"/>
  <c r="H59" i="3"/>
  <c r="I75" i="3"/>
  <c r="H100" i="3"/>
  <c r="J116" i="3"/>
  <c r="I59" i="3"/>
  <c r="J83" i="3"/>
  <c r="I79" i="3"/>
  <c r="H75" i="3"/>
  <c r="I83" i="3"/>
  <c r="H79" i="3"/>
  <c r="I86" i="3"/>
  <c r="J82" i="3"/>
  <c r="H78" i="3"/>
  <c r="J74" i="3"/>
  <c r="H72" i="3"/>
  <c r="H86" i="3"/>
  <c r="I81" i="3"/>
  <c r="J85" i="3"/>
  <c r="H81" i="3"/>
  <c r="J75" i="3"/>
  <c r="I69" i="3"/>
  <c r="H80" i="3"/>
  <c r="J77" i="3"/>
  <c r="I71" i="3"/>
  <c r="I82" i="3"/>
  <c r="J76" i="3"/>
  <c r="J73" i="3"/>
  <c r="I72" i="3"/>
  <c r="H76" i="3"/>
  <c r="H84" i="3"/>
  <c r="H101" i="3"/>
  <c r="E107" i="3"/>
  <c r="H117" i="3"/>
  <c r="H125" i="3"/>
  <c r="H135" i="3"/>
  <c r="J142" i="3"/>
  <c r="H156" i="3"/>
  <c r="H174" i="3"/>
  <c r="H195" i="3"/>
  <c r="H202" i="3"/>
  <c r="J216" i="3"/>
  <c r="I240" i="3"/>
  <c r="I21" i="1"/>
  <c r="J41" i="2"/>
  <c r="H117" i="2"/>
  <c r="J151" i="3"/>
  <c r="J117" i="3"/>
  <c r="H183" i="3"/>
  <c r="E32" i="1"/>
  <c r="E30" i="1"/>
  <c r="E37" i="1" s="1"/>
  <c r="E34" i="1"/>
  <c r="E31" i="1"/>
  <c r="I108" i="1"/>
  <c r="I128" i="1"/>
  <c r="E14" i="2"/>
  <c r="E11" i="2"/>
  <c r="E207" i="2"/>
  <c r="E15" i="2"/>
  <c r="E16" i="2"/>
  <c r="E13" i="2"/>
  <c r="E17" i="2"/>
  <c r="E12" i="2"/>
  <c r="J110" i="2" s="1"/>
  <c r="H163" i="2"/>
  <c r="I174" i="2"/>
  <c r="J96" i="3"/>
  <c r="I125" i="3"/>
  <c r="H77" i="3"/>
  <c r="H175" i="3"/>
  <c r="E261" i="1"/>
  <c r="E264" i="1"/>
  <c r="E263" i="1"/>
  <c r="E262" i="1"/>
  <c r="E259" i="1"/>
  <c r="E258" i="1"/>
  <c r="E265" i="1" s="1"/>
  <c r="E260" i="1"/>
  <c r="I95" i="2"/>
  <c r="I80" i="2"/>
  <c r="H104" i="3"/>
  <c r="H45" i="3"/>
  <c r="J143" i="3"/>
  <c r="J60" i="3"/>
  <c r="J157" i="3"/>
  <c r="H51" i="3"/>
  <c r="I118" i="3"/>
  <c r="J224" i="3"/>
  <c r="J123" i="2"/>
  <c r="I46" i="3"/>
  <c r="J91" i="3"/>
  <c r="I120" i="3"/>
  <c r="I220" i="3"/>
  <c r="E242" i="3"/>
  <c r="J98" i="3" s="1"/>
  <c r="E245" i="3"/>
  <c r="E241" i="3"/>
  <c r="E247" i="3" s="1"/>
  <c r="E246" i="3"/>
  <c r="E13" i="3"/>
  <c r="I12" i="3" s="1"/>
  <c r="E18" i="3"/>
  <c r="I40" i="3"/>
  <c r="H243" i="3"/>
  <c r="E17" i="3"/>
  <c r="H56" i="3"/>
  <c r="J131" i="3"/>
  <c r="I160" i="3"/>
  <c r="H236" i="3"/>
  <c r="H34" i="3"/>
  <c r="I60" i="3"/>
  <c r="J72" i="3"/>
  <c r="I76" i="3"/>
  <c r="I84" i="3"/>
  <c r="I101" i="3"/>
  <c r="E112" i="3"/>
  <c r="I135" i="3"/>
  <c r="I156" i="3"/>
  <c r="J174" i="3"/>
  <c r="E16" i="3"/>
  <c r="I34" i="3"/>
  <c r="H38" i="3"/>
  <c r="I45" i="3"/>
  <c r="J84" i="3"/>
  <c r="J124" i="3"/>
  <c r="H118" i="3"/>
  <c r="H136" i="3"/>
  <c r="J144" i="3"/>
  <c r="H164" i="3"/>
  <c r="I183" i="3"/>
  <c r="J196" i="3"/>
  <c r="H39" i="3"/>
  <c r="J45" i="3"/>
  <c r="H55" i="3"/>
  <c r="H62" i="3"/>
  <c r="E69" i="3"/>
  <c r="J93" i="3" s="1"/>
  <c r="I77" i="3"/>
  <c r="H85" i="3"/>
  <c r="I94" i="3"/>
  <c r="I102" i="3"/>
  <c r="I112" i="3"/>
  <c r="I136" i="3"/>
  <c r="J164" i="3"/>
  <c r="H176" i="3"/>
  <c r="J183" i="3"/>
  <c r="E205" i="3"/>
  <c r="E208" i="3"/>
  <c r="E204" i="3"/>
  <c r="E209" i="3" s="1"/>
  <c r="E207" i="3"/>
  <c r="I223" i="3"/>
  <c r="J218" i="3"/>
  <c r="I232" i="3"/>
  <c r="I241" i="3"/>
  <c r="J245" i="3"/>
  <c r="E14" i="1"/>
  <c r="E207" i="1"/>
  <c r="E17" i="1"/>
  <c r="E13" i="1"/>
  <c r="E16" i="1"/>
  <c r="E11" i="1"/>
  <c r="E18" i="1" s="1"/>
  <c r="I67" i="1"/>
  <c r="I68" i="1"/>
  <c r="E14" i="3"/>
  <c r="J31" i="3"/>
  <c r="I39" i="3"/>
  <c r="I55" i="3"/>
  <c r="I62" i="3"/>
  <c r="H73" i="3"/>
  <c r="I78" i="3"/>
  <c r="I85" i="3"/>
  <c r="J94" i="3"/>
  <c r="J102" i="3"/>
  <c r="E108" i="3"/>
  <c r="J54" i="3" s="1"/>
  <c r="J112" i="3"/>
  <c r="I119" i="3"/>
  <c r="H137" i="3"/>
  <c r="I159" i="3"/>
  <c r="J177" i="3"/>
  <c r="J197" i="3"/>
  <c r="J203" i="3"/>
  <c r="H219" i="3"/>
  <c r="H233" i="3"/>
  <c r="E262" i="3"/>
  <c r="E15" i="1"/>
  <c r="I107" i="1"/>
  <c r="E204" i="1"/>
  <c r="E203" i="1"/>
  <c r="E206" i="1"/>
  <c r="E202" i="1"/>
  <c r="E201" i="1"/>
  <c r="E208" i="1" s="1"/>
  <c r="E205" i="1"/>
  <c r="J59" i="2"/>
  <c r="H82" i="2"/>
  <c r="I124" i="2"/>
  <c r="J246" i="3"/>
  <c r="E126" i="1"/>
  <c r="E128" i="1"/>
  <c r="E129" i="1"/>
  <c r="E131" i="1"/>
  <c r="E127" i="1"/>
  <c r="J65" i="2"/>
  <c r="J80" i="2"/>
  <c r="E107" i="2"/>
  <c r="E110" i="2"/>
  <c r="E106" i="2"/>
  <c r="E112" i="2"/>
  <c r="E111" i="2"/>
  <c r="E109" i="2"/>
  <c r="I117" i="2"/>
  <c r="H132" i="2"/>
  <c r="J159" i="2"/>
  <c r="E53" i="3"/>
  <c r="J52" i="3" s="1"/>
  <c r="I108" i="3"/>
  <c r="I116" i="3"/>
  <c r="J121" i="3"/>
  <c r="I126" i="3"/>
  <c r="J223" i="2"/>
  <c r="H225" i="2"/>
  <c r="I198" i="2"/>
  <c r="J201" i="2"/>
  <c r="J214" i="2"/>
  <c r="J198" i="2"/>
  <c r="I214" i="2"/>
  <c r="H198" i="2"/>
  <c r="J193" i="2"/>
  <c r="J233" i="2"/>
  <c r="I219" i="2"/>
  <c r="H213" i="2"/>
  <c r="H219" i="2"/>
  <c r="H222" i="2"/>
  <c r="I218" i="2"/>
  <c r="J211" i="2"/>
  <c r="H197" i="2"/>
  <c r="H192" i="2"/>
  <c r="H218" i="2"/>
  <c r="H217" i="2"/>
  <c r="J243" i="2"/>
  <c r="I238" i="2"/>
  <c r="H221" i="2"/>
  <c r="H216" i="2"/>
  <c r="H204" i="2"/>
  <c r="H190" i="2"/>
  <c r="J185" i="2"/>
  <c r="H179" i="2"/>
  <c r="J174" i="2"/>
  <c r="I237" i="2"/>
  <c r="J242" i="2"/>
  <c r="H237" i="2"/>
  <c r="I215" i="2"/>
  <c r="I200" i="2"/>
  <c r="H195" i="2"/>
  <c r="H185" i="2"/>
  <c r="J182" i="2"/>
  <c r="H235" i="2"/>
  <c r="J224" i="2"/>
  <c r="J220" i="2"/>
  <c r="H215" i="2"/>
  <c r="J203" i="2"/>
  <c r="H200" i="2"/>
  <c r="I220" i="2"/>
  <c r="I196" i="2"/>
  <c r="H184" i="2"/>
  <c r="J179" i="2"/>
  <c r="H174" i="2"/>
  <c r="J221" i="2"/>
  <c r="J202" i="2"/>
  <c r="J172" i="2"/>
  <c r="I195" i="2"/>
  <c r="I183" i="2"/>
  <c r="J178" i="2"/>
  <c r="J205" i="2"/>
  <c r="I205" i="2"/>
  <c r="I201" i="2"/>
  <c r="H194" i="2"/>
  <c r="H178" i="2"/>
  <c r="I171" i="2"/>
  <c r="H182" i="2"/>
  <c r="J176" i="2"/>
  <c r="H170" i="2"/>
  <c r="H211" i="2"/>
  <c r="J197" i="2"/>
  <c r="I190" i="2"/>
  <c r="H181" i="2"/>
  <c r="I175" i="2"/>
  <c r="H210" i="2"/>
  <c r="H203" i="2"/>
  <c r="I197" i="2"/>
  <c r="J180" i="2"/>
  <c r="H175" i="2"/>
  <c r="J164" i="2"/>
  <c r="H199" i="2"/>
  <c r="I170" i="2"/>
  <c r="I161" i="2"/>
  <c r="H154" i="2"/>
  <c r="I139" i="2"/>
  <c r="H131" i="2"/>
  <c r="H83" i="2"/>
  <c r="H76" i="2"/>
  <c r="H62" i="2"/>
  <c r="J160" i="2"/>
  <c r="H153" i="2"/>
  <c r="H144" i="2"/>
  <c r="J75" i="2"/>
  <c r="H180" i="2"/>
  <c r="I160" i="2"/>
  <c r="J152" i="2"/>
  <c r="J138" i="2"/>
  <c r="H196" i="2"/>
  <c r="I179" i="2"/>
  <c r="I164" i="2"/>
  <c r="I204" i="2"/>
  <c r="I178" i="2"/>
  <c r="H152" i="2"/>
  <c r="H201" i="2"/>
  <c r="I172" i="2"/>
  <c r="J162" i="2"/>
  <c r="H156" i="2"/>
  <c r="I193" i="2"/>
  <c r="J173" i="2"/>
  <c r="H158" i="2"/>
  <c r="H145" i="2"/>
  <c r="H79" i="2"/>
  <c r="J62" i="2"/>
  <c r="J54" i="2"/>
  <c r="H54" i="2"/>
  <c r="H193" i="2"/>
  <c r="J171" i="2"/>
  <c r="J139" i="2"/>
  <c r="I78" i="2"/>
  <c r="I60" i="2"/>
  <c r="H171" i="2"/>
  <c r="J157" i="2"/>
  <c r="H130" i="2"/>
  <c r="H98" i="2"/>
  <c r="J85" i="2"/>
  <c r="H78" i="2"/>
  <c r="J72" i="2"/>
  <c r="H60" i="2"/>
  <c r="J50" i="2"/>
  <c r="H183" i="2"/>
  <c r="I157" i="2"/>
  <c r="H138" i="2"/>
  <c r="J118" i="2"/>
  <c r="H85" i="2"/>
  <c r="I77" i="2"/>
  <c r="I59" i="2"/>
  <c r="I50" i="2"/>
  <c r="I156" i="2"/>
  <c r="I136" i="2"/>
  <c r="I84" i="2"/>
  <c r="H77" i="2"/>
  <c r="H59" i="2"/>
  <c r="I53" i="2"/>
  <c r="H50" i="2"/>
  <c r="I163" i="2"/>
  <c r="J155" i="2"/>
  <c r="H136" i="2"/>
  <c r="H118" i="2"/>
  <c r="I110" i="2"/>
  <c r="H104" i="2"/>
  <c r="J76" i="2"/>
  <c r="J71" i="2"/>
  <c r="I58" i="2"/>
  <c r="I213" i="2"/>
  <c r="H151" i="2"/>
  <c r="J142" i="2"/>
  <c r="I134" i="2"/>
  <c r="J56" i="2"/>
  <c r="J52" i="2"/>
  <c r="E93" i="2"/>
  <c r="E87" i="2"/>
  <c r="E91" i="2"/>
  <c r="E90" i="2"/>
  <c r="E92" i="2"/>
  <c r="E89" i="2"/>
  <c r="J191" i="2" s="1"/>
  <c r="H102" i="2"/>
  <c r="I133" i="2"/>
  <c r="J161" i="2"/>
  <c r="I194" i="2"/>
  <c r="E30" i="2"/>
  <c r="J31" i="2" s="1"/>
  <c r="E33" i="2"/>
  <c r="E36" i="2"/>
  <c r="H55" i="2"/>
  <c r="H103" i="2"/>
  <c r="I121" i="2"/>
  <c r="J134" i="2"/>
  <c r="E203" i="2"/>
  <c r="J95" i="2" s="1"/>
  <c r="E204" i="2"/>
  <c r="E206" i="2"/>
  <c r="E201" i="2"/>
  <c r="E202" i="2"/>
  <c r="E205" i="2"/>
  <c r="I109" i="3"/>
  <c r="I117" i="3"/>
  <c r="I122" i="3"/>
  <c r="J38" i="2"/>
  <c r="J55" i="2"/>
  <c r="I83" i="2"/>
  <c r="J103" i="2"/>
  <c r="J121" i="2"/>
  <c r="J135" i="2"/>
  <c r="E34" i="2"/>
  <c r="H42" i="2"/>
  <c r="H58" i="2"/>
  <c r="J73" i="2"/>
  <c r="J125" i="2"/>
  <c r="H140" i="2"/>
  <c r="J175" i="2"/>
  <c r="E222" i="2"/>
  <c r="J96" i="2" s="1"/>
  <c r="E226" i="2"/>
  <c r="E221" i="2"/>
  <c r="E225" i="2"/>
  <c r="E224" i="2"/>
  <c r="E220" i="2"/>
  <c r="E223" i="2"/>
  <c r="I113" i="3"/>
  <c r="H119" i="3"/>
  <c r="D65" i="2"/>
  <c r="J93" i="2"/>
  <c r="H112" i="2"/>
  <c r="J140" i="2"/>
  <c r="I150" i="2"/>
  <c r="I176" i="2"/>
  <c r="E31" i="2"/>
  <c r="I34" i="2"/>
  <c r="H44" i="2"/>
  <c r="I52" i="2"/>
  <c r="H63" i="2"/>
  <c r="H70" i="2"/>
  <c r="I112" i="2"/>
  <c r="I141" i="2"/>
  <c r="I152" i="2"/>
  <c r="E184" i="2"/>
  <c r="E182" i="2"/>
  <c r="E183" i="2"/>
  <c r="E188" i="2"/>
  <c r="E186" i="2"/>
  <c r="E185" i="2"/>
  <c r="E187" i="2"/>
  <c r="I70" i="2"/>
  <c r="J74" i="2"/>
  <c r="I94" i="2"/>
  <c r="J141" i="2"/>
  <c r="I154" i="2"/>
  <c r="E55" i="3"/>
  <c r="E57" i="3" s="1"/>
  <c r="H31" i="2"/>
  <c r="E35" i="2"/>
  <c r="J45" i="2"/>
  <c r="H64" i="2"/>
  <c r="J70" i="2"/>
  <c r="H114" i="2"/>
  <c r="I142" i="2"/>
  <c r="H126" i="3"/>
  <c r="J122" i="3"/>
  <c r="H124" i="3"/>
  <c r="H120" i="3"/>
  <c r="I115" i="3"/>
  <c r="H112" i="3"/>
  <c r="J123" i="3"/>
  <c r="J119" i="3"/>
  <c r="H115" i="3"/>
  <c r="J126" i="3"/>
  <c r="J118" i="3"/>
  <c r="H114" i="3"/>
  <c r="J111" i="3"/>
  <c r="H111" i="3"/>
  <c r="I114" i="3"/>
  <c r="J120" i="3"/>
  <c r="J125" i="3"/>
  <c r="I148" i="1"/>
  <c r="I147" i="1"/>
  <c r="I65" i="3"/>
  <c r="I111" i="3"/>
  <c r="J114" i="3"/>
  <c r="D123" i="3"/>
  <c r="E226" i="1"/>
  <c r="E222" i="1"/>
  <c r="E220" i="1"/>
  <c r="E227" i="1" s="1"/>
  <c r="I31" i="2"/>
  <c r="E54" i="2"/>
  <c r="E50" i="2"/>
  <c r="E55" i="2"/>
  <c r="E52" i="2"/>
  <c r="E51" i="2"/>
  <c r="E49" i="2"/>
  <c r="J210" i="2" s="1"/>
  <c r="I64" i="2"/>
  <c r="J79" i="2"/>
  <c r="J100" i="2"/>
  <c r="E108" i="2"/>
  <c r="J192" i="2" s="1"/>
  <c r="H115" i="2"/>
  <c r="J143" i="2"/>
  <c r="J158" i="2"/>
  <c r="J240" i="3"/>
  <c r="J34" i="2"/>
  <c r="H94" i="2"/>
  <c r="J116" i="2"/>
  <c r="J124" i="2"/>
  <c r="J42" i="2"/>
  <c r="H38" i="2"/>
  <c r="I30" i="2"/>
  <c r="H39" i="2"/>
  <c r="I35" i="2"/>
  <c r="I42" i="2"/>
  <c r="I37" i="2"/>
  <c r="I32" i="2"/>
  <c r="I45" i="2"/>
  <c r="H41" i="2"/>
  <c r="I36" i="2"/>
  <c r="J39" i="2"/>
  <c r="J43" i="2"/>
  <c r="H37" i="2"/>
  <c r="H34" i="2"/>
  <c r="I41" i="2"/>
  <c r="J35" i="2"/>
  <c r="H30" i="2"/>
  <c r="J40" i="2"/>
  <c r="H35" i="2"/>
  <c r="H45" i="2"/>
  <c r="I39" i="2"/>
  <c r="I27" i="2"/>
  <c r="H32" i="2"/>
  <c r="H43" i="2"/>
  <c r="J222" i="3"/>
  <c r="I244" i="3"/>
  <c r="J241" i="3"/>
  <c r="J238" i="3"/>
  <c r="H234" i="3"/>
  <c r="I224" i="3"/>
  <c r="I218" i="3"/>
  <c r="I214" i="3"/>
  <c r="I51" i="3"/>
  <c r="H60" i="3"/>
  <c r="I64" i="3"/>
  <c r="I133" i="3"/>
  <c r="I138" i="3"/>
  <c r="H142" i="3"/>
  <c r="J145" i="3"/>
  <c r="I186" i="3"/>
  <c r="H181" i="3"/>
  <c r="I177" i="3"/>
  <c r="J172" i="3"/>
  <c r="I168" i="3"/>
  <c r="J171" i="3"/>
  <c r="J176" i="3"/>
  <c r="J180" i="3"/>
  <c r="J186" i="3"/>
  <c r="I191" i="3"/>
  <c r="I196" i="3"/>
  <c r="I200" i="3"/>
  <c r="I203" i="3"/>
  <c r="I211" i="3"/>
  <c r="I216" i="3"/>
  <c r="H223" i="3"/>
  <c r="J232" i="3"/>
  <c r="I237" i="3"/>
  <c r="H241" i="3"/>
  <c r="I28" i="1"/>
  <c r="E146" i="1"/>
  <c r="E148" i="1"/>
  <c r="E145" i="1"/>
  <c r="I207" i="1"/>
  <c r="I208" i="1"/>
  <c r="I28" i="2"/>
  <c r="I43" i="2"/>
  <c r="H90" i="2"/>
  <c r="I118" i="2"/>
  <c r="H123" i="2"/>
  <c r="I119" i="2"/>
  <c r="J114" i="2"/>
  <c r="I111" i="2"/>
  <c r="J122" i="2"/>
  <c r="H119" i="2"/>
  <c r="I114" i="2"/>
  <c r="H111" i="2"/>
  <c r="H124" i="2"/>
  <c r="J119" i="2"/>
  <c r="H122" i="2"/>
  <c r="J117" i="2"/>
  <c r="J112" i="2"/>
  <c r="H125" i="2"/>
  <c r="H121" i="2"/>
  <c r="I116" i="2"/>
  <c r="H116" i="2"/>
  <c r="I125" i="2"/>
  <c r="I120" i="2"/>
  <c r="I113" i="2"/>
  <c r="I123" i="2"/>
  <c r="H110" i="2"/>
  <c r="I122" i="2"/>
  <c r="I115" i="2"/>
  <c r="H113" i="2"/>
  <c r="E130" i="2"/>
  <c r="E126" i="2"/>
  <c r="E132" i="2" s="1"/>
  <c r="E129" i="2"/>
  <c r="H105" i="2"/>
  <c r="H101" i="2"/>
  <c r="J90" i="2"/>
  <c r="J104" i="2"/>
  <c r="I96" i="2"/>
  <c r="I90" i="2"/>
  <c r="J102" i="2"/>
  <c r="I98" i="2"/>
  <c r="I93" i="2"/>
  <c r="J101" i="2"/>
  <c r="H97" i="2"/>
  <c r="J92" i="2"/>
  <c r="I104" i="2"/>
  <c r="I100" i="2"/>
  <c r="H95" i="2"/>
  <c r="I101" i="2"/>
  <c r="J94" i="2"/>
  <c r="H91" i="2"/>
  <c r="I105" i="2"/>
  <c r="I99" i="2"/>
  <c r="H93" i="2"/>
  <c r="H99" i="2"/>
  <c r="I92" i="2"/>
  <c r="J105" i="2"/>
  <c r="J98" i="2"/>
  <c r="H92" i="2"/>
  <c r="I103" i="2"/>
  <c r="I97" i="2"/>
  <c r="J91" i="2"/>
  <c r="I87" i="2"/>
  <c r="I91" i="2"/>
  <c r="J99" i="2"/>
  <c r="H120" i="2"/>
  <c r="D65" i="1"/>
  <c r="J30" i="2"/>
  <c r="H33" i="2"/>
  <c r="H36" i="2"/>
  <c r="I44" i="2"/>
  <c r="I54" i="3"/>
  <c r="I61" i="3"/>
  <c r="J136" i="3"/>
  <c r="I132" i="3"/>
  <c r="H131" i="3"/>
  <c r="J139" i="3"/>
  <c r="I143" i="3"/>
  <c r="H146" i="3"/>
  <c r="I173" i="3"/>
  <c r="H178" i="3"/>
  <c r="I182" i="3"/>
  <c r="J202" i="3"/>
  <c r="H205" i="3"/>
  <c r="H199" i="3"/>
  <c r="I195" i="3"/>
  <c r="J192" i="3"/>
  <c r="I197" i="3"/>
  <c r="J201" i="3"/>
  <c r="J212" i="3"/>
  <c r="J217" i="3"/>
  <c r="I221" i="3"/>
  <c r="J234" i="3"/>
  <c r="I239" i="3"/>
  <c r="H242" i="3"/>
  <c r="E150" i="1"/>
  <c r="I248" i="1"/>
  <c r="I247" i="1"/>
  <c r="I33" i="2"/>
  <c r="J36" i="2"/>
  <c r="J44" i="2"/>
  <c r="H100" i="2"/>
  <c r="J120" i="2"/>
  <c r="E131" i="2"/>
  <c r="D160" i="1"/>
  <c r="D236" i="1"/>
  <c r="I54" i="2"/>
  <c r="J78" i="2"/>
  <c r="I74" i="2"/>
  <c r="J82" i="2"/>
  <c r="I82" i="2"/>
  <c r="J77" i="2"/>
  <c r="I71" i="2"/>
  <c r="I68" i="2"/>
  <c r="I85" i="2"/>
  <c r="I81" i="2"/>
  <c r="I76" i="2"/>
  <c r="I67" i="2"/>
  <c r="H84" i="2"/>
  <c r="H80" i="2"/>
  <c r="H75" i="2"/>
  <c r="I72" i="2"/>
  <c r="J81" i="2"/>
  <c r="I75" i="2"/>
  <c r="H72" i="2"/>
  <c r="J84" i="2"/>
  <c r="I79" i="2"/>
  <c r="H71" i="2"/>
  <c r="H74" i="2"/>
  <c r="H81" i="2"/>
  <c r="J144" i="2"/>
  <c r="H141" i="2"/>
  <c r="I137" i="2"/>
  <c r="J132" i="2"/>
  <c r="I144" i="2"/>
  <c r="H137" i="2"/>
  <c r="I132" i="2"/>
  <c r="H135" i="2"/>
  <c r="I143" i="2"/>
  <c r="J133" i="2"/>
  <c r="I145" i="2"/>
  <c r="H142" i="2"/>
  <c r="J137" i="2"/>
  <c r="I140" i="2"/>
  <c r="I135" i="2"/>
  <c r="I130" i="2"/>
  <c r="H139" i="2"/>
  <c r="H133" i="2"/>
  <c r="H143" i="2"/>
  <c r="I138" i="2"/>
  <c r="I131" i="2"/>
  <c r="J130" i="2"/>
  <c r="J136" i="2"/>
  <c r="J64" i="2"/>
  <c r="J60" i="2"/>
  <c r="H56" i="2"/>
  <c r="J53" i="2"/>
  <c r="H51" i="2"/>
  <c r="I47" i="2"/>
  <c r="I63" i="2"/>
  <c r="J58" i="2"/>
  <c r="H52" i="2"/>
  <c r="I62" i="2"/>
  <c r="I57" i="2"/>
  <c r="J51" i="2"/>
  <c r="I48" i="2"/>
  <c r="H65" i="2"/>
  <c r="H61" i="2"/>
  <c r="H53" i="2"/>
  <c r="J63" i="2"/>
  <c r="J57" i="2"/>
  <c r="J61" i="2"/>
  <c r="I55" i="2"/>
  <c r="I61" i="2"/>
  <c r="I165" i="2"/>
  <c r="I159" i="2"/>
  <c r="I155" i="2"/>
  <c r="I147" i="2"/>
  <c r="H165" i="2"/>
  <c r="H159" i="2"/>
  <c r="H155" i="2"/>
  <c r="J150" i="2"/>
  <c r="H164" i="2"/>
  <c r="H161" i="2"/>
  <c r="J156" i="2"/>
  <c r="I151" i="2"/>
  <c r="J163" i="2"/>
  <c r="J154" i="2"/>
  <c r="J165" i="2"/>
  <c r="I158" i="2"/>
  <c r="I153" i="2"/>
  <c r="H150" i="2"/>
  <c r="H157" i="2"/>
  <c r="I162" i="2"/>
  <c r="I234" i="3"/>
  <c r="H238" i="3"/>
  <c r="I243" i="3"/>
  <c r="I168" i="1"/>
  <c r="E151" i="2"/>
  <c r="D160" i="2"/>
  <c r="I224" i="2"/>
  <c r="I213" i="3"/>
  <c r="I217" i="3"/>
  <c r="I231" i="3"/>
  <c r="J235" i="3"/>
  <c r="J239" i="3"/>
  <c r="H244" i="3"/>
  <c r="J153" i="2"/>
  <c r="H160" i="2"/>
  <c r="E243" i="2"/>
  <c r="E240" i="2"/>
  <c r="J115" i="2" s="1"/>
  <c r="E242" i="2"/>
  <c r="J195" i="2" s="1"/>
  <c r="E244" i="2"/>
  <c r="E241" i="2"/>
  <c r="H245" i="2"/>
  <c r="J240" i="2"/>
  <c r="H238" i="2"/>
  <c r="H234" i="2"/>
  <c r="I228" i="2"/>
  <c r="I240" i="2"/>
  <c r="J237" i="2"/>
  <c r="I227" i="2"/>
  <c r="I242" i="2"/>
  <c r="J244" i="2"/>
  <c r="H242" i="2"/>
  <c r="J236" i="2"/>
  <c r="H233" i="2"/>
  <c r="I244" i="2"/>
  <c r="I236" i="2"/>
  <c r="J232" i="2"/>
  <c r="H244" i="2"/>
  <c r="J239" i="2"/>
  <c r="H236" i="2"/>
  <c r="I232" i="2"/>
  <c r="I239" i="2"/>
  <c r="H232" i="2"/>
  <c r="J241" i="2"/>
  <c r="H239" i="2"/>
  <c r="J235" i="2"/>
  <c r="J231" i="2"/>
  <c r="I241" i="2"/>
  <c r="I235" i="2"/>
  <c r="I231" i="2"/>
  <c r="I243" i="2"/>
  <c r="J230" i="2"/>
  <c r="J245" i="2"/>
  <c r="H243" i="2"/>
  <c r="J238" i="2"/>
  <c r="J234" i="2"/>
  <c r="I230" i="2"/>
  <c r="E239" i="2"/>
  <c r="J212" i="2" s="1"/>
  <c r="I184" i="2"/>
  <c r="J181" i="2"/>
  <c r="J177" i="2"/>
  <c r="I173" i="2"/>
  <c r="I181" i="2"/>
  <c r="I177" i="2"/>
  <c r="H173" i="2"/>
  <c r="I168" i="2"/>
  <c r="J170" i="2"/>
  <c r="H176" i="2"/>
  <c r="I180" i="2"/>
  <c r="J183" i="2"/>
  <c r="I203" i="2"/>
  <c r="H230" i="2"/>
  <c r="H231" i="2"/>
  <c r="E245" i="2"/>
  <c r="I233" i="2"/>
  <c r="H240" i="2"/>
  <c r="I245" i="2"/>
  <c r="I167" i="2"/>
  <c r="H172" i="2"/>
  <c r="H177" i="2"/>
  <c r="J184" i="2"/>
  <c r="E260" i="2"/>
  <c r="I12" i="2" s="1"/>
  <c r="E264" i="2"/>
  <c r="E259" i="2"/>
  <c r="J97" i="2" s="1"/>
  <c r="E263" i="2"/>
  <c r="E258" i="2"/>
  <c r="E265" i="2" s="1"/>
  <c r="E262" i="2"/>
  <c r="E261" i="2"/>
  <c r="I234" i="2"/>
  <c r="H241" i="2"/>
  <c r="I212" i="2"/>
  <c r="I216" i="2"/>
  <c r="I222" i="2"/>
  <c r="J216" i="2"/>
  <c r="H220" i="2"/>
  <c r="J222" i="2"/>
  <c r="H191" i="2"/>
  <c r="I199" i="2"/>
  <c r="H202" i="2"/>
  <c r="J204" i="2"/>
  <c r="I207" i="2"/>
  <c r="J213" i="2"/>
  <c r="I217" i="2"/>
  <c r="I225" i="2"/>
  <c r="I191" i="2"/>
  <c r="J199" i="2"/>
  <c r="I202" i="2"/>
  <c r="H214" i="2"/>
  <c r="J217" i="2"/>
  <c r="H223" i="2"/>
  <c r="J225" i="2"/>
  <c r="I223" i="2"/>
  <c r="I192" i="2"/>
  <c r="J196" i="2"/>
  <c r="J200" i="2"/>
  <c r="H205" i="2"/>
  <c r="I210" i="2"/>
  <c r="J218" i="2"/>
  <c r="I221" i="2"/>
  <c r="I211" i="2"/>
  <c r="J215" i="2"/>
  <c r="J219" i="2"/>
  <c r="H224" i="2"/>
  <c r="E152" i="3" l="1"/>
  <c r="E94" i="2"/>
  <c r="I4" i="2"/>
  <c r="E18" i="2"/>
  <c r="I89" i="3"/>
  <c r="J34" i="3"/>
  <c r="E266" i="3"/>
  <c r="I8" i="2"/>
  <c r="I88" i="2"/>
  <c r="E113" i="2"/>
  <c r="E244" i="1"/>
  <c r="E241" i="1"/>
  <c r="E240" i="1"/>
  <c r="E243" i="1"/>
  <c r="E239" i="1"/>
  <c r="E246" i="1" s="1"/>
  <c r="E242" i="1"/>
  <c r="E245" i="1"/>
  <c r="J111" i="2"/>
  <c r="E163" i="1"/>
  <c r="E170" i="1" s="1"/>
  <c r="E169" i="1"/>
  <c r="E168" i="1"/>
  <c r="E167" i="1"/>
  <c r="E164" i="1"/>
  <c r="E166" i="1"/>
  <c r="E165" i="1"/>
  <c r="E227" i="2"/>
  <c r="E129" i="3"/>
  <c r="E132" i="3"/>
  <c r="E130" i="3"/>
  <c r="E131" i="3"/>
  <c r="E126" i="3"/>
  <c r="E128" i="3"/>
  <c r="J195" i="3" s="1"/>
  <c r="E127" i="3"/>
  <c r="J55" i="3" s="1"/>
  <c r="E189" i="2"/>
  <c r="E37" i="2"/>
  <c r="E95" i="3"/>
  <c r="I169" i="3"/>
  <c r="I13" i="3"/>
  <c r="E208" i="2"/>
  <c r="J33" i="2"/>
  <c r="E246" i="2"/>
  <c r="E70" i="1"/>
  <c r="E72" i="1"/>
  <c r="E69" i="1"/>
  <c r="E74" i="1"/>
  <c r="E68" i="1"/>
  <c r="E75" i="1" s="1"/>
  <c r="E73" i="1"/>
  <c r="E71" i="1"/>
  <c r="E76" i="3"/>
  <c r="E56" i="1"/>
  <c r="F49" i="1"/>
  <c r="E38" i="3"/>
  <c r="J32" i="2"/>
  <c r="E74" i="2"/>
  <c r="E68" i="2"/>
  <c r="I148" i="2" s="1"/>
  <c r="E69" i="2"/>
  <c r="E72" i="2"/>
  <c r="E73" i="2"/>
  <c r="E70" i="2"/>
  <c r="E71" i="2"/>
  <c r="I14" i="3"/>
  <c r="I229" i="3"/>
  <c r="I9" i="3"/>
  <c r="I7" i="3"/>
  <c r="I49" i="3"/>
  <c r="J152" i="3"/>
  <c r="I9" i="2"/>
  <c r="J191" i="3"/>
  <c r="I208" i="2"/>
  <c r="E56" i="2"/>
  <c r="I15" i="2"/>
  <c r="E163" i="2"/>
  <c r="E168" i="2"/>
  <c r="E165" i="2"/>
  <c r="E169" i="2"/>
  <c r="E164" i="2"/>
  <c r="J194" i="2" s="1"/>
  <c r="E167" i="2"/>
  <c r="E166" i="2"/>
  <c r="E114" i="3"/>
  <c r="E19" i="3"/>
  <c r="I11" i="3"/>
  <c r="E228" i="3"/>
  <c r="I189" i="3" l="1"/>
  <c r="I15" i="3"/>
  <c r="J33" i="3"/>
  <c r="I29" i="3"/>
  <c r="I5" i="3"/>
  <c r="I22" i="3" s="1"/>
  <c r="N13" i="3" s="1"/>
  <c r="N14" i="3" s="1"/>
  <c r="I205" i="1"/>
  <c r="H118" i="1"/>
  <c r="I115" i="1"/>
  <c r="H43" i="1"/>
  <c r="I51" i="1"/>
  <c r="I99" i="1"/>
  <c r="J76" i="1"/>
  <c r="H32" i="1"/>
  <c r="J218" i="1"/>
  <c r="H200" i="1"/>
  <c r="I31" i="1"/>
  <c r="H92" i="1"/>
  <c r="I61" i="1"/>
  <c r="H234" i="1"/>
  <c r="H58" i="1"/>
  <c r="H143" i="1"/>
  <c r="I34" i="1"/>
  <c r="I35" i="1"/>
  <c r="J265" i="1"/>
  <c r="H52" i="1"/>
  <c r="H231" i="1"/>
  <c r="I73" i="1"/>
  <c r="I125" i="1"/>
  <c r="H116" i="1"/>
  <c r="J100" i="1"/>
  <c r="I91" i="1"/>
  <c r="H84" i="1"/>
  <c r="J73" i="1"/>
  <c r="I56" i="1"/>
  <c r="I43" i="1"/>
  <c r="J159" i="1"/>
  <c r="H55" i="1"/>
  <c r="I80" i="1"/>
  <c r="J58" i="1"/>
  <c r="H131" i="1"/>
  <c r="H140" i="1"/>
  <c r="I142" i="1"/>
  <c r="I237" i="1"/>
  <c r="H236" i="1"/>
  <c r="H272" i="1"/>
  <c r="H182" i="1"/>
  <c r="I60" i="1"/>
  <c r="I65" i="1"/>
  <c r="J103" i="1"/>
  <c r="H138" i="1"/>
  <c r="H94" i="1"/>
  <c r="H111" i="1"/>
  <c r="I123" i="1"/>
  <c r="H172" i="1"/>
  <c r="I82" i="1"/>
  <c r="J72" i="1"/>
  <c r="H78" i="1"/>
  <c r="J158" i="1"/>
  <c r="J113" i="1"/>
  <c r="J182" i="1"/>
  <c r="I238" i="1"/>
  <c r="J271" i="1"/>
  <c r="H271" i="1"/>
  <c r="H174" i="1"/>
  <c r="I239" i="1"/>
  <c r="J233" i="1"/>
  <c r="J184" i="1"/>
  <c r="I159" i="1"/>
  <c r="J154" i="1"/>
  <c r="H161" i="1"/>
  <c r="J34" i="1"/>
  <c r="J216" i="1"/>
  <c r="J222" i="1"/>
  <c r="H202" i="1"/>
  <c r="I201" i="1"/>
  <c r="I216" i="1"/>
  <c r="I261" i="1"/>
  <c r="I258" i="1"/>
  <c r="I104" i="1"/>
  <c r="I243" i="1"/>
  <c r="H285" i="1"/>
  <c r="I181" i="1"/>
  <c r="J240" i="1"/>
  <c r="I214" i="1"/>
  <c r="H165" i="1"/>
  <c r="I153" i="1"/>
  <c r="I152" i="1"/>
  <c r="I173" i="1"/>
  <c r="J37" i="1"/>
  <c r="I212" i="1"/>
  <c r="H215" i="1"/>
  <c r="I199" i="1"/>
  <c r="I197" i="1"/>
  <c r="H221" i="1"/>
  <c r="J254" i="1"/>
  <c r="H254" i="1"/>
  <c r="I100" i="1"/>
  <c r="J237" i="1"/>
  <c r="H280" i="1"/>
  <c r="I177" i="1"/>
  <c r="H256" i="1"/>
  <c r="J250" i="1"/>
  <c r="H159" i="1"/>
  <c r="J163" i="1"/>
  <c r="I151" i="1"/>
  <c r="J194" i="1"/>
  <c r="J43" i="1"/>
  <c r="H225" i="1"/>
  <c r="J223" i="1"/>
  <c r="J195" i="1"/>
  <c r="H250" i="1"/>
  <c r="J232" i="1"/>
  <c r="I192" i="1"/>
  <c r="J202" i="1"/>
  <c r="H164" i="1"/>
  <c r="J84" i="1"/>
  <c r="H31" i="1"/>
  <c r="H74" i="1"/>
  <c r="I139" i="1"/>
  <c r="H133" i="1"/>
  <c r="J132" i="1"/>
  <c r="H181" i="1"/>
  <c r="J221" i="1"/>
  <c r="I241" i="1"/>
  <c r="I154" i="1"/>
  <c r="J55" i="1"/>
  <c r="J59" i="1"/>
  <c r="I150" i="1"/>
  <c r="I138" i="1"/>
  <c r="I120" i="1"/>
  <c r="H125" i="1"/>
  <c r="J114" i="1"/>
  <c r="J191" i="1"/>
  <c r="H81" i="1"/>
  <c r="I72" i="1"/>
  <c r="I174" i="1"/>
  <c r="H142" i="1"/>
  <c r="J177" i="1"/>
  <c r="H232" i="1"/>
  <c r="J259" i="1"/>
  <c r="I244" i="1"/>
  <c r="J101" i="1"/>
  <c r="J253" i="1"/>
  <c r="H134" i="1"/>
  <c r="J144" i="1"/>
  <c r="H132" i="1"/>
  <c r="I172" i="1"/>
  <c r="I215" i="1"/>
  <c r="I234" i="1"/>
  <c r="I94" i="1"/>
  <c r="J50" i="1"/>
  <c r="H61" i="1"/>
  <c r="H135" i="1"/>
  <c r="H156" i="1"/>
  <c r="I157" i="1"/>
  <c r="J115" i="1"/>
  <c r="H120" i="1"/>
  <c r="H114" i="1"/>
  <c r="H203" i="1"/>
  <c r="J40" i="1"/>
  <c r="H75" i="1"/>
  <c r="H195" i="1"/>
  <c r="H176" i="1"/>
  <c r="I171" i="1"/>
  <c r="H216" i="1"/>
  <c r="I254" i="1"/>
  <c r="I236" i="1"/>
  <c r="H95" i="1"/>
  <c r="I265" i="1"/>
  <c r="J57" i="1"/>
  <c r="H102" i="1"/>
  <c r="H130" i="1"/>
  <c r="J143" i="1"/>
  <c r="H180" i="1"/>
  <c r="J91" i="1"/>
  <c r="I119" i="1"/>
  <c r="I141" i="1"/>
  <c r="J137" i="1"/>
  <c r="J219" i="1"/>
  <c r="I93" i="1"/>
  <c r="J180" i="1"/>
  <c r="I179" i="1"/>
  <c r="J64" i="1"/>
  <c r="H59" i="1"/>
  <c r="H60" i="1"/>
  <c r="J224" i="1"/>
  <c r="I163" i="1"/>
  <c r="J277" i="1"/>
  <c r="J120" i="1"/>
  <c r="H183" i="1"/>
  <c r="H123" i="1"/>
  <c r="J124" i="1"/>
  <c r="I74" i="1"/>
  <c r="J80" i="1"/>
  <c r="I77" i="1"/>
  <c r="J282" i="1"/>
  <c r="H177" i="1"/>
  <c r="J236" i="1"/>
  <c r="J190" i="1"/>
  <c r="H36" i="1"/>
  <c r="J150" i="1"/>
  <c r="J42" i="1"/>
  <c r="J210" i="1"/>
  <c r="H204" i="1"/>
  <c r="J196" i="1"/>
  <c r="I260" i="1"/>
  <c r="H91" i="1"/>
  <c r="H239" i="1"/>
  <c r="J242" i="1"/>
  <c r="H284" i="1"/>
  <c r="H179" i="1"/>
  <c r="H152" i="1"/>
  <c r="H38" i="1"/>
  <c r="H198" i="1"/>
  <c r="J261" i="1"/>
  <c r="J235" i="1"/>
  <c r="I278" i="1"/>
  <c r="H175" i="1"/>
  <c r="I84" i="1"/>
  <c r="J238" i="1"/>
  <c r="J198" i="1"/>
  <c r="H281" i="1"/>
  <c r="I30" i="1"/>
  <c r="H259" i="1"/>
  <c r="H98" i="1"/>
  <c r="J272" i="1"/>
  <c r="J200" i="1"/>
  <c r="J211" i="1"/>
  <c r="J204" i="1"/>
  <c r="H192" i="1"/>
  <c r="H64" i="1"/>
  <c r="H241" i="1"/>
  <c r="I160" i="1"/>
  <c r="I144" i="1"/>
  <c r="J135" i="1"/>
  <c r="J141" i="1"/>
  <c r="H244" i="1"/>
  <c r="H33" i="1"/>
  <c r="H274" i="1"/>
  <c r="J283" i="1"/>
  <c r="J60" i="1"/>
  <c r="J54" i="1"/>
  <c r="J65" i="1"/>
  <c r="H151" i="1"/>
  <c r="H211" i="1"/>
  <c r="J39" i="1"/>
  <c r="J118" i="1"/>
  <c r="I118" i="1"/>
  <c r="I164" i="1"/>
  <c r="H50" i="1"/>
  <c r="H85" i="1"/>
  <c r="J74" i="1"/>
  <c r="I83" i="1"/>
  <c r="J273" i="1"/>
  <c r="H104" i="1"/>
  <c r="H230" i="1"/>
  <c r="H278" i="1"/>
  <c r="I38" i="1"/>
  <c r="J162" i="1"/>
  <c r="I224" i="1"/>
  <c r="I190" i="1"/>
  <c r="I253" i="1"/>
  <c r="H90" i="1"/>
  <c r="I235" i="1"/>
  <c r="I81" i="1"/>
  <c r="H76" i="1"/>
  <c r="I98" i="1"/>
  <c r="J45" i="1"/>
  <c r="J245" i="1"/>
  <c r="I219" i="1"/>
  <c r="H194" i="1"/>
  <c r="I204" i="1"/>
  <c r="J262" i="1"/>
  <c r="J231" i="1"/>
  <c r="I156" i="1"/>
  <c r="I185" i="1"/>
  <c r="I180" i="1"/>
  <c r="J152" i="1"/>
  <c r="H257" i="1"/>
  <c r="H275" i="1"/>
  <c r="I213" i="1"/>
  <c r="J111" i="1"/>
  <c r="H273" i="1"/>
  <c r="H263" i="1"/>
  <c r="I110" i="1"/>
  <c r="H137" i="1"/>
  <c r="H141" i="1"/>
  <c r="J131" i="1"/>
  <c r="I275" i="1"/>
  <c r="H251" i="1"/>
  <c r="J174" i="1"/>
  <c r="H56" i="1"/>
  <c r="H63" i="1"/>
  <c r="I58" i="1"/>
  <c r="J260" i="1"/>
  <c r="H261" i="1"/>
  <c r="I64" i="1"/>
  <c r="I113" i="1"/>
  <c r="H122" i="1"/>
  <c r="J170" i="1"/>
  <c r="H258" i="1"/>
  <c r="I158" i="1"/>
  <c r="I225" i="1"/>
  <c r="I230" i="1"/>
  <c r="H170" i="1"/>
  <c r="I251" i="1"/>
  <c r="J90" i="1"/>
  <c r="I95" i="1"/>
  <c r="I132" i="1"/>
  <c r="I135" i="1"/>
  <c r="I131" i="1"/>
  <c r="H252" i="1"/>
  <c r="H235" i="1"/>
  <c r="I102" i="1"/>
  <c r="J53" i="1"/>
  <c r="H57" i="1"/>
  <c r="J63" i="1"/>
  <c r="H77" i="1"/>
  <c r="J280" i="1"/>
  <c r="J95" i="1"/>
  <c r="J110" i="1"/>
  <c r="J116" i="1"/>
  <c r="J183" i="1"/>
  <c r="I76" i="1"/>
  <c r="I79" i="1"/>
  <c r="I71" i="1"/>
  <c r="I283" i="1"/>
  <c r="I232" i="1"/>
  <c r="I44" i="1"/>
  <c r="I191" i="1"/>
  <c r="I240" i="1"/>
  <c r="J94" i="1"/>
  <c r="J153" i="1"/>
  <c r="J165" i="1"/>
  <c r="H238" i="1"/>
  <c r="H45" i="1"/>
  <c r="I217" i="1"/>
  <c r="J214" i="1"/>
  <c r="J203" i="1"/>
  <c r="H201" i="1"/>
  <c r="I256" i="1"/>
  <c r="I259" i="1"/>
  <c r="H103" i="1"/>
  <c r="H245" i="1"/>
  <c r="J234" i="1"/>
  <c r="I282" i="1"/>
  <c r="I184" i="1"/>
  <c r="I255" i="1"/>
  <c r="H283" i="1"/>
  <c r="J176" i="1"/>
  <c r="J93" i="1"/>
  <c r="I276" i="1"/>
  <c r="J256" i="1"/>
  <c r="J230" i="1"/>
  <c r="J179" i="1"/>
  <c r="H150" i="1"/>
  <c r="I210" i="1"/>
  <c r="I37" i="1"/>
  <c r="J105" i="1"/>
  <c r="J123" i="1"/>
  <c r="J78" i="1"/>
  <c r="H279" i="1"/>
  <c r="I262" i="1"/>
  <c r="J212" i="1"/>
  <c r="H160" i="1"/>
  <c r="I143" i="1"/>
  <c r="H144" i="1"/>
  <c r="J145" i="1"/>
  <c r="J193" i="1"/>
  <c r="I221" i="1"/>
  <c r="I45" i="1"/>
  <c r="H51" i="1"/>
  <c r="I53" i="1"/>
  <c r="I52" i="1"/>
  <c r="J122" i="1"/>
  <c r="I122" i="1"/>
  <c r="H121" i="1"/>
  <c r="I211" i="1"/>
  <c r="H71" i="1"/>
  <c r="H82" i="1"/>
  <c r="J276" i="1"/>
  <c r="I105" i="1"/>
  <c r="J32" i="1"/>
  <c r="H185" i="1"/>
  <c r="I222" i="1"/>
  <c r="I103" i="1"/>
  <c r="J164" i="1"/>
  <c r="I162" i="1"/>
  <c r="J30" i="1"/>
  <c r="I252" i="1"/>
  <c r="H41" i="1"/>
  <c r="J213" i="1"/>
  <c r="H223" i="1"/>
  <c r="H197" i="1"/>
  <c r="I196" i="1"/>
  <c r="J252" i="1"/>
  <c r="J255" i="1"/>
  <c r="H240" i="1"/>
  <c r="J281" i="1"/>
  <c r="H276" i="1"/>
  <c r="H178" i="1"/>
  <c r="I161" i="1"/>
  <c r="I33" i="1"/>
  <c r="J36" i="1"/>
  <c r="J192" i="1"/>
  <c r="I263" i="1"/>
  <c r="H237" i="1"/>
  <c r="I270" i="1"/>
  <c r="J173" i="1"/>
  <c r="J172" i="1"/>
  <c r="I96" i="1"/>
  <c r="H205" i="1"/>
  <c r="J258" i="1"/>
  <c r="H242" i="1"/>
  <c r="J275" i="1"/>
  <c r="H171" i="1"/>
  <c r="H44" i="1"/>
  <c r="J215" i="1"/>
  <c r="J44" i="1"/>
  <c r="I193" i="1"/>
  <c r="I274" i="1"/>
  <c r="I182" i="1"/>
  <c r="I183" i="1"/>
  <c r="H214" i="1"/>
  <c r="H199" i="1"/>
  <c r="J225" i="1"/>
  <c r="I194" i="1"/>
  <c r="H224" i="1"/>
  <c r="H173" i="1"/>
  <c r="H163" i="1"/>
  <c r="I176" i="1"/>
  <c r="H155" i="1"/>
  <c r="H260" i="1"/>
  <c r="J241" i="1"/>
  <c r="J197" i="1"/>
  <c r="I117" i="1"/>
  <c r="H139" i="1"/>
  <c r="J133" i="1"/>
  <c r="J138" i="1"/>
  <c r="H30" i="1"/>
  <c r="H100" i="1"/>
  <c r="J278" i="1"/>
  <c r="J56" i="1"/>
  <c r="J62" i="1"/>
  <c r="H37" i="1"/>
  <c r="I137" i="1"/>
  <c r="H119" i="1"/>
  <c r="J117" i="1"/>
  <c r="J112" i="1"/>
  <c r="J284" i="1"/>
  <c r="I203" i="1"/>
  <c r="J83" i="1"/>
  <c r="H83" i="1"/>
  <c r="I70" i="1"/>
  <c r="J257" i="1"/>
  <c r="J185" i="1"/>
  <c r="H99" i="1"/>
  <c r="I273" i="1"/>
  <c r="J175" i="1"/>
  <c r="H219" i="1"/>
  <c r="J155" i="1"/>
  <c r="H40" i="1"/>
  <c r="J156" i="1"/>
  <c r="I277" i="1"/>
  <c r="H210" i="1"/>
  <c r="H35" i="1"/>
  <c r="H190" i="1"/>
  <c r="I250" i="1"/>
  <c r="H277" i="1"/>
  <c r="H157" i="1"/>
  <c r="I36" i="1"/>
  <c r="H34" i="1"/>
  <c r="J220" i="1"/>
  <c r="I39" i="1"/>
  <c r="H262" i="1"/>
  <c r="H233" i="1"/>
  <c r="I178" i="1"/>
  <c r="J157" i="1"/>
  <c r="H162" i="1"/>
  <c r="H218" i="1"/>
  <c r="I202" i="1"/>
  <c r="H101" i="1"/>
  <c r="J244" i="1"/>
  <c r="I279" i="1"/>
  <c r="I220" i="1"/>
  <c r="H264" i="1"/>
  <c r="I231" i="1"/>
  <c r="J85" i="1"/>
  <c r="H153" i="1"/>
  <c r="H220" i="1"/>
  <c r="H191" i="1"/>
  <c r="J98" i="1"/>
  <c r="I245" i="1"/>
  <c r="I264" i="1"/>
  <c r="I233" i="1"/>
  <c r="J161" i="1"/>
  <c r="I134" i="1"/>
  <c r="I145" i="1"/>
  <c r="I130" i="1"/>
  <c r="J274" i="1"/>
  <c r="J92" i="1"/>
  <c r="J264" i="1"/>
  <c r="I62" i="1"/>
  <c r="H53" i="1"/>
  <c r="H62" i="1"/>
  <c r="I63" i="1"/>
  <c r="J270" i="1"/>
  <c r="I114" i="1"/>
  <c r="H112" i="1"/>
  <c r="I112" i="1"/>
  <c r="H96" i="1"/>
  <c r="H222" i="1"/>
  <c r="J33" i="1"/>
  <c r="J79" i="1"/>
  <c r="J77" i="1"/>
  <c r="H80" i="1"/>
  <c r="J171" i="1"/>
  <c r="H93" i="1"/>
  <c r="H193" i="1"/>
  <c r="J102" i="1"/>
  <c r="H213" i="1"/>
  <c r="I175" i="1"/>
  <c r="I165" i="1"/>
  <c r="I223" i="1"/>
  <c r="I195" i="1"/>
  <c r="H105" i="1"/>
  <c r="I272" i="1"/>
  <c r="H255" i="1"/>
  <c r="I281" i="1"/>
  <c r="I155" i="1"/>
  <c r="H42" i="1"/>
  <c r="J96" i="1"/>
  <c r="J239" i="1"/>
  <c r="J181" i="1"/>
  <c r="I97" i="1"/>
  <c r="J279" i="1"/>
  <c r="I271" i="1"/>
  <c r="I101" i="1"/>
  <c r="I136" i="1"/>
  <c r="J41" i="1"/>
  <c r="J201" i="1"/>
  <c r="H243" i="1"/>
  <c r="J178" i="1"/>
  <c r="J130" i="1"/>
  <c r="I140" i="1"/>
  <c r="J136" i="1"/>
  <c r="J263" i="1"/>
  <c r="I42" i="1"/>
  <c r="H253" i="1"/>
  <c r="I57" i="1"/>
  <c r="I50" i="1"/>
  <c r="I59" i="1"/>
  <c r="I78" i="1"/>
  <c r="H124" i="1"/>
  <c r="J125" i="1"/>
  <c r="J119" i="1"/>
  <c r="I124" i="1"/>
  <c r="I285" i="1"/>
  <c r="I257" i="1"/>
  <c r="I40" i="1"/>
  <c r="H72" i="1"/>
  <c r="H73" i="1"/>
  <c r="H79" i="1"/>
  <c r="I41" i="1"/>
  <c r="J104" i="1"/>
  <c r="I90" i="1"/>
  <c r="H39" i="1"/>
  <c r="H97" i="1"/>
  <c r="J205" i="1"/>
  <c r="H196" i="1"/>
  <c r="J151" i="1"/>
  <c r="I170" i="1"/>
  <c r="H212" i="1"/>
  <c r="I198" i="1"/>
  <c r="I284" i="1"/>
  <c r="H270" i="1"/>
  <c r="J199" i="1"/>
  <c r="J140" i="1"/>
  <c r="I133" i="1"/>
  <c r="J142" i="1"/>
  <c r="J251" i="1"/>
  <c r="J35" i="1"/>
  <c r="J243" i="1"/>
  <c r="J51" i="1"/>
  <c r="J61" i="1"/>
  <c r="H70" i="1"/>
  <c r="I32" i="1"/>
  <c r="J38" i="1"/>
  <c r="H115" i="1"/>
  <c r="I121" i="1"/>
  <c r="H117" i="1"/>
  <c r="J139" i="1"/>
  <c r="I54" i="1"/>
  <c r="J81" i="1"/>
  <c r="J70" i="1"/>
  <c r="J82" i="1"/>
  <c r="J97" i="1"/>
  <c r="J99" i="1"/>
  <c r="H282" i="1"/>
  <c r="I280" i="1"/>
  <c r="I92" i="1"/>
  <c r="H184" i="1"/>
  <c r="I218" i="1"/>
  <c r="J31" i="1"/>
  <c r="H265" i="1"/>
  <c r="H54" i="1"/>
  <c r="H113" i="1"/>
  <c r="I200" i="1"/>
  <c r="H217" i="1"/>
  <c r="J52" i="1"/>
  <c r="H136" i="1"/>
  <c r="H145" i="1"/>
  <c r="J134" i="1"/>
  <c r="I242" i="1"/>
  <c r="J285" i="1"/>
  <c r="J217" i="1"/>
  <c r="I55" i="1"/>
  <c r="I75" i="1"/>
  <c r="H154" i="1"/>
  <c r="J121" i="1"/>
  <c r="J71" i="1"/>
  <c r="I111" i="1"/>
  <c r="I116" i="1"/>
  <c r="H110" i="1"/>
  <c r="H158" i="1"/>
  <c r="H65" i="1"/>
  <c r="J75" i="1"/>
  <c r="I85" i="1"/>
  <c r="J160" i="1"/>
  <c r="E170" i="2"/>
  <c r="J113" i="2"/>
  <c r="E75" i="2"/>
  <c r="J151" i="2"/>
  <c r="I188" i="2"/>
  <c r="I14" i="2"/>
  <c r="J190" i="2"/>
  <c r="E133" i="3"/>
  <c r="I129" i="3"/>
  <c r="J134" i="3"/>
  <c r="I21" i="2"/>
  <c r="I108" i="2"/>
  <c r="I11" i="2"/>
</calcChain>
</file>

<file path=xl/sharedStrings.xml><?xml version="1.0" encoding="utf-8"?>
<sst xmlns="http://schemas.openxmlformats.org/spreadsheetml/2006/main" count="750" uniqueCount="31">
  <si>
    <t>Cycle</t>
  </si>
  <si>
    <t>Employees</t>
  </si>
  <si>
    <t>Total Tips</t>
  </si>
  <si>
    <t>Total Hours</t>
  </si>
  <si>
    <t>Count</t>
  </si>
  <si>
    <t>Dashboard Tips</t>
  </si>
  <si>
    <t>Cynthia Rosales Perez</t>
  </si>
  <si>
    <t>DoorDash Tips</t>
  </si>
  <si>
    <t>David Kumec</t>
  </si>
  <si>
    <t>Kiosk Tips</t>
  </si>
  <si>
    <t>Lauren Sanders</t>
  </si>
  <si>
    <t>Maya Snyder</t>
  </si>
  <si>
    <t>Meckenzie Anderson</t>
  </si>
  <si>
    <t>Per Hour Value</t>
  </si>
  <si>
    <t>Mia badillo</t>
  </si>
  <si>
    <t>Hours</t>
  </si>
  <si>
    <t>Tips</t>
  </si>
  <si>
    <t>Micaela Hartley</t>
  </si>
  <si>
    <t>Michelle Osnovikov</t>
  </si>
  <si>
    <t>Mikaela Sosa Fuentes</t>
  </si>
  <si>
    <t>Natalie Dreyer</t>
  </si>
  <si>
    <t>Sally Rodriguez</t>
  </si>
  <si>
    <t>Sara Cobos</t>
  </si>
  <si>
    <t>Sophie Morris</t>
  </si>
  <si>
    <t>Total</t>
  </si>
  <si>
    <t>Cross-Verification — Daily Entries By Dates</t>
  </si>
  <si>
    <t>Total Hours:</t>
  </si>
  <si>
    <t>Total Tips:</t>
  </si>
  <si>
    <t>Date</t>
  </si>
  <si>
    <t>Cycle 7-20 September</t>
  </si>
  <si>
    <t>Differ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</si>
</sst>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&quot;, &quot;mmmm\ dd&quot;, &quot;yyyy"/>
    <numFmt numFmtId="165" formatCode="m/d/yyyy"/>
  </numFmts>
  <fonts count="17" x14ac:knownFonts="1">
    <font>
      <sz val="11"/>
      <color theme="1"/>
      <name val="Calibri"/>
      <family val="2"/>
      <charset val="1"/>
    </font>
    <font>
      <b/>
      <i/>
      <sz val="12"/>
      <color theme="0"/>
      <name val="Calibri"/>
      <family val="2"/>
      <charset val="1"/>
    </font>
    <font>
      <b/>
      <i/>
      <sz val="12"/>
      <color theme="9" tint="-0.499984740745262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i/>
      <sz val="11"/>
      <color theme="1" tint="0.14999847407452621"/>
      <name val="Calibri"/>
      <family val="2"/>
      <charset val="1"/>
    </font>
    <font>
      <i/>
      <sz val="10"/>
      <color rgb="FF002060"/>
      <name val="Calibri"/>
      <family val="2"/>
      <charset val="1"/>
    </font>
    <font>
      <sz val="11"/>
      <color rgb="FF002060"/>
      <name val="Calibri"/>
      <family val="2"/>
      <charset val="1"/>
    </font>
    <font>
      <b/>
      <sz val="10"/>
      <color rgb="FF242528"/>
      <name val="Arial"/>
      <family val="2"/>
      <charset val="1"/>
    </font>
    <font>
      <b/>
      <i/>
      <sz val="11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i/>
      <sz val="12"/>
      <color theme="1"/>
      <name val="Calibri"/>
      <family val="2"/>
      <charset val="1"/>
    </font>
    <font>
      <b/>
      <i/>
      <sz val="11"/>
      <color rgb="FF002060"/>
      <name val="Calibri"/>
      <family val="2"/>
      <charset val="1"/>
    </font>
    <font>
      <sz val="11"/>
      <color rgb="FF002060"/>
      <name val="Calibri"/>
      <charset val="1"/>
    </font>
    <font>
      <b/>
      <i/>
      <sz val="12"/>
      <color rgb="FFFFFFFF"/>
      <name val="Calibri"/>
      <charset val="1"/>
    </font>
    <font>
      <b/>
      <i/>
      <sz val="11"/>
      <name val="Calibri"/>
      <charset val="1"/>
    </font>
    <font>
      <i/>
      <sz val="11"/>
      <color rgb="FF002060"/>
      <name val="Calibri"/>
      <family val="2"/>
      <charset val="1"/>
    </font>
    <font>
      <i/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2" tint="-0.749992370372631"/>
        <bgColor rgb="FF262626"/>
      </patternFill>
    </fill>
    <fill>
      <patternFill patternType="solid">
        <fgColor theme="9" tint="0.59959715567491678"/>
        <bgColor rgb="FFCCFFCC"/>
      </patternFill>
    </fill>
    <fill>
      <patternFill patternType="solid">
        <fgColor rgb="FF7030A0"/>
        <bgColor rgb="FF993366"/>
      </patternFill>
    </fill>
    <fill>
      <patternFill patternType="solid">
        <fgColor rgb="FF002060"/>
        <bgColor rgb="FF000080"/>
      </patternFill>
    </fill>
    <fill>
      <patternFill patternType="solid">
        <fgColor theme="5" tint="-0.499984740745262"/>
        <bgColor rgb="FF993366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6" borderId="5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3" fillId="0" borderId="5" xfId="0" applyFont="1" applyBorder="1"/>
    <xf numFmtId="0" fontId="3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5" xfId="0" applyFont="1" applyBorder="1" applyAlignment="1">
      <alignment horizontal="right"/>
    </xf>
    <xf numFmtId="0" fontId="0" fillId="0" borderId="5" xfId="0" applyBorder="1"/>
    <xf numFmtId="0" fontId="5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/>
    </xf>
    <xf numFmtId="0" fontId="1" fillId="4" borderId="5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4" fontId="0" fillId="0" borderId="0" xfId="0" applyNumberFormat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/>
    <xf numFmtId="0" fontId="8" fillId="5" borderId="6" xfId="0" applyFont="1" applyFill="1" applyBorder="1" applyAlignment="1">
      <alignment horizontal="center" vertical="center"/>
    </xf>
    <xf numFmtId="2" fontId="9" fillId="5" borderId="7" xfId="0" applyNumberFormat="1" applyFont="1" applyFill="1" applyBorder="1"/>
    <xf numFmtId="2" fontId="9" fillId="5" borderId="8" xfId="0" applyNumberFormat="1" applyFont="1" applyFill="1" applyBorder="1"/>
    <xf numFmtId="164" fontId="10" fillId="0" borderId="3" xfId="0" applyNumberFormat="1" applyFont="1" applyBorder="1" applyAlignment="1">
      <alignment horizontal="center" vertical="center"/>
    </xf>
    <xf numFmtId="0" fontId="0" fillId="0" borderId="4" xfId="0" applyBorder="1"/>
    <xf numFmtId="0" fontId="11" fillId="0" borderId="5" xfId="0" applyFont="1" applyBorder="1"/>
    <xf numFmtId="0" fontId="11" fillId="0" borderId="5" xfId="0" applyFont="1" applyBorder="1" applyAlignment="1">
      <alignment horizontal="center" vertical="center"/>
    </xf>
    <xf numFmtId="2" fontId="12" fillId="0" borderId="5" xfId="0" applyNumberFormat="1" applyFont="1" applyBorder="1"/>
    <xf numFmtId="0" fontId="6" fillId="0" borderId="0" xfId="0" applyFont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4" fillId="0" borderId="5" xfId="0" applyFont="1" applyBorder="1"/>
    <xf numFmtId="0" fontId="15" fillId="0" borderId="5" xfId="0" applyFont="1" applyBorder="1" applyAlignment="1">
      <alignment horizontal="right" vertical="center"/>
    </xf>
    <xf numFmtId="165" fontId="5" fillId="0" borderId="5" xfId="0" applyNumberFormat="1" applyFont="1" applyBorder="1"/>
    <xf numFmtId="2" fontId="5" fillId="0" borderId="5" xfId="0" applyNumberFormat="1" applyFont="1" applyBorder="1"/>
    <xf numFmtId="0" fontId="8" fillId="0" borderId="0" xfId="0" applyFont="1" applyAlignment="1">
      <alignment horizontal="center" vertical="center"/>
    </xf>
    <xf numFmtId="2" fontId="9" fillId="0" borderId="0" xfId="0" applyNumberFormat="1" applyFont="1"/>
    <xf numFmtId="0" fontId="15" fillId="0" borderId="0" xfId="0" applyFont="1"/>
    <xf numFmtId="0" fontId="16" fillId="0" borderId="0" xfId="0" applyFont="1"/>
    <xf numFmtId="0" fontId="3" fillId="0" borderId="9" xfId="0" applyFont="1" applyBorder="1"/>
    <xf numFmtId="0" fontId="6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5623"/>
      <rgbColor rgb="FF000080"/>
      <rgbColor rgb="FF808000"/>
      <rgbColor rgb="FF800080"/>
      <rgbColor rgb="FF008080"/>
      <rgbColor rgb="FFC5E0B3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242528"/>
      <rgbColor rgb="FF262626"/>
      <rgbColor rgb="FF843C0B"/>
      <rgbColor rgb="FF993366"/>
      <rgbColor rgb="FF333399"/>
      <rgbColor rgb="FF3B38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0"/>
  <sheetViews>
    <sheetView tabSelected="1" topLeftCell="B1" zoomScaleNormal="100" workbookViewId="0">
      <selection activeCell="C2" sqref="C2:E2"/>
    </sheetView>
  </sheetViews>
  <sheetFormatPr defaultColWidth="8.6640625" defaultRowHeight="14.4" x14ac:dyDescent="0.3"/>
  <cols>
    <col min="1" max="1" width="1.88671875" hidden="1" customWidth="1"/>
    <col min="2" max="2" width="1.88671875" customWidth="1"/>
    <col min="3" max="3" width="21.33203125" customWidth="1"/>
    <col min="4" max="4" width="15.109375" customWidth="1"/>
    <col min="5" max="5" width="24" customWidth="1"/>
    <col min="6" max="6" width="2.33203125" hidden="1" customWidth="1"/>
    <col min="7" max="7" width="18.88671875" customWidth="1"/>
    <col min="8" max="8" width="23.88671875" customWidth="1"/>
    <col min="9" max="9" width="16.33203125" customWidth="1"/>
    <col min="10" max="11" width="16.44140625" customWidth="1"/>
  </cols>
  <sheetData>
    <row r="1" spans="1:11" ht="15" customHeight="1" x14ac:dyDescent="0.3"/>
    <row r="2" spans="1:11" ht="18.75" customHeight="1" x14ac:dyDescent="0.3">
      <c r="C2" s="4"/>
      <c r="D2" s="4"/>
      <c r="E2" s="4"/>
      <c r="H2" s="3" t="s">
        <v>0</v>
      </c>
      <c r="I2" s="3"/>
      <c r="J2" s="3"/>
      <c r="K2" s="3"/>
    </row>
    <row r="3" spans="1:11" ht="15" customHeight="1" x14ac:dyDescent="0.3">
      <c r="C3" s="5"/>
      <c r="D3" s="6"/>
      <c r="E3" s="7"/>
      <c r="H3" s="8" t="s">
        <v>1</v>
      </c>
      <c r="I3" s="9" t="s">
        <v>2</v>
      </c>
      <c r="J3" s="9" t="s">
        <v>3</v>
      </c>
      <c r="K3" s="9" t="s">
        <v>4</v>
      </c>
    </row>
    <row r="4" spans="1:11" ht="14.25" customHeight="1" x14ac:dyDescent="0.3">
      <c r="C4" s="10" t="s">
        <v>5</v>
      </c>
      <c r="D4" s="11"/>
      <c r="E4" s="12"/>
      <c r="H4" s="13" t="s">
        <v>6</v>
      </c>
      <c r="I4" s="14">
        <f t="shared" ref="I4:I19" si="0">IFERROR(SUMIF($C$2:$C$266,H4,$E$2:$E$266),0)</f>
        <v>0</v>
      </c>
      <c r="J4" s="14">
        <f t="shared" ref="J4:J19" si="1">IFERROR(SUMIF($C$2:$C$266,H4,$D$2:$D$266),0)</f>
        <v>0</v>
      </c>
      <c r="K4" s="14">
        <f t="shared" ref="K4:K19" si="2">COUNTIF($C$2:$C$266,H4)</f>
        <v>0</v>
      </c>
    </row>
    <row r="5" spans="1:11" ht="14.25" customHeight="1" x14ac:dyDescent="0.3">
      <c r="C5" s="10" t="s">
        <v>7</v>
      </c>
      <c r="D5" s="15"/>
      <c r="E5" s="16"/>
      <c r="H5" s="13" t="s">
        <v>8</v>
      </c>
      <c r="I5" s="14">
        <f t="shared" si="0"/>
        <v>0</v>
      </c>
      <c r="J5" s="14">
        <f t="shared" si="1"/>
        <v>0</v>
      </c>
      <c r="K5" s="14">
        <f t="shared" si="2"/>
        <v>0</v>
      </c>
    </row>
    <row r="6" spans="1:11" ht="14.25" customHeight="1" x14ac:dyDescent="0.3">
      <c r="C6" s="10" t="s">
        <v>9</v>
      </c>
      <c r="D6" s="10"/>
      <c r="E6" s="12"/>
      <c r="H6" s="13" t="s">
        <v>10</v>
      </c>
      <c r="I6" s="14">
        <f t="shared" si="0"/>
        <v>0</v>
      </c>
      <c r="J6" s="14">
        <f t="shared" si="1"/>
        <v>0</v>
      </c>
      <c r="K6" s="14">
        <f t="shared" si="2"/>
        <v>0</v>
      </c>
    </row>
    <row r="7" spans="1:11" ht="14.25" customHeight="1" x14ac:dyDescent="0.3">
      <c r="C7" s="10" t="s">
        <v>2</v>
      </c>
      <c r="D7" s="17">
        <f>SUM(D4:D6)</f>
        <v>0</v>
      </c>
      <c r="E7" s="12"/>
      <c r="H7" s="13" t="s">
        <v>11</v>
      </c>
      <c r="I7" s="14">
        <f t="shared" si="0"/>
        <v>0</v>
      </c>
      <c r="J7" s="14">
        <f t="shared" si="1"/>
        <v>0</v>
      </c>
      <c r="K7" s="14">
        <f t="shared" si="2"/>
        <v>0</v>
      </c>
    </row>
    <row r="8" spans="1:11" ht="14.25" customHeight="1" x14ac:dyDescent="0.3">
      <c r="C8" s="10" t="s">
        <v>3</v>
      </c>
      <c r="D8" s="10">
        <f>SUM(D11:D17)</f>
        <v>0</v>
      </c>
      <c r="E8" s="12"/>
      <c r="H8" s="13" t="s">
        <v>12</v>
      </c>
      <c r="I8" s="14">
        <f t="shared" si="0"/>
        <v>0</v>
      </c>
      <c r="J8" s="14">
        <f t="shared" si="1"/>
        <v>0</v>
      </c>
      <c r="K8" s="14">
        <f t="shared" si="2"/>
        <v>0</v>
      </c>
    </row>
    <row r="9" spans="1:11" ht="16.5" customHeight="1" x14ac:dyDescent="0.3">
      <c r="C9" s="10" t="s">
        <v>13</v>
      </c>
      <c r="D9" s="17" t="e">
        <f>D7/D8</f>
        <v>#DIV/0!</v>
      </c>
      <c r="E9" s="12"/>
      <c r="H9" s="13" t="s">
        <v>14</v>
      </c>
      <c r="I9" s="14">
        <f t="shared" si="0"/>
        <v>0</v>
      </c>
      <c r="J9" s="14">
        <f t="shared" si="1"/>
        <v>0</v>
      </c>
      <c r="K9" s="14">
        <f t="shared" si="2"/>
        <v>0</v>
      </c>
    </row>
    <row r="10" spans="1:11" ht="15" customHeight="1" x14ac:dyDescent="0.3">
      <c r="C10" s="18" t="s">
        <v>1</v>
      </c>
      <c r="D10" s="19" t="s">
        <v>15</v>
      </c>
      <c r="E10" s="20" t="s">
        <v>16</v>
      </c>
      <c r="H10" s="13" t="s">
        <v>17</v>
      </c>
      <c r="I10" s="14">
        <f t="shared" si="0"/>
        <v>0</v>
      </c>
      <c r="J10" s="14">
        <f t="shared" si="1"/>
        <v>0</v>
      </c>
      <c r="K10" s="14">
        <f t="shared" si="2"/>
        <v>0</v>
      </c>
    </row>
    <row r="11" spans="1:11" ht="14.25" customHeight="1" x14ac:dyDescent="0.3">
      <c r="A11" s="21">
        <f t="shared" ref="A11:A17" si="3">$C$2</f>
        <v>0</v>
      </c>
      <c r="B11" s="21"/>
      <c r="C11" s="22"/>
      <c r="D11" s="23"/>
      <c r="E11" s="24" t="e">
        <f t="shared" ref="E11:E17" si="4">D11*D$9</f>
        <v>#DIV/0!</v>
      </c>
      <c r="F11" t="str">
        <f>IF($C11="","",COUNTIF($C$2:$C11,$C11))</f>
        <v/>
      </c>
      <c r="H11" s="13" t="s">
        <v>18</v>
      </c>
      <c r="I11" s="14">
        <f t="shared" si="0"/>
        <v>0</v>
      </c>
      <c r="J11" s="14">
        <f t="shared" si="1"/>
        <v>0</v>
      </c>
      <c r="K11" s="14">
        <f t="shared" si="2"/>
        <v>0</v>
      </c>
    </row>
    <row r="12" spans="1:11" ht="14.25" customHeight="1" x14ac:dyDescent="0.3">
      <c r="A12" s="21">
        <f t="shared" si="3"/>
        <v>0</v>
      </c>
      <c r="B12" s="21"/>
      <c r="C12" s="22"/>
      <c r="D12" s="23"/>
      <c r="E12" s="24" t="e">
        <f t="shared" si="4"/>
        <v>#DIV/0!</v>
      </c>
      <c r="F12" t="str">
        <f>IF($C12="","",COUNTIF($C$2:$C12,$C12))</f>
        <v/>
      </c>
      <c r="H12" s="13" t="s">
        <v>19</v>
      </c>
      <c r="I12" s="14">
        <f t="shared" si="0"/>
        <v>0</v>
      </c>
      <c r="J12" s="14">
        <f t="shared" si="1"/>
        <v>0</v>
      </c>
      <c r="K12" s="14">
        <f t="shared" si="2"/>
        <v>0</v>
      </c>
    </row>
    <row r="13" spans="1:11" ht="14.25" customHeight="1" x14ac:dyDescent="0.3">
      <c r="A13" s="21">
        <f t="shared" si="3"/>
        <v>0</v>
      </c>
      <c r="B13" s="21"/>
      <c r="C13" s="22"/>
      <c r="D13" s="23"/>
      <c r="E13" s="24" t="e">
        <f t="shared" si="4"/>
        <v>#DIV/0!</v>
      </c>
      <c r="F13" t="str">
        <f>IF($C13="","",COUNTIF($C$2:$C13,$C13))</f>
        <v/>
      </c>
      <c r="H13" s="13" t="s">
        <v>20</v>
      </c>
      <c r="I13" s="14">
        <f t="shared" si="0"/>
        <v>0</v>
      </c>
      <c r="J13" s="14">
        <f t="shared" si="1"/>
        <v>0</v>
      </c>
      <c r="K13" s="14">
        <f t="shared" si="2"/>
        <v>0</v>
      </c>
    </row>
    <row r="14" spans="1:11" ht="14.25" customHeight="1" x14ac:dyDescent="0.3">
      <c r="A14" s="21">
        <f t="shared" si="3"/>
        <v>0</v>
      </c>
      <c r="B14" s="21"/>
      <c r="C14" s="22"/>
      <c r="D14" s="23"/>
      <c r="E14" s="24" t="e">
        <f t="shared" si="4"/>
        <v>#DIV/0!</v>
      </c>
      <c r="F14" t="str">
        <f>IF($C14="","",COUNTIF($C$2:$C14,$C14))</f>
        <v/>
      </c>
      <c r="H14" s="13" t="s">
        <v>21</v>
      </c>
      <c r="I14" s="14">
        <f t="shared" si="0"/>
        <v>0</v>
      </c>
      <c r="J14" s="14">
        <f t="shared" si="1"/>
        <v>0</v>
      </c>
      <c r="K14" s="14">
        <f t="shared" si="2"/>
        <v>0</v>
      </c>
    </row>
    <row r="15" spans="1:11" ht="14.25" customHeight="1" x14ac:dyDescent="0.3">
      <c r="A15" s="21">
        <f t="shared" si="3"/>
        <v>0</v>
      </c>
      <c r="B15" s="21"/>
      <c r="C15" s="22"/>
      <c r="D15" s="23"/>
      <c r="E15" s="24" t="e">
        <f t="shared" si="4"/>
        <v>#DIV/0!</v>
      </c>
      <c r="F15" t="str">
        <f>IF($C15="","",COUNTIF($C$2:$C15,$C15))</f>
        <v/>
      </c>
      <c r="H15" s="13" t="s">
        <v>22</v>
      </c>
      <c r="I15" s="14">
        <f t="shared" si="0"/>
        <v>0</v>
      </c>
      <c r="J15" s="14">
        <f t="shared" si="1"/>
        <v>0</v>
      </c>
      <c r="K15" s="14">
        <f t="shared" si="2"/>
        <v>0</v>
      </c>
    </row>
    <row r="16" spans="1:11" ht="14.25" customHeight="1" x14ac:dyDescent="0.3">
      <c r="A16" s="21">
        <f t="shared" si="3"/>
        <v>0</v>
      </c>
      <c r="B16" s="21"/>
      <c r="C16" s="22"/>
      <c r="D16" s="23"/>
      <c r="E16" s="24" t="e">
        <f t="shared" si="4"/>
        <v>#DIV/0!</v>
      </c>
      <c r="F16" t="str">
        <f>IF($C16="","",COUNTIF($C$2:$C16,$C16))</f>
        <v/>
      </c>
      <c r="H16" s="13" t="s">
        <v>23</v>
      </c>
      <c r="I16" s="14">
        <f t="shared" si="0"/>
        <v>0</v>
      </c>
      <c r="J16" s="14">
        <f t="shared" si="1"/>
        <v>0</v>
      </c>
      <c r="K16" s="14">
        <f t="shared" si="2"/>
        <v>0</v>
      </c>
    </row>
    <row r="17" spans="1:11" ht="14.25" customHeight="1" x14ac:dyDescent="0.3">
      <c r="A17" s="21">
        <f t="shared" si="3"/>
        <v>0</v>
      </c>
      <c r="B17" s="21"/>
      <c r="C17" s="22"/>
      <c r="D17" s="23"/>
      <c r="E17" s="24" t="e">
        <f t="shared" si="4"/>
        <v>#DIV/0!</v>
      </c>
      <c r="F17" t="str">
        <f>IF($C17="","",COUNTIF($C$2:$C17,$C17))</f>
        <v/>
      </c>
      <c r="H17" s="13"/>
      <c r="I17" s="14">
        <f t="shared" si="0"/>
        <v>0</v>
      </c>
      <c r="J17" s="14">
        <f t="shared" si="1"/>
        <v>0</v>
      </c>
      <c r="K17" s="14">
        <f t="shared" si="2"/>
        <v>0</v>
      </c>
    </row>
    <row r="18" spans="1:11" ht="15" customHeight="1" x14ac:dyDescent="0.3">
      <c r="C18" s="25" t="s">
        <v>24</v>
      </c>
      <c r="D18" s="26"/>
      <c r="E18" s="27" t="e">
        <f>SUM(E11:E17)</f>
        <v>#DIV/0!</v>
      </c>
      <c r="H18" s="13"/>
      <c r="I18" s="14">
        <f t="shared" si="0"/>
        <v>0</v>
      </c>
      <c r="J18" s="14">
        <f t="shared" si="1"/>
        <v>0</v>
      </c>
      <c r="K18" s="14">
        <f t="shared" si="2"/>
        <v>0</v>
      </c>
    </row>
    <row r="19" spans="1:11" ht="15" customHeight="1" x14ac:dyDescent="0.3">
      <c r="H19" s="13"/>
      <c r="I19" s="14">
        <f t="shared" si="0"/>
        <v>0</v>
      </c>
      <c r="J19" s="14">
        <f t="shared" si="1"/>
        <v>0</v>
      </c>
      <c r="K19" s="14">
        <f t="shared" si="2"/>
        <v>0</v>
      </c>
    </row>
    <row r="20" spans="1:11" ht="15" customHeight="1" x14ac:dyDescent="0.3">
      <c r="C20" s="4"/>
      <c r="D20" s="4"/>
      <c r="E20" s="4"/>
      <c r="H20" s="14"/>
      <c r="I20" s="14"/>
      <c r="J20" s="14"/>
      <c r="K20" s="14"/>
    </row>
    <row r="21" spans="1:11" ht="15" customHeight="1" x14ac:dyDescent="0.3">
      <c r="C21" s="28"/>
      <c r="E21" s="29"/>
      <c r="H21" s="30" t="s">
        <v>2</v>
      </c>
      <c r="I21" s="31">
        <f>SUM(I4:I19)</f>
        <v>0</v>
      </c>
      <c r="J21" s="31">
        <f>SUM(J4:J19)</f>
        <v>0</v>
      </c>
      <c r="K21" s="14"/>
    </row>
    <row r="22" spans="1:11" ht="14.25" customHeight="1" x14ac:dyDescent="0.3">
      <c r="C22" s="10" t="s">
        <v>5</v>
      </c>
      <c r="D22" s="11"/>
      <c r="E22" s="12"/>
      <c r="H22" s="32"/>
      <c r="I22" s="32"/>
      <c r="J22" s="32"/>
      <c r="K22" s="14"/>
    </row>
    <row r="23" spans="1:11" ht="14.25" customHeight="1" x14ac:dyDescent="0.3">
      <c r="C23" s="10" t="s">
        <v>7</v>
      </c>
      <c r="D23" s="15"/>
      <c r="E23" s="16"/>
      <c r="H23" s="2" t="s">
        <v>25</v>
      </c>
      <c r="I23" s="2"/>
      <c r="J23" s="2"/>
      <c r="K23" s="33"/>
    </row>
    <row r="24" spans="1:11" ht="14.25" customHeight="1" x14ac:dyDescent="0.3">
      <c r="C24" s="10" t="s">
        <v>9</v>
      </c>
      <c r="D24" s="10"/>
      <c r="E24" s="12"/>
      <c r="H24" s="2"/>
      <c r="I24" s="2"/>
      <c r="J24" s="2"/>
      <c r="K24" s="33"/>
    </row>
    <row r="25" spans="1:11" ht="14.25" customHeight="1" x14ac:dyDescent="0.3">
      <c r="C25" s="10" t="s">
        <v>2</v>
      </c>
      <c r="D25" s="17">
        <f>SUM(D22:D24)</f>
        <v>0</v>
      </c>
      <c r="E25" s="12"/>
      <c r="H25" s="32"/>
      <c r="I25" s="32"/>
      <c r="J25" s="32"/>
      <c r="K25" s="33"/>
    </row>
    <row r="26" spans="1:11" ht="14.25" customHeight="1" x14ac:dyDescent="0.3">
      <c r="C26" s="10" t="s">
        <v>3</v>
      </c>
      <c r="D26" s="10">
        <f>SUM(D30:D36)</f>
        <v>0</v>
      </c>
      <c r="E26" s="12"/>
      <c r="H26" s="34" t="str">
        <f>H4</f>
        <v>Cynthia Rosales Perez</v>
      </c>
      <c r="I26" s="32"/>
      <c r="J26" s="32"/>
      <c r="K26" s="33"/>
    </row>
    <row r="27" spans="1:11" ht="14.25" customHeight="1" x14ac:dyDescent="0.3">
      <c r="C27" s="10" t="s">
        <v>13</v>
      </c>
      <c r="D27" s="17" t="e">
        <f>D25/D26</f>
        <v>#DIV/0!</v>
      </c>
      <c r="E27" s="12"/>
      <c r="H27" s="35" t="s">
        <v>26</v>
      </c>
      <c r="I27" s="32">
        <f>IFERROR(SUMIF($C$2:$C$266,H26,$D$2:$D$266),0)</f>
        <v>0</v>
      </c>
      <c r="J27" s="32"/>
      <c r="K27" s="33"/>
    </row>
    <row r="28" spans="1:11" ht="14.25" customHeight="1" x14ac:dyDescent="0.3">
      <c r="C28" s="12"/>
      <c r="D28" s="36"/>
      <c r="E28" s="12"/>
      <c r="H28" s="35" t="s">
        <v>27</v>
      </c>
      <c r="I28" s="32">
        <f>IFERROR(SUMIF($C$2:$C$266,H26,$E$2:$E$266),0)</f>
        <v>0</v>
      </c>
      <c r="J28" s="32"/>
      <c r="K28" s="33"/>
    </row>
    <row r="29" spans="1:11" ht="15" customHeight="1" x14ac:dyDescent="0.3">
      <c r="C29" s="18" t="s">
        <v>1</v>
      </c>
      <c r="D29" s="19" t="s">
        <v>15</v>
      </c>
      <c r="E29" s="20" t="s">
        <v>16</v>
      </c>
      <c r="H29" s="18" t="s">
        <v>28</v>
      </c>
      <c r="I29" s="20" t="s">
        <v>15</v>
      </c>
      <c r="J29" s="20" t="s">
        <v>16</v>
      </c>
      <c r="K29" s="33"/>
    </row>
    <row r="30" spans="1:11" ht="14.25" customHeight="1" x14ac:dyDescent="0.3">
      <c r="A30" s="21">
        <f t="shared" ref="A30:A36" si="5">$C$20</f>
        <v>0</v>
      </c>
      <c r="B30" s="21"/>
      <c r="C30" s="22"/>
      <c r="D30" s="23"/>
      <c r="E30" s="24" t="e">
        <f t="shared" ref="E30:E36" si="6">D30*$D$27</f>
        <v>#DIV/0!</v>
      </c>
      <c r="F30" t="str">
        <f>IF($C30="","",COUNTIF($C$2:$C30,$C30))</f>
        <v/>
      </c>
      <c r="H30" s="37" t="e">
        <f>IF(SUMPRODUCT(($C$2:$C$266=$H$26)*($F$2:$F$266=1))=0,"No entries yet",INDEX($A$2:$A$266,SUMPRODUCT(($C$2:$C$266=$H$26)*($F$2:$F$266=1)*(ROW($C$2:$C$266)-ROW($C$2)+1))))</f>
        <v>#DIV/0!</v>
      </c>
      <c r="I30" s="38" t="str">
        <f>IFERROR(IF(SUMPRODUCT(($C$2:$C$266=$H$26)*($F$2:$F$266=1))=0,"",INDEX($D$2:$D$266,SUMPRODUCT(($C$2:$C$266=$H$26)*($F$2:$F$266=1)*(ROW($C$2:$C$266)-ROW($C$2)+1)))),"")</f>
        <v/>
      </c>
      <c r="J30" s="38" t="str">
        <f>IFERROR(IF(SUMPRODUCT(($C$2:$C$266=$H$26)*($F$2:$F$266=1))=0,"",INDEX($E$2:$E$266,SUMPRODUCT(($C$2:$C$266=$H$26)*($F$2:$F$266=1)*(ROW($C$2:$C$266)-ROW($C$2)+1)))),"")</f>
        <v/>
      </c>
      <c r="K30" s="33"/>
    </row>
    <row r="31" spans="1:11" ht="14.25" customHeight="1" x14ac:dyDescent="0.3">
      <c r="A31" s="21">
        <f t="shared" si="5"/>
        <v>0</v>
      </c>
      <c r="B31" s="21"/>
      <c r="C31" s="22"/>
      <c r="D31" s="23"/>
      <c r="E31" s="24" t="e">
        <f t="shared" si="6"/>
        <v>#DIV/0!</v>
      </c>
      <c r="F31" t="str">
        <f>IF($C31="","",COUNTIF($C$2:$C31,$C31))</f>
        <v/>
      </c>
      <c r="H31" s="37" t="e">
        <f>IF(SUMPRODUCT(($C$2:$C$266=$H$26)*($F$2:$F$266=2))=0,"",INDEX($A$2:$A$266,SUMPRODUCT(($C$2:$C$266=$H$26)*($F$2:$F$266=2)*(ROW($C$2:$C$266)-ROW($C$2)+1))))</f>
        <v>#DIV/0!</v>
      </c>
      <c r="I31" s="38" t="str">
        <f>IFERROR(IF(SUMPRODUCT(($C$2:$C$266=$H$26)*($F$2:$F$266=2))=0,"",INDEX($D$2:$D$266,SUMPRODUCT(($C$2:$C$266=$H$26)*($F$2:$F$266=2)*(ROW($C$2:$C$266)-ROW($C$2)+1)))),"")</f>
        <v/>
      </c>
      <c r="J31" s="38" t="str">
        <f>IFERROR(IF(SUMPRODUCT(($C$2:$C$266=$H$26)*($F$2:$F$266=2))=0,"",INDEX($E$2:$E$266,SUMPRODUCT(($C$2:$C$266=$H$26)*($F$2:$F$266=2)*(ROW($C$2:$C$266)-ROW($C$2)+1)))),"")</f>
        <v/>
      </c>
      <c r="K31" s="33"/>
    </row>
    <row r="32" spans="1:11" ht="14.25" customHeight="1" x14ac:dyDescent="0.3">
      <c r="A32" s="21">
        <f t="shared" si="5"/>
        <v>0</v>
      </c>
      <c r="B32" s="21"/>
      <c r="C32" s="22"/>
      <c r="D32" s="23"/>
      <c r="E32" s="24" t="e">
        <f t="shared" si="6"/>
        <v>#DIV/0!</v>
      </c>
      <c r="F32" t="str">
        <f>IF($C32="","",COUNTIF($C$2:$C32,$C32))</f>
        <v/>
      </c>
      <c r="H32" s="37" t="e">
        <f>IF(SUMPRODUCT(($C$2:$C$266=$H$26)*($F$2:$F$266=3))=0,"",INDEX($A$2:$A$266,SUMPRODUCT(($C$2:$C$266=$H$26)*($F$2:$F$266=3)*(ROW($C$2:$C$266)-ROW($C$2)+1))))</f>
        <v>#DIV/0!</v>
      </c>
      <c r="I32" s="38" t="str">
        <f>IFERROR(IF(SUMPRODUCT(($C$2:$C$266=$H$26)*($F$2:$F$266=3))=0,"",INDEX($D$2:$D$266,SUMPRODUCT(($C$2:$C$266=$H$26)*($F$2:$F$266=3)*(ROW($C$2:$C$266)-ROW($C$2)+1)))),"")</f>
        <v/>
      </c>
      <c r="J32" s="38" t="str">
        <f>IFERROR(IF(SUMPRODUCT(($C$2:$C$266=$H$26)*($F$2:$F$266=3))=0,"",INDEX($E$2:$E$266,SUMPRODUCT(($C$2:$C$266=$H$26)*($F$2:$F$266=3)*(ROW($C$2:$C$266)-ROW($C$2)+1)))),"")</f>
        <v/>
      </c>
      <c r="K32" s="33"/>
    </row>
    <row r="33" spans="1:11" ht="14.25" customHeight="1" x14ac:dyDescent="0.3">
      <c r="A33" s="21">
        <f t="shared" si="5"/>
        <v>0</v>
      </c>
      <c r="B33" s="21"/>
      <c r="C33" s="22"/>
      <c r="D33" s="23"/>
      <c r="E33" s="24" t="e">
        <f t="shared" si="6"/>
        <v>#DIV/0!</v>
      </c>
      <c r="F33" t="str">
        <f>IF($C33="","",COUNTIF($C$2:$C33,$C33))</f>
        <v/>
      </c>
      <c r="H33" s="37" t="e">
        <f>IF(SUMPRODUCT(($C$2:$C$266=$H$26)*($F$2:$F$266=4))=0,"",INDEX($A$2:$A$266,SUMPRODUCT(($C$2:$C$266=$H$26)*($F$2:$F$266=4)*(ROW($C$2:$C$266)-ROW($C$2)+1))))</f>
        <v>#DIV/0!</v>
      </c>
      <c r="I33" s="38" t="str">
        <f>IFERROR(IF(SUMPRODUCT(($C$2:$C$266=$H$26)*($F$2:$F$266=4))=0,"",INDEX($D$2:$D$266,SUMPRODUCT(($C$2:$C$266=$H$26)*($F$2:$F$266=4)*(ROW($C$2:$C$266)-ROW($C$2)+1)))),"")</f>
        <v/>
      </c>
      <c r="J33" s="38" t="str">
        <f>IFERROR(IF(SUMPRODUCT(($C$2:$C$266=$H$26)*($F$2:$F$266=4))=0,"",INDEX($E$2:$E$266,SUMPRODUCT(($C$2:$C$266=$H$26)*($F$2:$F$266=4)*(ROW($C$2:$C$266)-ROW($C$2)+1)))),"")</f>
        <v/>
      </c>
      <c r="K33" s="33"/>
    </row>
    <row r="34" spans="1:11" ht="14.25" customHeight="1" x14ac:dyDescent="0.3">
      <c r="A34" s="21">
        <f t="shared" si="5"/>
        <v>0</v>
      </c>
      <c r="B34" s="21"/>
      <c r="C34" s="22"/>
      <c r="D34" s="23"/>
      <c r="E34" s="24" t="e">
        <f t="shared" si="6"/>
        <v>#DIV/0!</v>
      </c>
      <c r="F34" t="str">
        <f>IF($C34="","",COUNTIF($C$2:$C34,$C34))</f>
        <v/>
      </c>
      <c r="H34" s="37" t="e">
        <f>IF(SUMPRODUCT(($C$2:$C$266=$H$26)*($F$2:$F$266=5))=0,"",INDEX($A$2:$A$266,SUMPRODUCT(($C$2:$C$266=$H$26)*($F$2:$F$266=5)*(ROW($C$2:$C$266)-ROW($C$2)+1))))</f>
        <v>#DIV/0!</v>
      </c>
      <c r="I34" s="38" t="str">
        <f>IFERROR(IF(SUMPRODUCT(($C$2:$C$266=$H$26)*($F$2:$F$266=5))=0,"",INDEX($D$2:$D$266,SUMPRODUCT(($C$2:$C$266=$H$26)*($F$2:$F$266=5)*(ROW($C$2:$C$266)-ROW($C$2)+1)))),"")</f>
        <v/>
      </c>
      <c r="J34" s="38" t="str">
        <f>IFERROR(IF(SUMPRODUCT(($C$2:$C$266=$H$26)*($F$2:$F$266=5))=0,"",INDEX($E$2:$E$266,SUMPRODUCT(($C$2:$C$266=$H$26)*($F$2:$F$266=5)*(ROW($C$2:$C$266)-ROW($C$2)+1)))),"")</f>
        <v/>
      </c>
      <c r="K34" s="33"/>
    </row>
    <row r="35" spans="1:11" ht="14.25" customHeight="1" x14ac:dyDescent="0.3">
      <c r="A35" s="21">
        <f t="shared" si="5"/>
        <v>0</v>
      </c>
      <c r="B35" s="21"/>
      <c r="C35" s="22"/>
      <c r="D35" s="23"/>
      <c r="E35" s="24" t="e">
        <f t="shared" si="6"/>
        <v>#DIV/0!</v>
      </c>
      <c r="F35" t="str">
        <f>IF($C35="","",COUNTIF($C$2:$C35,$C35))</f>
        <v/>
      </c>
      <c r="H35" s="37" t="e">
        <f>IF(SUMPRODUCT(($C$2:$C$266=$H$26)*($F$2:$F$266=6))=0,"",INDEX($A$2:$A$266,SUMPRODUCT(($C$2:$C$266=$H$26)*($F$2:$F$266=6)*(ROW($C$2:$C$266)-ROW($C$2)+1))))</f>
        <v>#DIV/0!</v>
      </c>
      <c r="I35" s="38" t="str">
        <f>IFERROR(IF(SUMPRODUCT(($C$2:$C$266=$H$26)*($F$2:$F$266=6))=0,"",INDEX($D$2:$D$266,SUMPRODUCT(($C$2:$C$266=$H$26)*($F$2:$F$266=6)*(ROW($C$2:$C$266)-ROW($C$2)+1)))),"")</f>
        <v/>
      </c>
      <c r="J35" s="38" t="str">
        <f>IFERROR(IF(SUMPRODUCT(($C$2:$C$266=$H$26)*($F$2:$F$266=6))=0,"",INDEX($E$2:$E$266,SUMPRODUCT(($C$2:$C$266=$H$26)*($F$2:$F$266=6)*(ROW($C$2:$C$266)-ROW($C$2)+1)))),"")</f>
        <v/>
      </c>
      <c r="K35" s="33"/>
    </row>
    <row r="36" spans="1:11" ht="14.25" customHeight="1" x14ac:dyDescent="0.3">
      <c r="A36" s="21">
        <f t="shared" si="5"/>
        <v>0</v>
      </c>
      <c r="B36" s="21"/>
      <c r="C36" s="22"/>
      <c r="D36" s="23"/>
      <c r="E36" s="24" t="e">
        <f t="shared" si="6"/>
        <v>#DIV/0!</v>
      </c>
      <c r="F36" t="str">
        <f>IF($C36="","",COUNTIF($C$2:$C36,$C36))</f>
        <v/>
      </c>
      <c r="H36" s="37" t="e">
        <f>IF(SUMPRODUCT(($C$2:$C$266=$H$26)*($F$2:$F$266=7))=0,"",INDEX($A$2:$A$266,SUMPRODUCT(($C$2:$C$266=$H$26)*($F$2:$F$266=7)*(ROW($C$2:$C$266)-ROW($C$2)+1))))</f>
        <v>#DIV/0!</v>
      </c>
      <c r="I36" s="38" t="str">
        <f>IFERROR(IF(SUMPRODUCT(($C$2:$C$266=$H$26)*($F$2:$F$266=7))=0,"",INDEX($D$2:$D$266,SUMPRODUCT(($C$2:$C$266=$H$26)*($F$2:$F$266=7)*(ROW($C$2:$C$266)-ROW($C$2)+1)))),"")</f>
        <v/>
      </c>
      <c r="J36" s="38" t="str">
        <f>IFERROR(IF(SUMPRODUCT(($C$2:$C$266=$H$26)*($F$2:$F$266=7))=0,"",INDEX($E$2:$E$266,SUMPRODUCT(($C$2:$C$266=$H$26)*($F$2:$F$266=7)*(ROW($C$2:$C$266)-ROW($C$2)+1)))),"")</f>
        <v/>
      </c>
      <c r="K36" s="33"/>
    </row>
    <row r="37" spans="1:11" ht="15" customHeight="1" x14ac:dyDescent="0.3">
      <c r="C37" s="25" t="s">
        <v>24</v>
      </c>
      <c r="D37" s="26"/>
      <c r="E37" s="27" t="e">
        <f>SUM(E30:E36)</f>
        <v>#DIV/0!</v>
      </c>
      <c r="H37" s="37" t="e">
        <f>IF(SUMPRODUCT(($C$2:$C$266=$H$26)*($F$2:$F$266=8))=0,"",INDEX($A$2:$A$266,SUMPRODUCT(($C$2:$C$266=$H$26)*($F$2:$F$266=8)*(ROW($C$2:$C$266)-ROW($C$2)+1))))</f>
        <v>#DIV/0!</v>
      </c>
      <c r="I37" s="38" t="str">
        <f>IFERROR(IF(SUMPRODUCT(($C$2:$C$266=$H$26)*($F$2:$F$266=8))=0,"",INDEX($D$2:$D$266,SUMPRODUCT(($C$2:$C$266=$H$26)*($F$2:$F$266=8)*(ROW($C$2:$C$266)-ROW($C$2)+1)))),"")</f>
        <v/>
      </c>
      <c r="J37" s="38" t="str">
        <f>IFERROR(IF(SUMPRODUCT(($C$2:$C$266=$H$26)*($F$2:$F$266=8))=0,"",INDEX($E$2:$E$266,SUMPRODUCT(($C$2:$C$266=$H$26)*($F$2:$F$266=8)*(ROW($C$2:$C$266)-ROW($C$2)+1)))),"")</f>
        <v/>
      </c>
      <c r="K37" s="33"/>
    </row>
    <row r="38" spans="1:11" ht="15" customHeight="1" x14ac:dyDescent="0.3">
      <c r="H38" s="37" t="e">
        <f>IF(SUMPRODUCT(($C$2:$C$266=$H$26)*($F$2:$F$266=9))=0,"",INDEX($A$2:$A$266,SUMPRODUCT(($C$2:$C$266=$H$26)*($F$2:$F$266=9)*(ROW($C$2:$C$266)-ROW($C$2)+1))))</f>
        <v>#DIV/0!</v>
      </c>
      <c r="I38" s="38" t="str">
        <f>IFERROR(IF(SUMPRODUCT(($C$2:$C$266=$H$26)*($F$2:$F$266=9))=0,"",INDEX($D$2:$D$266,SUMPRODUCT(($C$2:$C$266=$H$26)*($F$2:$F$266=9)*(ROW($C$2:$C$266)-ROW($C$2)+1)))),"")</f>
        <v/>
      </c>
      <c r="J38" s="38" t="str">
        <f>IFERROR(IF(SUMPRODUCT(($C$2:$C$266=$H$26)*($F$2:$F$266=9))=0,"",INDEX($E$2:$E$266,SUMPRODUCT(($C$2:$C$266=$H$26)*($F$2:$F$266=9)*(ROW($C$2:$C$266)-ROW($C$2)+1)))),"")</f>
        <v/>
      </c>
      <c r="K38" s="33"/>
    </row>
    <row r="39" spans="1:11" ht="15" customHeight="1" x14ac:dyDescent="0.3">
      <c r="C39" s="4"/>
      <c r="D39" s="4"/>
      <c r="E39" s="4"/>
      <c r="H39" s="37" t="e">
        <f>IF(SUMPRODUCT(($C$2:$C$266=$H$26)*($F$2:$F$266=10))=0,"",INDEX($A$2:$A$266,SUMPRODUCT(($C$2:$C$266=$H$26)*($F$2:$F$266=10)*(ROW($C$2:$C$266)-ROW($C$2)+1))))</f>
        <v>#DIV/0!</v>
      </c>
      <c r="I39" s="38" t="str">
        <f>IFERROR(IF(SUMPRODUCT(($C$2:$C$266=$H$26)*($F$2:$F$266=10))=0,"",INDEX($D$2:$D$266,SUMPRODUCT(($C$2:$C$266=$H$26)*($F$2:$F$266=10)*(ROW($C$2:$C$266)-ROW($C$2)+1)))),"")</f>
        <v/>
      </c>
      <c r="J39" s="38" t="str">
        <f>IFERROR(IF(SUMPRODUCT(($C$2:$C$266=$H$26)*($F$2:$F$266=10))=0,"",INDEX($E$2:$E$266,SUMPRODUCT(($C$2:$C$266=$H$26)*($F$2:$F$266=10)*(ROW($C$2:$C$266)-ROW($C$2)+1)))),"")</f>
        <v/>
      </c>
      <c r="K39" s="33"/>
    </row>
    <row r="40" spans="1:11" ht="15" customHeight="1" x14ac:dyDescent="0.3">
      <c r="C40" s="28"/>
      <c r="E40" s="29"/>
      <c r="H40" s="37" t="e">
        <f>IF(SUMPRODUCT(($C$2:$C$266=$H$26)*($F$2:$F$266=11))=0,"",INDEX($A$2:$A$266,SUMPRODUCT(($C$2:$C$266=$H$26)*($F$2:$F$266=11)*(ROW($C$2:$C$266)-ROW($C$2)+1))))</f>
        <v>#DIV/0!</v>
      </c>
      <c r="I40" s="38" t="str">
        <f>IFERROR(IF(SUMPRODUCT(($C$2:$C$266=$H$26)*($F$2:$F$266=11))=0,"",INDEX($D$2:$D$266,SUMPRODUCT(($C$2:$C$266=$H$26)*($F$2:$F$266=11)*(ROW($C$2:$C$266)-ROW($C$2)+1)))),"")</f>
        <v/>
      </c>
      <c r="J40" s="38" t="str">
        <f>IFERROR(IF(SUMPRODUCT(($C$2:$C$266=$H$26)*($F$2:$F$266=11))=0,"",INDEX($E$2:$E$266,SUMPRODUCT(($C$2:$C$266=$H$26)*($F$2:$F$266=11)*(ROW($C$2:$C$266)-ROW($C$2)+1)))),"")</f>
        <v/>
      </c>
      <c r="K40" s="33"/>
    </row>
    <row r="41" spans="1:11" ht="14.25" customHeight="1" x14ac:dyDescent="0.3">
      <c r="C41" s="10" t="s">
        <v>5</v>
      </c>
      <c r="D41" s="11"/>
      <c r="E41" s="12"/>
      <c r="H41" s="37" t="e">
        <f>IF(SUMPRODUCT(($C$2:$C$266=$H$26)*($F$2:$F$266=12))=0,"",INDEX($A$2:$A$266,SUMPRODUCT(($C$2:$C$266=$H$26)*($F$2:$F$266=12)*(ROW($C$2:$C$266)-ROW($C$2)+1))))</f>
        <v>#DIV/0!</v>
      </c>
      <c r="I41" s="38" t="str">
        <f>IFERROR(IF(SUMPRODUCT(($C$2:$C$266=$H$26)*($F$2:$F$266=12))=0,"",INDEX($D$2:$D$266,SUMPRODUCT(($C$2:$C$266=$H$26)*($F$2:$F$266=12)*(ROW($C$2:$C$266)-ROW($C$2)+1)))),"")</f>
        <v/>
      </c>
      <c r="J41" s="38" t="str">
        <f>IFERROR(IF(SUMPRODUCT(($C$2:$C$266=$H$26)*($F$2:$F$266=12))=0,"",INDEX($E$2:$E$266,SUMPRODUCT(($C$2:$C$266=$H$26)*($F$2:$F$266=12)*(ROW($C$2:$C$266)-ROW($C$2)+1)))),"")</f>
        <v/>
      </c>
      <c r="K41" s="33"/>
    </row>
    <row r="42" spans="1:11" ht="14.25" customHeight="1" x14ac:dyDescent="0.3">
      <c r="C42" s="10" t="s">
        <v>7</v>
      </c>
      <c r="D42" s="15"/>
      <c r="E42" s="16"/>
      <c r="H42" s="37" t="e">
        <f>IF(SUMPRODUCT(($C$2:$C$266=$H$26)*($F$2:$F$266=13))=0,"",INDEX($A$2:$A$266,SUMPRODUCT(($C$2:$C$266=$H$26)*($F$2:$F$266=13)*(ROW($C$2:$C$266)-ROW($C$2)+1))))</f>
        <v>#DIV/0!</v>
      </c>
      <c r="I42" s="38" t="str">
        <f>IFERROR(IF(SUMPRODUCT(($C$2:$C$266=$H$26)*($F$2:$F$266=13))=0,"",INDEX($D$2:$D$266,SUMPRODUCT(($C$2:$C$266=$H$26)*($F$2:$F$266=13)*(ROW($C$2:$C$266)-ROW($C$2)+1)))),"")</f>
        <v/>
      </c>
      <c r="J42" s="38" t="str">
        <f>IFERROR(IF(SUMPRODUCT(($C$2:$C$266=$H$26)*($F$2:$F$266=13))=0,"",INDEX($E$2:$E$266,SUMPRODUCT(($C$2:$C$266=$H$26)*($F$2:$F$266=13)*(ROW($C$2:$C$266)-ROW($C$2)+1)))),"")</f>
        <v/>
      </c>
      <c r="K42" s="33"/>
    </row>
    <row r="43" spans="1:11" ht="14.25" customHeight="1" x14ac:dyDescent="0.3">
      <c r="C43" s="10" t="s">
        <v>9</v>
      </c>
      <c r="D43" s="10"/>
      <c r="E43" s="12"/>
      <c r="H43" s="37" t="e">
        <f>IF(SUMPRODUCT(($C$2:$C$266=$H$26)*($F$2:$F$266=14))=0,"",INDEX($A$2:$A$266,SUMPRODUCT(($C$2:$C$266=$H$26)*($F$2:$F$266=14)*(ROW($C$2:$C$266)-ROW($C$2)+1))))</f>
        <v>#DIV/0!</v>
      </c>
      <c r="I43" s="38" t="str">
        <f>IFERROR(IF(SUMPRODUCT(($C$2:$C$266=$H$26)*($F$2:$F$266=14))=0,"",INDEX($D$2:$D$266,SUMPRODUCT(($C$2:$C$266=$H$26)*($F$2:$F$266=14)*(ROW($C$2:$C$266)-ROW($C$2)+1)))),"")</f>
        <v/>
      </c>
      <c r="J43" s="38" t="str">
        <f>IFERROR(IF(SUMPRODUCT(($C$2:$C$266=$H$26)*($F$2:$F$266=14))=0,"",INDEX($E$2:$E$266,SUMPRODUCT(($C$2:$C$266=$H$26)*($F$2:$F$266=14)*(ROW($C$2:$C$266)-ROW($C$2)+1)))),"")</f>
        <v/>
      </c>
      <c r="K43" s="33"/>
    </row>
    <row r="44" spans="1:11" ht="14.25" customHeight="1" x14ac:dyDescent="0.3">
      <c r="C44" s="10" t="s">
        <v>2</v>
      </c>
      <c r="D44" s="17">
        <f>SUM(D41:D43)</f>
        <v>0</v>
      </c>
      <c r="E44" s="12"/>
      <c r="H44" s="37" t="e">
        <f>IF(SUMPRODUCT(($C$2:$C$266=$H$26)*($F$2:$F$266=15))=0,"",INDEX($A$2:$A$266,SUMPRODUCT(($C$2:$C$266=$H$26)*($F$2:$F$266=15)*(ROW($C$2:$C$266)-ROW($C$2)+1))))</f>
        <v>#DIV/0!</v>
      </c>
      <c r="I44" s="38" t="str">
        <f>IFERROR(IF(SUMPRODUCT(($C$2:$C$266=$H$26)*($F$2:$F$266=15))=0,"",INDEX($D$2:$D$266,SUMPRODUCT(($C$2:$C$266=$H$26)*($F$2:$F$266=15)*(ROW($C$2:$C$266)-ROW($C$2)+1)))),"")</f>
        <v/>
      </c>
      <c r="J44" s="38" t="str">
        <f>IFERROR(IF(SUMPRODUCT(($C$2:$C$266=$H$26)*($F$2:$F$266=15))=0,"",INDEX($E$2:$E$266,SUMPRODUCT(($C$2:$C$266=$H$26)*($F$2:$F$266=15)*(ROW($C$2:$C$266)-ROW($C$2)+1)))),"")</f>
        <v/>
      </c>
      <c r="K44" s="33"/>
    </row>
    <row r="45" spans="1:11" ht="14.25" customHeight="1" x14ac:dyDescent="0.3">
      <c r="C45" s="10" t="s">
        <v>3</v>
      </c>
      <c r="D45" s="10">
        <f>SUM(D49:D55)</f>
        <v>0</v>
      </c>
      <c r="E45" s="12"/>
      <c r="H45" s="37" t="e">
        <f>IF(SUMPRODUCT(($C$2:$C$266=$H$26)*($F$2:$F$266=16))=0,"",INDEX($A$2:$A$266,SUMPRODUCT(($C$2:$C$266=$H$26)*($F$2:$F$266=16)*(ROW($C$2:$C$266)-ROW($C$2)+1))))</f>
        <v>#DIV/0!</v>
      </c>
      <c r="I45" s="38" t="str">
        <f>IFERROR(IF(SUMPRODUCT(($C$2:$C$266=$H$26)*($F$2:$F$266=16))=0,"",INDEX($D$2:$D$266,SUMPRODUCT(($C$2:$C$266=$H$26)*($F$2:$F$266=16)*(ROW($C$2:$C$266)-ROW($C$2)+1)))),"")</f>
        <v/>
      </c>
      <c r="J45" s="38" t="str">
        <f>IFERROR(IF(SUMPRODUCT(($C$2:$C$266=$H$26)*($F$2:$F$266=16))=0,"",INDEX($E$2:$E$266,SUMPRODUCT(($C$2:$C$266=$H$26)*($F$2:$F$266=16)*(ROW($C$2:$C$266)-ROW($C$2)+1)))),"")</f>
        <v/>
      </c>
      <c r="K45" s="33"/>
    </row>
    <row r="46" spans="1:11" ht="14.25" customHeight="1" x14ac:dyDescent="0.3">
      <c r="C46" s="10" t="s">
        <v>13</v>
      </c>
      <c r="D46" s="17" t="e">
        <f>D44/D45</f>
        <v>#DIV/0!</v>
      </c>
      <c r="E46" s="12"/>
      <c r="H46" s="34" t="str">
        <f>H5</f>
        <v>David Kumec</v>
      </c>
      <c r="I46" s="32"/>
      <c r="J46" s="32"/>
      <c r="K46" s="33"/>
    </row>
    <row r="47" spans="1:11" ht="14.25" customHeight="1" x14ac:dyDescent="0.3">
      <c r="C47" s="12"/>
      <c r="D47" s="36"/>
      <c r="E47" s="12"/>
      <c r="H47" s="35" t="s">
        <v>26</v>
      </c>
      <c r="I47" s="32">
        <f>IFERROR(SUMIF($C$2:$C$266,H46,$D$2:$D$266),0)</f>
        <v>0</v>
      </c>
      <c r="J47" s="32"/>
      <c r="K47" s="33"/>
    </row>
    <row r="48" spans="1:11" ht="15" customHeight="1" x14ac:dyDescent="0.3">
      <c r="C48" s="18" t="s">
        <v>1</v>
      </c>
      <c r="D48" s="19" t="s">
        <v>15</v>
      </c>
      <c r="E48" s="20" t="s">
        <v>16</v>
      </c>
      <c r="H48" s="35" t="s">
        <v>27</v>
      </c>
      <c r="I48" s="32">
        <f>IFERROR(SUMIF($C$2:$C$266,H46,$E$2:$E$266),0)</f>
        <v>0</v>
      </c>
      <c r="J48" s="32"/>
      <c r="K48" s="33"/>
    </row>
    <row r="49" spans="1:11" ht="14.25" customHeight="1" x14ac:dyDescent="0.3">
      <c r="A49" s="21">
        <f t="shared" ref="A49:A55" si="7">$C$39</f>
        <v>0</v>
      </c>
      <c r="B49" s="21"/>
      <c r="C49" s="22"/>
      <c r="D49" s="23"/>
      <c r="E49" s="24" t="e">
        <f>D49*$D$46</f>
        <v>#DIV/0!</v>
      </c>
      <c r="F49" s="24" t="e">
        <f>E49*$D$46</f>
        <v>#DIV/0!</v>
      </c>
      <c r="H49" s="18" t="s">
        <v>28</v>
      </c>
      <c r="I49" s="20" t="s">
        <v>15</v>
      </c>
      <c r="J49" s="20" t="s">
        <v>16</v>
      </c>
      <c r="K49" s="33"/>
    </row>
    <row r="50" spans="1:11" ht="14.25" customHeight="1" x14ac:dyDescent="0.3">
      <c r="A50" s="21">
        <f t="shared" si="7"/>
        <v>0</v>
      </c>
      <c r="B50" s="21"/>
      <c r="C50" s="22"/>
      <c r="D50" s="23"/>
      <c r="E50" s="24" t="e">
        <f t="shared" ref="E50:E55" si="8">D50*$D$46</f>
        <v>#DIV/0!</v>
      </c>
      <c r="F50" t="str">
        <f>IF($C50="","",COUNTIF($C$2:$C50,$C50))</f>
        <v/>
      </c>
      <c r="H50" s="37" t="e">
        <f>IF(SUMPRODUCT(($C$2:$C$266=$H$46)*($F$2:$F$266=1))=0,"No entries yet",INDEX($A$2:$A$266,SUMPRODUCT(($C$2:$C$266=$H$46)*($F$2:$F$266=1)*(ROW($C$2:$C$266)-ROW($C$2)+1))))</f>
        <v>#DIV/0!</v>
      </c>
      <c r="I50" s="38" t="str">
        <f>IFERROR(IF(SUMPRODUCT(($C$2:$C$266=$H$46)*($F$2:$F$266=1))=0,"",INDEX($D$2:$D$266,SUMPRODUCT(($C$2:$C$266=$H$46)*($F$2:$F$266=1)*(ROW($C$2:$C$266)-ROW($C$2)+1)))),"")</f>
        <v/>
      </c>
      <c r="J50" s="38" t="str">
        <f>IFERROR(IF(SUMPRODUCT(($C$2:$C$266=$H$46)*($F$2:$F$266=1))=0,"",INDEX($E$2:$E$266,SUMPRODUCT(($C$2:$C$266=$H$46)*($F$2:$F$266=1)*(ROW($C$2:$C$266)-ROW($C$2)+1)))),"")</f>
        <v/>
      </c>
      <c r="K50" s="33"/>
    </row>
    <row r="51" spans="1:11" ht="14.25" customHeight="1" x14ac:dyDescent="0.3">
      <c r="A51" s="21">
        <f t="shared" si="7"/>
        <v>0</v>
      </c>
      <c r="B51" s="21"/>
      <c r="C51" s="22"/>
      <c r="D51" s="23"/>
      <c r="E51" s="24" t="e">
        <f t="shared" si="8"/>
        <v>#DIV/0!</v>
      </c>
      <c r="F51" t="str">
        <f>IF($C51="","",COUNTIF($C$2:$C51,$C51))</f>
        <v/>
      </c>
      <c r="H51" s="37" t="e">
        <f>IF(SUMPRODUCT(($C$2:$C$266=$H$46)*($F$2:$F$266=2))=0,"",INDEX($A$2:$A$266,SUMPRODUCT(($C$2:$C$266=$H$46)*($F$2:$F$266=2)*(ROW($C$2:$C$266)-ROW($C$2)+1))))</f>
        <v>#DIV/0!</v>
      </c>
      <c r="I51" s="38" t="str">
        <f>IFERROR(IF(SUMPRODUCT(($C$2:$C$266=$H$46)*($F$2:$F$266=2))=0,"",INDEX($D$2:$D$266,SUMPRODUCT(($C$2:$C$266=$H$46)*($F$2:$F$266=2)*(ROW($C$2:$C$266)-ROW($C$2)+1)))),"")</f>
        <v/>
      </c>
      <c r="J51" s="38" t="str">
        <f>IFERROR(IF(SUMPRODUCT(($C$2:$C$266=$H$46)*($F$2:$F$266=2))=0,"",INDEX($E$2:$E$266,SUMPRODUCT(($C$2:$C$266=$H$46)*($F$2:$F$266=2)*(ROW($C$2:$C$266)-ROW($C$2)+1)))),"")</f>
        <v/>
      </c>
      <c r="K51" s="33"/>
    </row>
    <row r="52" spans="1:11" ht="14.25" customHeight="1" x14ac:dyDescent="0.3">
      <c r="A52" s="21">
        <f t="shared" si="7"/>
        <v>0</v>
      </c>
      <c r="B52" s="21"/>
      <c r="C52" s="22"/>
      <c r="D52" s="23"/>
      <c r="E52" s="24" t="e">
        <f t="shared" si="8"/>
        <v>#DIV/0!</v>
      </c>
      <c r="F52" t="str">
        <f>IF($C52="","",COUNTIF($C$2:$C52,$C52))</f>
        <v/>
      </c>
      <c r="H52" s="37" t="e">
        <f>IF(SUMPRODUCT(($C$2:$C$266=$H$46)*($F$2:$F$266=3))=0,"",INDEX($A$2:$A$266,SUMPRODUCT(($C$2:$C$266=$H$46)*($F$2:$F$266=3)*(ROW($C$2:$C$266)-ROW($C$2)+1))))</f>
        <v>#DIV/0!</v>
      </c>
      <c r="I52" s="38" t="str">
        <f>IFERROR(IF(SUMPRODUCT(($C$2:$C$266=$H$46)*($F$2:$F$266=3))=0,"",INDEX($D$2:$D$266,SUMPRODUCT(($C$2:$C$266=$H$46)*($F$2:$F$266=3)*(ROW($C$2:$C$266)-ROW($C$2)+1)))),"")</f>
        <v/>
      </c>
      <c r="J52" s="38" t="str">
        <f>IFERROR(IF(SUMPRODUCT(($C$2:$C$266=$H$46)*($F$2:$F$266=3))=0,"",INDEX($E$2:$E$266,SUMPRODUCT(($C$2:$C$266=$H$46)*($F$2:$F$266=3)*(ROW($C$2:$C$266)-ROW($C$2)+1)))),"")</f>
        <v/>
      </c>
      <c r="K52" s="33"/>
    </row>
    <row r="53" spans="1:11" ht="14.25" customHeight="1" x14ac:dyDescent="0.3">
      <c r="A53" s="21">
        <f t="shared" si="7"/>
        <v>0</v>
      </c>
      <c r="B53" s="21"/>
      <c r="C53" s="22"/>
      <c r="D53" s="23"/>
      <c r="E53" s="24" t="e">
        <f t="shared" si="8"/>
        <v>#DIV/0!</v>
      </c>
      <c r="F53" t="str">
        <f>IF($C53="","",COUNTIF($C$2:$C53,$C53))</f>
        <v/>
      </c>
      <c r="H53" s="37" t="e">
        <f>IF(SUMPRODUCT(($C$2:$C$266=$H$46)*($F$2:$F$266=4))=0,"",INDEX($A$2:$A$266,SUMPRODUCT(($C$2:$C$266=$H$46)*($F$2:$F$266=4)*(ROW($C$2:$C$266)-ROW($C$2)+1))))</f>
        <v>#DIV/0!</v>
      </c>
      <c r="I53" s="38" t="str">
        <f>IFERROR(IF(SUMPRODUCT(($C$2:$C$266=$H$46)*($F$2:$F$266=4))=0,"",INDEX($D$2:$D$266,SUMPRODUCT(($C$2:$C$266=$H$46)*($F$2:$F$266=4)*(ROW($C$2:$C$266)-ROW($C$2)+1)))),"")</f>
        <v/>
      </c>
      <c r="J53" s="38" t="str">
        <f>IFERROR(IF(SUMPRODUCT(($C$2:$C$266=$H$46)*($F$2:$F$266=4))=0,"",INDEX($E$2:$E$266,SUMPRODUCT(($C$2:$C$266=$H$46)*($F$2:$F$266=4)*(ROW($C$2:$C$266)-ROW($C$2)+1)))),"")</f>
        <v/>
      </c>
      <c r="K53" s="33"/>
    </row>
    <row r="54" spans="1:11" ht="14.25" customHeight="1" x14ac:dyDescent="0.3">
      <c r="A54" s="21">
        <f t="shared" si="7"/>
        <v>0</v>
      </c>
      <c r="B54" s="21"/>
      <c r="C54" s="22"/>
      <c r="D54" s="23"/>
      <c r="E54" s="24" t="e">
        <f t="shared" si="8"/>
        <v>#DIV/0!</v>
      </c>
      <c r="F54" t="str">
        <f>IF($C54="","",COUNTIF($C$2:$C54,$C54))</f>
        <v/>
      </c>
      <c r="H54" s="37" t="e">
        <f>IF(SUMPRODUCT(($C$2:$C$266=$H$46)*($F$2:$F$266=5))=0,"",INDEX($A$2:$A$266,SUMPRODUCT(($C$2:$C$266=$H$46)*($F$2:$F$266=5)*(ROW($C$2:$C$266)-ROW($C$2)+1))))</f>
        <v>#DIV/0!</v>
      </c>
      <c r="I54" s="38" t="str">
        <f>IFERROR(IF(SUMPRODUCT(($C$2:$C$266=$H$46)*($F$2:$F$266=5))=0,"",INDEX($D$2:$D$266,SUMPRODUCT(($C$2:$C$266=$H$46)*($F$2:$F$266=5)*(ROW($C$2:$C$266)-ROW($C$2)+1)))),"")</f>
        <v/>
      </c>
      <c r="J54" s="38" t="str">
        <f>IFERROR(IF(SUMPRODUCT(($C$2:$C$266=$H$46)*($F$2:$F$266=5))=0,"",INDEX($E$2:$E$266,SUMPRODUCT(($C$2:$C$266=$H$46)*($F$2:$F$266=5)*(ROW($C$2:$C$266)-ROW($C$2)+1)))),"")</f>
        <v/>
      </c>
      <c r="K54" s="33"/>
    </row>
    <row r="55" spans="1:11" ht="14.25" customHeight="1" x14ac:dyDescent="0.3">
      <c r="A55" s="21">
        <f t="shared" si="7"/>
        <v>0</v>
      </c>
      <c r="B55" s="21"/>
      <c r="C55" s="22"/>
      <c r="D55" s="23"/>
      <c r="E55" s="24" t="e">
        <f t="shared" si="8"/>
        <v>#DIV/0!</v>
      </c>
      <c r="F55" t="str">
        <f>IF($C55="","",COUNTIF($C$2:$C55,$C55))</f>
        <v/>
      </c>
      <c r="H55" s="37" t="e">
        <f>IF(SUMPRODUCT(($C$2:$C$266=$H$46)*($F$2:$F$266=6))=0,"",INDEX($A$2:$A$266,SUMPRODUCT(($C$2:$C$266=$H$46)*($F$2:$F$266=6)*(ROW($C$2:$C$266)-ROW($C$2)+1))))</f>
        <v>#DIV/0!</v>
      </c>
      <c r="I55" s="38" t="str">
        <f>IFERROR(IF(SUMPRODUCT(($C$2:$C$266=$H$46)*($F$2:$F$266=6))=0,"",INDEX($D$2:$D$266,SUMPRODUCT(($C$2:$C$266=$H$46)*($F$2:$F$266=6)*(ROW($C$2:$C$266)-ROW($C$2)+1)))),"")</f>
        <v/>
      </c>
      <c r="J55" s="38" t="str">
        <f>IFERROR(IF(SUMPRODUCT(($C$2:$C$266=$H$46)*($F$2:$F$266=6))=0,"",INDEX($E$2:$E$266,SUMPRODUCT(($C$2:$C$266=$H$46)*($F$2:$F$266=6)*(ROW($C$2:$C$266)-ROW($C$2)+1)))),"")</f>
        <v/>
      </c>
      <c r="K55" s="33"/>
    </row>
    <row r="56" spans="1:11" ht="15" customHeight="1" x14ac:dyDescent="0.3">
      <c r="C56" s="25" t="s">
        <v>24</v>
      </c>
      <c r="D56" s="26"/>
      <c r="E56" s="27" t="e">
        <f>SUM(E49:E55)</f>
        <v>#DIV/0!</v>
      </c>
      <c r="H56" s="37" t="e">
        <f>IF(SUMPRODUCT(($C$2:$C$266=$H$46)*($F$2:$F$266=7))=0,"",INDEX($A$2:$A$266,SUMPRODUCT(($C$2:$C$266=$H$46)*($F$2:$F$266=7)*(ROW($C$2:$C$266)-ROW($C$2)+1))))</f>
        <v>#DIV/0!</v>
      </c>
      <c r="I56" s="38" t="str">
        <f>IFERROR(IF(SUMPRODUCT(($C$2:$C$266=$H$46)*($F$2:$F$266=7))=0,"",INDEX($D$2:$D$266,SUMPRODUCT(($C$2:$C$266=$H$46)*($F$2:$F$266=7)*(ROW($C$2:$C$266)-ROW($C$2)+1)))),"")</f>
        <v/>
      </c>
      <c r="J56" s="38" t="str">
        <f>IFERROR(IF(SUMPRODUCT(($C$2:$C$266=$H$46)*($F$2:$F$266=7))=0,"",INDEX($E$2:$E$266,SUMPRODUCT(($C$2:$C$266=$H$46)*($F$2:$F$266=7)*(ROW($C$2:$C$266)-ROW($C$2)+1)))),"")</f>
        <v/>
      </c>
      <c r="K56" s="33"/>
    </row>
    <row r="57" spans="1:11" ht="15" customHeight="1" x14ac:dyDescent="0.3">
      <c r="H57" s="37" t="e">
        <f>IF(SUMPRODUCT(($C$2:$C$266=$H$46)*($F$2:$F$266=8))=0,"",INDEX($A$2:$A$266,SUMPRODUCT(($C$2:$C$266=$H$46)*($F$2:$F$266=8)*(ROW($C$2:$C$266)-ROW($C$2)+1))))</f>
        <v>#DIV/0!</v>
      </c>
      <c r="I57" s="38" t="str">
        <f>IFERROR(IF(SUMPRODUCT(($C$2:$C$266=$H$46)*($F$2:$F$266=8))=0,"",INDEX($D$2:$D$266,SUMPRODUCT(($C$2:$C$266=$H$46)*($F$2:$F$266=8)*(ROW($C$2:$C$266)-ROW($C$2)+1)))),"")</f>
        <v/>
      </c>
      <c r="J57" s="38" t="str">
        <f>IFERROR(IF(SUMPRODUCT(($C$2:$C$266=$H$46)*($F$2:$F$266=8))=0,"",INDEX($E$2:$E$266,SUMPRODUCT(($C$2:$C$266=$H$46)*($F$2:$F$266=8)*(ROW($C$2:$C$266)-ROW($C$2)+1)))),"")</f>
        <v/>
      </c>
      <c r="K57" s="33"/>
    </row>
    <row r="58" spans="1:11" ht="15" customHeight="1" x14ac:dyDescent="0.3">
      <c r="C58" s="4"/>
      <c r="D58" s="4"/>
      <c r="E58" s="4"/>
      <c r="H58" s="37" t="e">
        <f>IF(SUMPRODUCT(($C$2:$C$266=$H$46)*($F$2:$F$266=9))=0,"",INDEX($A$2:$A$266,SUMPRODUCT(($C$2:$C$266=$H$46)*($F$2:$F$266=9)*(ROW($C$2:$C$266)-ROW($C$2)+1))))</f>
        <v>#DIV/0!</v>
      </c>
      <c r="I58" s="38" t="str">
        <f>IFERROR(IF(SUMPRODUCT(($C$2:$C$266=$H$46)*($F$2:$F$266=9))=0,"",INDEX($D$2:$D$266,SUMPRODUCT(($C$2:$C$266=$H$46)*($F$2:$F$266=9)*(ROW($C$2:$C$266)-ROW($C$2)+1)))),"")</f>
        <v/>
      </c>
      <c r="J58" s="38" t="str">
        <f>IFERROR(IF(SUMPRODUCT(($C$2:$C$266=$H$46)*($F$2:$F$266=9))=0,"",INDEX($E$2:$E$266,SUMPRODUCT(($C$2:$C$266=$H$46)*($F$2:$F$266=9)*(ROW($C$2:$C$266)-ROW($C$2)+1)))),"")</f>
        <v/>
      </c>
      <c r="K58" s="33"/>
    </row>
    <row r="59" spans="1:11" ht="15" customHeight="1" x14ac:dyDescent="0.3">
      <c r="C59" s="28"/>
      <c r="E59" s="29"/>
      <c r="H59" s="37" t="e">
        <f>IF(SUMPRODUCT(($C$2:$C$266=$H$46)*($F$2:$F$266=10))=0,"",INDEX($A$2:$A$266,SUMPRODUCT(($C$2:$C$266=$H$46)*($F$2:$F$266=10)*(ROW($C$2:$C$266)-ROW($C$2)+1))))</f>
        <v>#DIV/0!</v>
      </c>
      <c r="I59" s="38" t="str">
        <f>IFERROR(IF(SUMPRODUCT(($C$2:$C$266=$H$46)*($F$2:$F$266=10))=0,"",INDEX($D$2:$D$266,SUMPRODUCT(($C$2:$C$266=$H$46)*($F$2:$F$266=10)*(ROW($C$2:$C$266)-ROW($C$2)+1)))),"")</f>
        <v/>
      </c>
      <c r="J59" s="38" t="str">
        <f>IFERROR(IF(SUMPRODUCT(($C$2:$C$266=$H$46)*($F$2:$F$266=10))=0,"",INDEX($E$2:$E$266,SUMPRODUCT(($C$2:$C$266=$H$46)*($F$2:$F$266=10)*(ROW($C$2:$C$266)-ROW($C$2)+1)))),"")</f>
        <v/>
      </c>
      <c r="K59" s="33"/>
    </row>
    <row r="60" spans="1:11" ht="14.25" customHeight="1" x14ac:dyDescent="0.3">
      <c r="C60" s="10" t="s">
        <v>5</v>
      </c>
      <c r="D60" s="11"/>
      <c r="E60" s="12"/>
      <c r="H60" s="37" t="e">
        <f>IF(SUMPRODUCT(($C$2:$C$266=$H$46)*($F$2:$F$266=11))=0,"",INDEX($A$2:$A$266,SUMPRODUCT(($C$2:$C$266=$H$46)*($F$2:$F$266=11)*(ROW($C$2:$C$266)-ROW($C$2)+1))))</f>
        <v>#DIV/0!</v>
      </c>
      <c r="I60" s="38" t="str">
        <f>IFERROR(IF(SUMPRODUCT(($C$2:$C$266=$H$46)*($F$2:$F$266=11))=0,"",INDEX($D$2:$D$266,SUMPRODUCT(($C$2:$C$266=$H$46)*($F$2:$F$266=11)*(ROW($C$2:$C$266)-ROW($C$2)+1)))),"")</f>
        <v/>
      </c>
      <c r="J60" s="38" t="str">
        <f>IFERROR(IF(SUMPRODUCT(($C$2:$C$266=$H$46)*($F$2:$F$266=11))=0,"",INDEX($E$2:$E$266,SUMPRODUCT(($C$2:$C$266=$H$46)*($F$2:$F$266=11)*(ROW($C$2:$C$266)-ROW($C$2)+1)))),"")</f>
        <v/>
      </c>
      <c r="K60" s="33"/>
    </row>
    <row r="61" spans="1:11" ht="14.25" customHeight="1" x14ac:dyDescent="0.3">
      <c r="C61" s="10" t="s">
        <v>7</v>
      </c>
      <c r="D61" s="15"/>
      <c r="E61" s="16"/>
      <c r="H61" s="37" t="e">
        <f>IF(SUMPRODUCT(($C$2:$C$266=$H$46)*($F$2:$F$266=12))=0,"",INDEX($A$2:$A$266,SUMPRODUCT(($C$2:$C$266=$H$46)*($F$2:$F$266=12)*(ROW($C$2:$C$266)-ROW($C$2)+1))))</f>
        <v>#DIV/0!</v>
      </c>
      <c r="I61" s="38" t="str">
        <f>IFERROR(IF(SUMPRODUCT(($C$2:$C$266=$H$46)*($F$2:$F$266=12))=0,"",INDEX($D$2:$D$266,SUMPRODUCT(($C$2:$C$266=$H$46)*($F$2:$F$266=12)*(ROW($C$2:$C$266)-ROW($C$2)+1)))),"")</f>
        <v/>
      </c>
      <c r="J61" s="38" t="str">
        <f>IFERROR(IF(SUMPRODUCT(($C$2:$C$266=$H$46)*($F$2:$F$266=12))=0,"",INDEX($E$2:$E$266,SUMPRODUCT(($C$2:$C$266=$H$46)*($F$2:$F$266=12)*(ROW($C$2:$C$266)-ROW($C$2)+1)))),"")</f>
        <v/>
      </c>
      <c r="K61" s="33"/>
    </row>
    <row r="62" spans="1:11" ht="14.25" customHeight="1" x14ac:dyDescent="0.3">
      <c r="C62" s="10" t="s">
        <v>9</v>
      </c>
      <c r="D62" s="10"/>
      <c r="E62" s="12"/>
      <c r="H62" s="37" t="e">
        <f>IF(SUMPRODUCT(($C$2:$C$266=$H$46)*($F$2:$F$266=13))=0,"",INDEX($A$2:$A$266,SUMPRODUCT(($C$2:$C$266=$H$46)*($F$2:$F$266=13)*(ROW($C$2:$C$266)-ROW($C$2)+1))))</f>
        <v>#DIV/0!</v>
      </c>
      <c r="I62" s="38" t="str">
        <f>IFERROR(IF(SUMPRODUCT(($C$2:$C$266=$H$46)*($F$2:$F$266=13))=0,"",INDEX($D$2:$D$266,SUMPRODUCT(($C$2:$C$266=$H$46)*($F$2:$F$266=13)*(ROW($C$2:$C$266)-ROW($C$2)+1)))),"")</f>
        <v/>
      </c>
      <c r="J62" s="38" t="str">
        <f>IFERROR(IF(SUMPRODUCT(($C$2:$C$266=$H$46)*($F$2:$F$266=13))=0,"",INDEX($E$2:$E$266,SUMPRODUCT(($C$2:$C$266=$H$46)*($F$2:$F$266=13)*(ROW($C$2:$C$266)-ROW($C$2)+1)))),"")</f>
        <v/>
      </c>
      <c r="K62" s="33"/>
    </row>
    <row r="63" spans="1:11" ht="14.25" customHeight="1" x14ac:dyDescent="0.3">
      <c r="C63" s="10" t="s">
        <v>2</v>
      </c>
      <c r="D63" s="17">
        <f>SUM(D60:D62)</f>
        <v>0</v>
      </c>
      <c r="E63" s="12"/>
      <c r="H63" s="37" t="e">
        <f>IF(SUMPRODUCT(($C$2:$C$266=$H$46)*($F$2:$F$266=14))=0,"",INDEX($A$2:$A$266,SUMPRODUCT(($C$2:$C$266=$H$46)*($F$2:$F$266=14)*(ROW($C$2:$C$266)-ROW($C$2)+1))))</f>
        <v>#DIV/0!</v>
      </c>
      <c r="I63" s="38" t="str">
        <f>IFERROR(IF(SUMPRODUCT(($C$2:$C$266=$H$46)*($F$2:$F$266=14))=0,"",INDEX($D$2:$D$266,SUMPRODUCT(($C$2:$C$266=$H$46)*($F$2:$F$266=14)*(ROW($C$2:$C$266)-ROW($C$2)+1)))),"")</f>
        <v/>
      </c>
      <c r="J63" s="38" t="str">
        <f>IFERROR(IF(SUMPRODUCT(($C$2:$C$266=$H$46)*($F$2:$F$266=14))=0,"",INDEX($E$2:$E$266,SUMPRODUCT(($C$2:$C$266=$H$46)*($F$2:$F$266=14)*(ROW($C$2:$C$266)-ROW($C$2)+1)))),"")</f>
        <v/>
      </c>
      <c r="K63" s="33"/>
    </row>
    <row r="64" spans="1:11" ht="14.25" customHeight="1" x14ac:dyDescent="0.3">
      <c r="C64" s="10" t="s">
        <v>3</v>
      </c>
      <c r="D64" s="10">
        <f>SUM(D68:D74)</f>
        <v>0</v>
      </c>
      <c r="E64" s="12"/>
      <c r="H64" s="37" t="e">
        <f>IF(SUMPRODUCT(($C$2:$C$266=$H$46)*($F$2:$F$266=15))=0,"",INDEX($A$2:$A$266,SUMPRODUCT(($C$2:$C$266=$H$46)*($F$2:$F$266=15)*(ROW($C$2:$C$266)-ROW($C$2)+1))))</f>
        <v>#DIV/0!</v>
      </c>
      <c r="I64" s="38" t="str">
        <f>IFERROR(IF(SUMPRODUCT(($C$2:$C$266=$H$46)*($F$2:$F$266=15))=0,"",INDEX($D$2:$D$266,SUMPRODUCT(($C$2:$C$266=$H$46)*($F$2:$F$266=15)*(ROW($C$2:$C$266)-ROW($C$2)+1)))),"")</f>
        <v/>
      </c>
      <c r="J64" s="38" t="str">
        <f>IFERROR(IF(SUMPRODUCT(($C$2:$C$266=$H$46)*($F$2:$F$266=15))=0,"",INDEX($E$2:$E$266,SUMPRODUCT(($C$2:$C$266=$H$46)*($F$2:$F$266=15)*(ROW($C$2:$C$266)-ROW($C$2)+1)))),"")</f>
        <v/>
      </c>
      <c r="K64" s="33"/>
    </row>
    <row r="65" spans="1:11" ht="14.25" customHeight="1" x14ac:dyDescent="0.3">
      <c r="C65" s="10" t="s">
        <v>13</v>
      </c>
      <c r="D65" s="17" t="e">
        <f>D63/D64</f>
        <v>#DIV/0!</v>
      </c>
      <c r="E65" s="12"/>
      <c r="H65" s="37" t="e">
        <f>IF(SUMPRODUCT(($C$2:$C$266=$H$46)*($F$2:$F$266=16))=0,"",INDEX($A$2:$A$266,SUMPRODUCT(($C$2:$C$266=$H$46)*($F$2:$F$266=16)*(ROW($C$2:$C$266)-ROW($C$2)+1))))</f>
        <v>#DIV/0!</v>
      </c>
      <c r="I65" s="38" t="str">
        <f>IFERROR(IF(SUMPRODUCT(($C$2:$C$266=$H$46)*($F$2:$F$266=16))=0,"",INDEX($D$2:$D$266,SUMPRODUCT(($C$2:$C$266=$H$46)*($F$2:$F$266=16)*(ROW($C$2:$C$266)-ROW($C$2)+1)))),"")</f>
        <v/>
      </c>
      <c r="J65" s="38" t="str">
        <f>IFERROR(IF(SUMPRODUCT(($C$2:$C$266=$H$46)*($F$2:$F$266=16))=0,"",INDEX($E$2:$E$266,SUMPRODUCT(($C$2:$C$266=$H$46)*($F$2:$F$266=16)*(ROW($C$2:$C$266)-ROW($C$2)+1)))),"")</f>
        <v/>
      </c>
      <c r="K65" s="33"/>
    </row>
    <row r="66" spans="1:11" ht="14.25" customHeight="1" x14ac:dyDescent="0.3">
      <c r="C66" s="12"/>
      <c r="D66" s="36"/>
      <c r="E66" s="12"/>
      <c r="H66" s="34" t="str">
        <f>H6</f>
        <v>Lauren Sanders</v>
      </c>
      <c r="I66" s="32"/>
      <c r="J66" s="32"/>
      <c r="K66" s="33"/>
    </row>
    <row r="67" spans="1:11" ht="15" customHeight="1" x14ac:dyDescent="0.3">
      <c r="C67" s="18" t="s">
        <v>1</v>
      </c>
      <c r="D67" s="19" t="s">
        <v>15</v>
      </c>
      <c r="E67" s="20" t="s">
        <v>16</v>
      </c>
      <c r="H67" s="35" t="s">
        <v>26</v>
      </c>
      <c r="I67" s="32">
        <f>IFERROR(SUMIF($C$2:$C$266,H66,$D$2:$D$266),0)</f>
        <v>0</v>
      </c>
      <c r="J67" s="32"/>
      <c r="K67" s="33"/>
    </row>
    <row r="68" spans="1:11" ht="14.25" customHeight="1" x14ac:dyDescent="0.3">
      <c r="A68" s="21">
        <f t="shared" ref="A68:A74" si="9">$C$58</f>
        <v>0</v>
      </c>
      <c r="B68" s="21"/>
      <c r="C68" s="22"/>
      <c r="D68" s="23"/>
      <c r="E68" s="24" t="e">
        <f t="shared" ref="E68:E74" si="10">D68*$D$65</f>
        <v>#DIV/0!</v>
      </c>
      <c r="F68" t="str">
        <f>IF($C68="","",COUNTIF($C$2:$C68,$C68))</f>
        <v/>
      </c>
      <c r="H68" s="35" t="s">
        <v>27</v>
      </c>
      <c r="I68" s="32">
        <f>IFERROR(SUMIF($C$2:$C$266,H66,$E$2:$E$266),0)</f>
        <v>0</v>
      </c>
      <c r="J68" s="32"/>
      <c r="K68" s="33"/>
    </row>
    <row r="69" spans="1:11" ht="14.25" customHeight="1" x14ac:dyDescent="0.3">
      <c r="A69" s="21">
        <f t="shared" si="9"/>
        <v>0</v>
      </c>
      <c r="B69" s="21"/>
      <c r="C69" s="22"/>
      <c r="D69" s="23"/>
      <c r="E69" s="24" t="e">
        <f t="shared" si="10"/>
        <v>#DIV/0!</v>
      </c>
      <c r="F69" t="str">
        <f>IF($C69="","",COUNTIF($C$2:$C69,$C69))</f>
        <v/>
      </c>
      <c r="H69" s="18" t="s">
        <v>28</v>
      </c>
      <c r="I69" s="20" t="s">
        <v>15</v>
      </c>
      <c r="J69" s="20" t="s">
        <v>16</v>
      </c>
      <c r="K69" s="33"/>
    </row>
    <row r="70" spans="1:11" ht="14.25" customHeight="1" x14ac:dyDescent="0.3">
      <c r="A70" s="21">
        <f t="shared" si="9"/>
        <v>0</v>
      </c>
      <c r="B70" s="21"/>
      <c r="C70" s="22"/>
      <c r="D70" s="23"/>
      <c r="E70" s="24" t="e">
        <f t="shared" si="10"/>
        <v>#DIV/0!</v>
      </c>
      <c r="F70" t="str">
        <f>IF($C70="","",COUNTIF($C$2:$C70,$C70))</f>
        <v/>
      </c>
      <c r="H70" s="37" t="e">
        <f>IF(SUMPRODUCT(($C$2:$C$266=$H$66)*($F$2:$F$266=1))=0,"No entries yet",INDEX($A$2:$A$266,SUMPRODUCT(($C$2:$C$266=$H$66)*($F$2:$F$266=1)*(ROW($C$2:$C$266)-ROW($C$2)+1))))</f>
        <v>#DIV/0!</v>
      </c>
      <c r="I70" s="38" t="str">
        <f>IFERROR(IF(SUMPRODUCT(($C$2:$C$266=$H$66)*($F$2:$F$266=1))=0,"",INDEX($D$2:$D$266,SUMPRODUCT(($C$2:$C$266=$H$66)*($F$2:$F$266=1)*(ROW($C$2:$C$266)-ROW($C$2)+1)))),"")</f>
        <v/>
      </c>
      <c r="J70" s="38" t="str">
        <f>IFERROR(IF(SUMPRODUCT(($C$2:$C$266=$H$66)*($F$2:$F$266=1))=0,"",INDEX($E$2:$E$266,SUMPRODUCT(($C$2:$C$266=$H$66)*($F$2:$F$266=1)*(ROW($C$2:$C$266)-ROW($C$2)+1)))),"")</f>
        <v/>
      </c>
      <c r="K70" s="33"/>
    </row>
    <row r="71" spans="1:11" ht="14.25" customHeight="1" x14ac:dyDescent="0.3">
      <c r="A71" s="21">
        <f t="shared" si="9"/>
        <v>0</v>
      </c>
      <c r="B71" s="21"/>
      <c r="C71" s="22"/>
      <c r="D71" s="23"/>
      <c r="E71" s="24" t="e">
        <f t="shared" si="10"/>
        <v>#DIV/0!</v>
      </c>
      <c r="F71" t="str">
        <f>IF($C71="","",COUNTIF($C$2:$C71,$C71))</f>
        <v/>
      </c>
      <c r="H71" s="37" t="e">
        <f>IF(SUMPRODUCT(($C$2:$C$266=$H$66)*($F$2:$F$266=2))=0,"",INDEX($A$2:$A$266,SUMPRODUCT(($C$2:$C$266=$H$66)*($F$2:$F$266=2)*(ROW($C$2:$C$266)-ROW($C$2)+1))))</f>
        <v>#DIV/0!</v>
      </c>
      <c r="I71" s="38" t="str">
        <f>IFERROR(IF(SUMPRODUCT(($C$2:$C$266=$H$66)*($F$2:$F$266=2))=0,"",INDEX($D$2:$D$266,SUMPRODUCT(($C$2:$C$266=$H$66)*($F$2:$F$266=2)*(ROW($C$2:$C$266)-ROW($C$2)+1)))),"")</f>
        <v/>
      </c>
      <c r="J71" s="38" t="str">
        <f>IFERROR(IF(SUMPRODUCT(($C$2:$C$266=$H$66)*($F$2:$F$266=2))=0,"",INDEX($E$2:$E$266,SUMPRODUCT(($C$2:$C$266=$H$66)*($F$2:$F$266=2)*(ROW($C$2:$C$266)-ROW($C$2)+1)))),"")</f>
        <v/>
      </c>
      <c r="K71" s="33"/>
    </row>
    <row r="72" spans="1:11" ht="14.25" customHeight="1" x14ac:dyDescent="0.3">
      <c r="A72" s="21">
        <f t="shared" si="9"/>
        <v>0</v>
      </c>
      <c r="B72" s="21"/>
      <c r="C72" s="22"/>
      <c r="D72" s="23"/>
      <c r="E72" s="24" t="e">
        <f t="shared" si="10"/>
        <v>#DIV/0!</v>
      </c>
      <c r="F72" t="str">
        <f>IF($C72="","",COUNTIF($C$2:$C72,$C72))</f>
        <v/>
      </c>
      <c r="H72" s="37" t="e">
        <f>IF(SUMPRODUCT(($C$2:$C$266=$H$66)*($F$2:$F$266=3))=0,"",INDEX($A$2:$A$266,SUMPRODUCT(($C$2:$C$266=$H$66)*($F$2:$F$266=3)*(ROW($C$2:$C$266)-ROW($C$2)+1))))</f>
        <v>#DIV/0!</v>
      </c>
      <c r="I72" s="38" t="str">
        <f>IFERROR(IF(SUMPRODUCT(($C$2:$C$266=$H$66)*($F$2:$F$266=3))=0,"",INDEX($D$2:$D$266,SUMPRODUCT(($C$2:$C$266=$H$66)*($F$2:$F$266=3)*(ROW($C$2:$C$266)-ROW($C$2)+1)))),"")</f>
        <v/>
      </c>
      <c r="J72" s="38" t="str">
        <f>IFERROR(IF(SUMPRODUCT(($C$2:$C$266=$H$66)*($F$2:$F$266=3))=0,"",INDEX($E$2:$E$266,SUMPRODUCT(($C$2:$C$266=$H$66)*($F$2:$F$266=3)*(ROW($C$2:$C$266)-ROW($C$2)+1)))),"")</f>
        <v/>
      </c>
      <c r="K72" s="33"/>
    </row>
    <row r="73" spans="1:11" ht="14.25" customHeight="1" x14ac:dyDescent="0.3">
      <c r="A73" s="21">
        <f t="shared" si="9"/>
        <v>0</v>
      </c>
      <c r="B73" s="21"/>
      <c r="C73" s="22"/>
      <c r="D73" s="23"/>
      <c r="E73" s="24" t="e">
        <f t="shared" si="10"/>
        <v>#DIV/0!</v>
      </c>
      <c r="F73" t="str">
        <f>IF($C73="","",COUNTIF($C$2:$C73,$C73))</f>
        <v/>
      </c>
      <c r="H73" s="37" t="e">
        <f>IF(SUMPRODUCT(($C$2:$C$266=$H$66)*($F$2:$F$266=4))=0,"",INDEX($A$2:$A$266,SUMPRODUCT(($C$2:$C$266=$H$66)*($F$2:$F$266=4)*(ROW($C$2:$C$266)-ROW($C$2)+1))))</f>
        <v>#DIV/0!</v>
      </c>
      <c r="I73" s="38" t="str">
        <f>IFERROR(IF(SUMPRODUCT(($C$2:$C$266=$H$66)*($F$2:$F$266=4))=0,"",INDEX($D$2:$D$266,SUMPRODUCT(($C$2:$C$266=$H$66)*($F$2:$F$266=4)*(ROW($C$2:$C$266)-ROW($C$2)+1)))),"")</f>
        <v/>
      </c>
      <c r="J73" s="38" t="str">
        <f>IFERROR(IF(SUMPRODUCT(($C$2:$C$266=$H$66)*($F$2:$F$266=4))=0,"",INDEX($E$2:$E$266,SUMPRODUCT(($C$2:$C$266=$H$66)*($F$2:$F$266=4)*(ROW($C$2:$C$266)-ROW($C$2)+1)))),"")</f>
        <v/>
      </c>
      <c r="K73" s="33"/>
    </row>
    <row r="74" spans="1:11" ht="14.25" customHeight="1" x14ac:dyDescent="0.3">
      <c r="A74" s="21">
        <f t="shared" si="9"/>
        <v>0</v>
      </c>
      <c r="B74" s="21"/>
      <c r="C74" s="22"/>
      <c r="D74" s="23"/>
      <c r="E74" s="24" t="e">
        <f t="shared" si="10"/>
        <v>#DIV/0!</v>
      </c>
      <c r="F74" t="str">
        <f>IF($C74="","",COUNTIF($C$2:$C74,$C74))</f>
        <v/>
      </c>
      <c r="H74" s="37" t="e">
        <f>IF(SUMPRODUCT(($C$2:$C$266=$H$66)*($F$2:$F$266=5))=0,"",INDEX($A$2:$A$266,SUMPRODUCT(($C$2:$C$266=$H$66)*($F$2:$F$266=5)*(ROW($C$2:$C$266)-ROW($C$2)+1))))</f>
        <v>#DIV/0!</v>
      </c>
      <c r="I74" s="38" t="str">
        <f>IFERROR(IF(SUMPRODUCT(($C$2:$C$266=$H$66)*($F$2:$F$266=5))=0,"",INDEX($D$2:$D$266,SUMPRODUCT(($C$2:$C$266=$H$66)*($F$2:$F$266=5)*(ROW($C$2:$C$266)-ROW($C$2)+1)))),"")</f>
        <v/>
      </c>
      <c r="J74" s="38" t="str">
        <f>IFERROR(IF(SUMPRODUCT(($C$2:$C$266=$H$66)*($F$2:$F$266=5))=0,"",INDEX($E$2:$E$266,SUMPRODUCT(($C$2:$C$266=$H$66)*($F$2:$F$266=5)*(ROW($C$2:$C$266)-ROW($C$2)+1)))),"")</f>
        <v/>
      </c>
      <c r="K74" s="33"/>
    </row>
    <row r="75" spans="1:11" ht="15" customHeight="1" x14ac:dyDescent="0.3">
      <c r="C75" s="25" t="s">
        <v>24</v>
      </c>
      <c r="D75" s="26"/>
      <c r="E75" s="27" t="e">
        <f>SUM(E68:E74)</f>
        <v>#DIV/0!</v>
      </c>
      <c r="H75" s="37" t="e">
        <f>IF(SUMPRODUCT(($C$2:$C$266=$H$66)*($F$2:$F$266=6))=0,"",INDEX($A$2:$A$266,SUMPRODUCT(($C$2:$C$266=$H$66)*($F$2:$F$266=6)*(ROW($C$2:$C$266)-ROW($C$2)+1))))</f>
        <v>#DIV/0!</v>
      </c>
      <c r="I75" s="38" t="str">
        <f>IFERROR(IF(SUMPRODUCT(($C$2:$C$266=$H$66)*($F$2:$F$266=6))=0,"",INDEX($D$2:$D$266,SUMPRODUCT(($C$2:$C$266=$H$66)*($F$2:$F$266=6)*(ROW($C$2:$C$266)-ROW($C$2)+1)))),"")</f>
        <v/>
      </c>
      <c r="J75" s="38" t="str">
        <f>IFERROR(IF(SUMPRODUCT(($C$2:$C$266=$H$66)*($F$2:$F$266=6))=0,"",INDEX($E$2:$E$266,SUMPRODUCT(($C$2:$C$266=$H$66)*($F$2:$F$266=6)*(ROW($C$2:$C$266)-ROW($C$2)+1)))),"")</f>
        <v/>
      </c>
      <c r="K75" s="33"/>
    </row>
    <row r="76" spans="1:11" ht="15" customHeight="1" x14ac:dyDescent="0.3">
      <c r="H76" s="37" t="e">
        <f>IF(SUMPRODUCT(($C$2:$C$266=$H$66)*($F$2:$F$266=7))=0,"",INDEX($A$2:$A$266,SUMPRODUCT(($C$2:$C$266=$H$66)*($F$2:$F$266=7)*(ROW($C$2:$C$266)-ROW($C$2)+1))))</f>
        <v>#DIV/0!</v>
      </c>
      <c r="I76" s="38" t="str">
        <f>IFERROR(IF(SUMPRODUCT(($C$2:$C$266=$H$66)*($F$2:$F$266=7))=0,"",INDEX($D$2:$D$266,SUMPRODUCT(($C$2:$C$266=$H$66)*($F$2:$F$266=7)*(ROW($C$2:$C$266)-ROW($C$2)+1)))),"")</f>
        <v/>
      </c>
      <c r="J76" s="38" t="str">
        <f>IFERROR(IF(SUMPRODUCT(($C$2:$C$266=$H$66)*($F$2:$F$266=7))=0,"",INDEX($E$2:$E$266,SUMPRODUCT(($C$2:$C$266=$H$66)*($F$2:$F$266=7)*(ROW($C$2:$C$266)-ROW($C$2)+1)))),"")</f>
        <v/>
      </c>
      <c r="K76" s="33"/>
    </row>
    <row r="77" spans="1:11" ht="15" customHeight="1" x14ac:dyDescent="0.3">
      <c r="C77" s="4"/>
      <c r="D77" s="4"/>
      <c r="E77" s="4"/>
      <c r="H77" s="37" t="e">
        <f>IF(SUMPRODUCT(($C$2:$C$266=$H$66)*($F$2:$F$266=8))=0,"",INDEX($A$2:$A$266,SUMPRODUCT(($C$2:$C$266=$H$66)*($F$2:$F$266=8)*(ROW($C$2:$C$266)-ROW($C$2)+1))))</f>
        <v>#DIV/0!</v>
      </c>
      <c r="I77" s="38" t="str">
        <f>IFERROR(IF(SUMPRODUCT(($C$2:$C$266=$H$66)*($F$2:$F$266=8))=0,"",INDEX($D$2:$D$266,SUMPRODUCT(($C$2:$C$266=$H$66)*($F$2:$F$266=8)*(ROW($C$2:$C$266)-ROW($C$2)+1)))),"")</f>
        <v/>
      </c>
      <c r="J77" s="38" t="str">
        <f>IFERROR(IF(SUMPRODUCT(($C$2:$C$266=$H$66)*($F$2:$F$266=8))=0,"",INDEX($E$2:$E$266,SUMPRODUCT(($C$2:$C$266=$H$66)*($F$2:$F$266=8)*(ROW($C$2:$C$266)-ROW($C$2)+1)))),"")</f>
        <v/>
      </c>
      <c r="K77" s="33"/>
    </row>
    <row r="78" spans="1:11" ht="15" customHeight="1" x14ac:dyDescent="0.3">
      <c r="C78" s="28"/>
      <c r="E78" s="29"/>
      <c r="H78" s="37" t="e">
        <f>IF(SUMPRODUCT(($C$2:$C$266=$H$66)*($F$2:$F$266=9))=0,"",INDEX($A$2:$A$266,SUMPRODUCT(($C$2:$C$266=$H$66)*($F$2:$F$266=9)*(ROW($C$2:$C$266)-ROW($C$2)+1))))</f>
        <v>#DIV/0!</v>
      </c>
      <c r="I78" s="38" t="str">
        <f>IFERROR(IF(SUMPRODUCT(($C$2:$C$266=$H$66)*($F$2:$F$266=9))=0,"",INDEX($D$2:$D$266,SUMPRODUCT(($C$2:$C$266=$H$66)*($F$2:$F$266=9)*(ROW($C$2:$C$266)-ROW($C$2)+1)))),"")</f>
        <v/>
      </c>
      <c r="J78" s="38" t="str">
        <f>IFERROR(IF(SUMPRODUCT(($C$2:$C$266=$H$66)*($F$2:$F$266=9))=0,"",INDEX($E$2:$E$266,SUMPRODUCT(($C$2:$C$266=$H$66)*($F$2:$F$266=9)*(ROW($C$2:$C$266)-ROW($C$2)+1)))),"")</f>
        <v/>
      </c>
      <c r="K78" s="33"/>
    </row>
    <row r="79" spans="1:11" ht="14.25" customHeight="1" x14ac:dyDescent="0.3">
      <c r="C79" s="10" t="s">
        <v>5</v>
      </c>
      <c r="D79" s="11"/>
      <c r="E79" s="12"/>
      <c r="H79" s="37" t="e">
        <f>IF(SUMPRODUCT(($C$2:$C$266=$H$66)*($F$2:$F$266=10))=0,"",INDEX($A$2:$A$266,SUMPRODUCT(($C$2:$C$266=$H$66)*($F$2:$F$266=10)*(ROW($C$2:$C$266)-ROW($C$2)+1))))</f>
        <v>#DIV/0!</v>
      </c>
      <c r="I79" s="38" t="str">
        <f>IFERROR(IF(SUMPRODUCT(($C$2:$C$266=$H$66)*($F$2:$F$266=10))=0,"",INDEX($D$2:$D$266,SUMPRODUCT(($C$2:$C$266=$H$66)*($F$2:$F$266=10)*(ROW($C$2:$C$266)-ROW($C$2)+1)))),"")</f>
        <v/>
      </c>
      <c r="J79" s="38" t="str">
        <f>IFERROR(IF(SUMPRODUCT(($C$2:$C$266=$H$66)*($F$2:$F$266=10))=0,"",INDEX($E$2:$E$266,SUMPRODUCT(($C$2:$C$266=$H$66)*($F$2:$F$266=10)*(ROW($C$2:$C$266)-ROW($C$2)+1)))),"")</f>
        <v/>
      </c>
      <c r="K79" s="33"/>
    </row>
    <row r="80" spans="1:11" ht="14.25" customHeight="1" x14ac:dyDescent="0.3">
      <c r="C80" s="10" t="s">
        <v>7</v>
      </c>
      <c r="D80" s="15"/>
      <c r="E80" s="16"/>
      <c r="H80" s="37" t="e">
        <f>IF(SUMPRODUCT(($C$2:$C$266=$H$66)*($F$2:$F$266=11))=0,"",INDEX($A$2:$A$266,SUMPRODUCT(($C$2:$C$266=$H$66)*($F$2:$F$266=11)*(ROW($C$2:$C$266)-ROW($C$2)+1))))</f>
        <v>#DIV/0!</v>
      </c>
      <c r="I80" s="38" t="str">
        <f>IFERROR(IF(SUMPRODUCT(($C$2:$C$266=$H$66)*($F$2:$F$266=11))=0,"",INDEX($D$2:$D$266,SUMPRODUCT(($C$2:$C$266=$H$66)*($F$2:$F$266=11)*(ROW($C$2:$C$266)-ROW($C$2)+1)))),"")</f>
        <v/>
      </c>
      <c r="J80" s="38" t="str">
        <f>IFERROR(IF(SUMPRODUCT(($C$2:$C$266=$H$66)*($F$2:$F$266=11))=0,"",INDEX($E$2:$E$266,SUMPRODUCT(($C$2:$C$266=$H$66)*($F$2:$F$266=11)*(ROW($C$2:$C$266)-ROW($C$2)+1)))),"")</f>
        <v/>
      </c>
      <c r="K80" s="33"/>
    </row>
    <row r="81" spans="1:11" ht="14.25" customHeight="1" x14ac:dyDescent="0.3">
      <c r="C81" s="10" t="s">
        <v>9</v>
      </c>
      <c r="D81" s="10"/>
      <c r="E81" s="12"/>
      <c r="H81" s="37" t="e">
        <f>IF(SUMPRODUCT(($C$2:$C$266=$H$66)*($F$2:$F$266=12))=0,"",INDEX($A$2:$A$266,SUMPRODUCT(($C$2:$C$266=$H$66)*($F$2:$F$266=12)*(ROW($C$2:$C$266)-ROW($C$2)+1))))</f>
        <v>#DIV/0!</v>
      </c>
      <c r="I81" s="38" t="str">
        <f>IFERROR(IF(SUMPRODUCT(($C$2:$C$266=$H$66)*($F$2:$F$266=12))=0,"",INDEX($D$2:$D$266,SUMPRODUCT(($C$2:$C$266=$H$66)*($F$2:$F$266=12)*(ROW($C$2:$C$266)-ROW($C$2)+1)))),"")</f>
        <v/>
      </c>
      <c r="J81" s="38" t="str">
        <f>IFERROR(IF(SUMPRODUCT(($C$2:$C$266=$H$66)*($F$2:$F$266=12))=0,"",INDEX($E$2:$E$266,SUMPRODUCT(($C$2:$C$266=$H$66)*($F$2:$F$266=12)*(ROW($C$2:$C$266)-ROW($C$2)+1)))),"")</f>
        <v/>
      </c>
      <c r="K81" s="33"/>
    </row>
    <row r="82" spans="1:11" ht="14.25" customHeight="1" x14ac:dyDescent="0.3">
      <c r="C82" s="10" t="s">
        <v>2</v>
      </c>
      <c r="D82" s="17">
        <f>SUM(D79:D81)</f>
        <v>0</v>
      </c>
      <c r="E82" s="12"/>
      <c r="H82" s="37" t="e">
        <f>IF(SUMPRODUCT(($C$2:$C$266=$H$66)*($F$2:$F$266=13))=0,"",INDEX($A$2:$A$266,SUMPRODUCT(($C$2:$C$266=$H$66)*($F$2:$F$266=13)*(ROW($C$2:$C$266)-ROW($C$2)+1))))</f>
        <v>#DIV/0!</v>
      </c>
      <c r="I82" s="38" t="str">
        <f>IFERROR(IF(SUMPRODUCT(($C$2:$C$266=$H$66)*($F$2:$F$266=13))=0,"",INDEX($D$2:$D$266,SUMPRODUCT(($C$2:$C$266=$H$66)*($F$2:$F$266=13)*(ROW($C$2:$C$266)-ROW($C$2)+1)))),"")</f>
        <v/>
      </c>
      <c r="J82" s="38" t="str">
        <f>IFERROR(IF(SUMPRODUCT(($C$2:$C$266=$H$66)*($F$2:$F$266=13))=0,"",INDEX($E$2:$E$266,SUMPRODUCT(($C$2:$C$266=$H$66)*($F$2:$F$266=13)*(ROW($C$2:$C$266)-ROW($C$2)+1)))),"")</f>
        <v/>
      </c>
      <c r="K82" s="33"/>
    </row>
    <row r="83" spans="1:11" ht="14.25" customHeight="1" x14ac:dyDescent="0.3">
      <c r="C83" s="10" t="s">
        <v>3</v>
      </c>
      <c r="D83" s="10">
        <f>SUM(D87:D93)</f>
        <v>0</v>
      </c>
      <c r="E83" s="12"/>
      <c r="H83" s="37" t="e">
        <f>IF(SUMPRODUCT(($C$2:$C$266=$H$66)*($F$2:$F$266=14))=0,"",INDEX($A$2:$A$266,SUMPRODUCT(($C$2:$C$266=$H$66)*($F$2:$F$266=14)*(ROW($C$2:$C$266)-ROW($C$2)+1))))</f>
        <v>#DIV/0!</v>
      </c>
      <c r="I83" s="38" t="str">
        <f>IFERROR(IF(SUMPRODUCT(($C$2:$C$266=$H$66)*($F$2:$F$266=14))=0,"",INDEX($D$2:$D$266,SUMPRODUCT(($C$2:$C$266=$H$66)*($F$2:$F$266=14)*(ROW($C$2:$C$266)-ROW($C$2)+1)))),"")</f>
        <v/>
      </c>
      <c r="J83" s="38" t="str">
        <f>IFERROR(IF(SUMPRODUCT(($C$2:$C$266=$H$66)*($F$2:$F$266=14))=0,"",INDEX($E$2:$E$266,SUMPRODUCT(($C$2:$C$266=$H$66)*($F$2:$F$266=14)*(ROW($C$2:$C$266)-ROW($C$2)+1)))),"")</f>
        <v/>
      </c>
      <c r="K83" s="33"/>
    </row>
    <row r="84" spans="1:11" ht="14.25" customHeight="1" x14ac:dyDescent="0.3">
      <c r="C84" s="10" t="s">
        <v>13</v>
      </c>
      <c r="D84" s="17" t="e">
        <f>D82/D83</f>
        <v>#DIV/0!</v>
      </c>
      <c r="E84" s="12"/>
      <c r="H84" s="37" t="e">
        <f>IF(SUMPRODUCT(($C$2:$C$266=$H$66)*($F$2:$F$266=15))=0,"",INDEX($A$2:$A$266,SUMPRODUCT(($C$2:$C$266=$H$66)*($F$2:$F$266=15)*(ROW($C$2:$C$266)-ROW($C$2)+1))))</f>
        <v>#DIV/0!</v>
      </c>
      <c r="I84" s="38" t="str">
        <f>IFERROR(IF(SUMPRODUCT(($C$2:$C$266=$H$66)*($F$2:$F$266=15))=0,"",INDEX($D$2:$D$266,SUMPRODUCT(($C$2:$C$266=$H$66)*($F$2:$F$266=15)*(ROW($C$2:$C$266)-ROW($C$2)+1)))),"")</f>
        <v/>
      </c>
      <c r="J84" s="38" t="str">
        <f>IFERROR(IF(SUMPRODUCT(($C$2:$C$266=$H$66)*($F$2:$F$266=15))=0,"",INDEX($E$2:$E$266,SUMPRODUCT(($C$2:$C$266=$H$66)*($F$2:$F$266=15)*(ROW($C$2:$C$266)-ROW($C$2)+1)))),"")</f>
        <v/>
      </c>
      <c r="K84" s="33"/>
    </row>
    <row r="85" spans="1:11" ht="14.25" customHeight="1" x14ac:dyDescent="0.3">
      <c r="C85" s="12"/>
      <c r="D85" s="36"/>
      <c r="E85" s="12"/>
      <c r="H85" s="37" t="e">
        <f>IF(SUMPRODUCT(($C$2:$C$266=$H$66)*($F$2:$F$266=16))=0,"",INDEX($A$2:$A$266,SUMPRODUCT(($C$2:$C$266=$H$66)*($F$2:$F$266=16)*(ROW($C$2:$C$266)-ROW($C$2)+1))))</f>
        <v>#DIV/0!</v>
      </c>
      <c r="I85" s="38" t="str">
        <f>IFERROR(IF(SUMPRODUCT(($C$2:$C$266=$H$66)*($F$2:$F$266=16))=0,"",INDEX($D$2:$D$266,SUMPRODUCT(($C$2:$C$266=$H$66)*($F$2:$F$266=16)*(ROW($C$2:$C$266)-ROW($C$2)+1)))),"")</f>
        <v/>
      </c>
      <c r="J85" s="38" t="str">
        <f>IFERROR(IF(SUMPRODUCT(($C$2:$C$266=$H$66)*($F$2:$F$266=16))=0,"",INDEX($E$2:$E$266,SUMPRODUCT(($C$2:$C$266=$H$66)*($F$2:$F$266=16)*(ROW($C$2:$C$266)-ROW($C$2)+1)))),"")</f>
        <v/>
      </c>
      <c r="K85" s="33"/>
    </row>
    <row r="86" spans="1:11" ht="15" customHeight="1" x14ac:dyDescent="0.3">
      <c r="C86" s="18" t="s">
        <v>1</v>
      </c>
      <c r="D86" s="20" t="s">
        <v>15</v>
      </c>
      <c r="E86" s="20" t="s">
        <v>16</v>
      </c>
      <c r="H86" s="34" t="str">
        <f>H7</f>
        <v>Maya Snyder</v>
      </c>
      <c r="I86" s="32"/>
      <c r="J86" s="32"/>
      <c r="K86" s="33"/>
    </row>
    <row r="87" spans="1:11" ht="14.25" customHeight="1" x14ac:dyDescent="0.3">
      <c r="A87" s="21">
        <f t="shared" ref="A87:A93" si="11">$C$77</f>
        <v>0</v>
      </c>
      <c r="B87" s="21"/>
      <c r="C87" s="22"/>
      <c r="D87" s="23"/>
      <c r="E87" s="24" t="e">
        <f t="shared" ref="E87:E93" si="12">D87*$D$84</f>
        <v>#DIV/0!</v>
      </c>
      <c r="F87" t="str">
        <f>IF($C87="","",COUNTIF($C$2:$C87,$C87))</f>
        <v/>
      </c>
      <c r="H87" s="35" t="s">
        <v>26</v>
      </c>
      <c r="I87" s="32">
        <f>IFERROR(SUMIF($C$2:$C$266,H86,$D$2:$D$266),0)</f>
        <v>0</v>
      </c>
      <c r="J87" s="32"/>
      <c r="K87" s="33"/>
    </row>
    <row r="88" spans="1:11" ht="14.25" customHeight="1" x14ac:dyDescent="0.3">
      <c r="A88" s="21">
        <f t="shared" si="11"/>
        <v>0</v>
      </c>
      <c r="B88" s="21"/>
      <c r="C88" s="22"/>
      <c r="D88" s="23"/>
      <c r="E88" s="24" t="e">
        <f t="shared" si="12"/>
        <v>#DIV/0!</v>
      </c>
      <c r="F88" t="str">
        <f>IF($C88="","",COUNTIF($C$2:$C88,$C88))</f>
        <v/>
      </c>
      <c r="H88" s="35" t="s">
        <v>27</v>
      </c>
      <c r="I88" s="32">
        <f>IFERROR(SUMIF($C$2:$C$266,H86,$E$2:$E$266),0)</f>
        <v>0</v>
      </c>
      <c r="J88" s="32"/>
      <c r="K88" s="33"/>
    </row>
    <row r="89" spans="1:11" ht="14.25" customHeight="1" x14ac:dyDescent="0.3">
      <c r="A89" s="21">
        <f t="shared" si="11"/>
        <v>0</v>
      </c>
      <c r="B89" s="21"/>
      <c r="C89" s="22"/>
      <c r="D89" s="23"/>
      <c r="E89" s="24" t="e">
        <f t="shared" si="12"/>
        <v>#DIV/0!</v>
      </c>
      <c r="F89" t="str">
        <f>IF($C89="","",COUNTIF($C$2:$C89,$C89))</f>
        <v/>
      </c>
      <c r="H89" s="18" t="s">
        <v>28</v>
      </c>
      <c r="I89" s="20" t="s">
        <v>15</v>
      </c>
      <c r="J89" s="20" t="s">
        <v>16</v>
      </c>
      <c r="K89" s="33"/>
    </row>
    <row r="90" spans="1:11" ht="14.25" customHeight="1" x14ac:dyDescent="0.3">
      <c r="A90" s="21">
        <f t="shared" si="11"/>
        <v>0</v>
      </c>
      <c r="B90" s="21"/>
      <c r="C90" s="22"/>
      <c r="D90" s="23"/>
      <c r="E90" s="24" t="e">
        <f t="shared" si="12"/>
        <v>#DIV/0!</v>
      </c>
      <c r="F90" t="str">
        <f>IF($C90="","",COUNTIF($C$2:$C90,$C90))</f>
        <v/>
      </c>
      <c r="H90" s="37" t="e">
        <f>IF(SUMPRODUCT(($C$2:$C$266=$H$86)*($F$2:$F$266=1))=0,"No entries yet",INDEX($A$2:$A$266,SUMPRODUCT(($C$2:$C$266=$H$86)*($F$2:$F$266=1)*(ROW($C$2:$C$266)-ROW($C$2)+1))))</f>
        <v>#DIV/0!</v>
      </c>
      <c r="I90" s="38" t="str">
        <f>IFERROR(IF(SUMPRODUCT(($C$2:$C$266=$H$86)*($F$2:$F$266=1))=0,"",INDEX($D$2:$D$266,SUMPRODUCT(($C$2:$C$266=$H$86)*($F$2:$F$266=1)*(ROW($C$2:$C$266)-ROW($C$2)+1)))),"")</f>
        <v/>
      </c>
      <c r="J90" s="38" t="str">
        <f>IFERROR(IF(SUMPRODUCT(($C$2:$C$266=$H$86)*($F$2:$F$266=1))=0,"",INDEX($E$2:$E$266,SUMPRODUCT(($C$2:$C$266=$H$86)*($F$2:$F$266=1)*(ROW($C$2:$C$266)-ROW($C$2)+1)))),"")</f>
        <v/>
      </c>
      <c r="K90" s="33"/>
    </row>
    <row r="91" spans="1:11" ht="14.25" customHeight="1" x14ac:dyDescent="0.3">
      <c r="A91" s="21">
        <f t="shared" si="11"/>
        <v>0</v>
      </c>
      <c r="B91" s="21"/>
      <c r="C91" s="22"/>
      <c r="D91" s="23"/>
      <c r="E91" s="24" t="e">
        <f t="shared" si="12"/>
        <v>#DIV/0!</v>
      </c>
      <c r="F91" t="str">
        <f>IF($C91="","",COUNTIF($C$2:$C91,$C91))</f>
        <v/>
      </c>
      <c r="H91" s="37" t="e">
        <f>IF(SUMPRODUCT(($C$2:$C$266=$H$86)*($F$2:$F$266=2))=0,"",INDEX($A$2:$A$266,SUMPRODUCT(($C$2:$C$266=$H$86)*($F$2:$F$266=2)*(ROW($C$2:$C$266)-ROW($C$2)+1))))</f>
        <v>#DIV/0!</v>
      </c>
      <c r="I91" s="38" t="str">
        <f>IFERROR(IF(SUMPRODUCT(($C$2:$C$266=$H$86)*($F$2:$F$266=2))=0,"",INDEX($D$2:$D$266,SUMPRODUCT(($C$2:$C$266=$H$86)*($F$2:$F$266=2)*(ROW($C$2:$C$266)-ROW($C$2)+1)))),"")</f>
        <v/>
      </c>
      <c r="J91" s="38" t="str">
        <f>IFERROR(IF(SUMPRODUCT(($C$2:$C$266=$H$86)*($F$2:$F$266=2))=0,"",INDEX($E$2:$E$266,SUMPRODUCT(($C$2:$C$266=$H$86)*($F$2:$F$266=2)*(ROW($C$2:$C$266)-ROW($C$2)+1)))),"")</f>
        <v/>
      </c>
      <c r="K91" s="33"/>
    </row>
    <row r="92" spans="1:11" ht="14.25" customHeight="1" x14ac:dyDescent="0.3">
      <c r="A92" s="21">
        <f t="shared" si="11"/>
        <v>0</v>
      </c>
      <c r="B92" s="21"/>
      <c r="C92" s="22"/>
      <c r="D92" s="23"/>
      <c r="E92" s="24" t="e">
        <f t="shared" si="12"/>
        <v>#DIV/0!</v>
      </c>
      <c r="F92" t="str">
        <f>IF($C92="","",COUNTIF($C$2:$C92,$C92))</f>
        <v/>
      </c>
      <c r="H92" s="37" t="e">
        <f>IF(SUMPRODUCT(($C$2:$C$266=$H$86)*($F$2:$F$266=3))=0,"",INDEX($A$2:$A$266,SUMPRODUCT(($C$2:$C$266=$H$86)*($F$2:$F$266=3)*(ROW($C$2:$C$266)-ROW($C$2)+1))))</f>
        <v>#DIV/0!</v>
      </c>
      <c r="I92" s="38" t="str">
        <f>IFERROR(IF(SUMPRODUCT(($C$2:$C$266=$H$86)*($F$2:$F$266=3))=0,"",INDEX($D$2:$D$266,SUMPRODUCT(($C$2:$C$266=$H$86)*($F$2:$F$266=3)*(ROW($C$2:$C$266)-ROW($C$2)+1)))),"")</f>
        <v/>
      </c>
      <c r="J92" s="38" t="str">
        <f>IFERROR(IF(SUMPRODUCT(($C$2:$C$266=$H$86)*($F$2:$F$266=3))=0,"",INDEX($E$2:$E$266,SUMPRODUCT(($C$2:$C$266=$H$86)*($F$2:$F$266=3)*(ROW($C$2:$C$266)-ROW($C$2)+1)))),"")</f>
        <v/>
      </c>
      <c r="K92" s="33"/>
    </row>
    <row r="93" spans="1:11" ht="14.25" customHeight="1" x14ac:dyDescent="0.3">
      <c r="A93" s="21">
        <f t="shared" si="11"/>
        <v>0</v>
      </c>
      <c r="B93" s="21"/>
      <c r="C93" s="22"/>
      <c r="D93" s="23"/>
      <c r="E93" s="24" t="e">
        <f t="shared" si="12"/>
        <v>#DIV/0!</v>
      </c>
      <c r="F93" t="str">
        <f>IF($C93="","",COUNTIF($C$2:$C93,$C93))</f>
        <v/>
      </c>
      <c r="H93" s="37" t="e">
        <f>IF(SUMPRODUCT(($C$2:$C$266=$H$86)*($F$2:$F$266=4))=0,"",INDEX($A$2:$A$266,SUMPRODUCT(($C$2:$C$266=$H$86)*($F$2:$F$266=4)*(ROW($C$2:$C$266)-ROW($C$2)+1))))</f>
        <v>#DIV/0!</v>
      </c>
      <c r="I93" s="38" t="str">
        <f>IFERROR(IF(SUMPRODUCT(($C$2:$C$266=$H$86)*($F$2:$F$266=4))=0,"",INDEX($D$2:$D$266,SUMPRODUCT(($C$2:$C$266=$H$86)*($F$2:$F$266=4)*(ROW($C$2:$C$266)-ROW($C$2)+1)))),"")</f>
        <v/>
      </c>
      <c r="J93" s="38" t="str">
        <f>IFERROR(IF(SUMPRODUCT(($C$2:$C$266=$H$86)*($F$2:$F$266=4))=0,"",INDEX($E$2:$E$266,SUMPRODUCT(($C$2:$C$266=$H$86)*($F$2:$F$266=4)*(ROW($C$2:$C$266)-ROW($C$2)+1)))),"")</f>
        <v/>
      </c>
      <c r="K93" s="33"/>
    </row>
    <row r="94" spans="1:11" ht="15" customHeight="1" x14ac:dyDescent="0.3">
      <c r="C94" s="25" t="s">
        <v>24</v>
      </c>
      <c r="D94" s="26"/>
      <c r="E94" s="27" t="e">
        <f>SUM(E87:E93)</f>
        <v>#DIV/0!</v>
      </c>
      <c r="H94" s="37" t="e">
        <f>IF(SUMPRODUCT(($C$2:$C$266=$H$86)*($F$2:$F$266=5))=0,"",INDEX($A$2:$A$266,SUMPRODUCT(($C$2:$C$266=$H$86)*($F$2:$F$266=5)*(ROW($C$2:$C$266)-ROW($C$2)+1))))</f>
        <v>#DIV/0!</v>
      </c>
      <c r="I94" s="38" t="str">
        <f>IFERROR(IF(SUMPRODUCT(($C$2:$C$266=$H$86)*($F$2:$F$266=5))=0,"",INDEX($D$2:$D$266,SUMPRODUCT(($C$2:$C$266=$H$86)*($F$2:$F$266=5)*(ROW($C$2:$C$266)-ROW($C$2)+1)))),"")</f>
        <v/>
      </c>
      <c r="J94" s="38" t="str">
        <f>IFERROR(IF(SUMPRODUCT(($C$2:$C$266=$H$86)*($F$2:$F$266=5))=0,"",INDEX($E$2:$E$266,SUMPRODUCT(($C$2:$C$266=$H$86)*($F$2:$F$266=5)*(ROW($C$2:$C$266)-ROW($C$2)+1)))),"")</f>
        <v/>
      </c>
      <c r="K94" s="33"/>
    </row>
    <row r="95" spans="1:11" ht="15" customHeight="1" x14ac:dyDescent="0.3">
      <c r="H95" s="37" t="e">
        <f>IF(SUMPRODUCT(($C$2:$C$266=$H$86)*($F$2:$F$266=6))=0,"",INDEX($A$2:$A$266,SUMPRODUCT(($C$2:$C$266=$H$86)*($F$2:$F$266=6)*(ROW($C$2:$C$266)-ROW($C$2)+1))))</f>
        <v>#DIV/0!</v>
      </c>
      <c r="I95" s="38" t="str">
        <f>IFERROR(IF(SUMPRODUCT(($C$2:$C$266=$H$86)*($F$2:$F$266=6))=0,"",INDEX($D$2:$D$266,SUMPRODUCT(($C$2:$C$266=$H$86)*($F$2:$F$266=6)*(ROW($C$2:$C$266)-ROW($C$2)+1)))),"")</f>
        <v/>
      </c>
      <c r="J95" s="38" t="str">
        <f>IFERROR(IF(SUMPRODUCT(($C$2:$C$266=$H$86)*($F$2:$F$266=6))=0,"",INDEX($E$2:$E$266,SUMPRODUCT(($C$2:$C$266=$H$86)*($F$2:$F$266=6)*(ROW($C$2:$C$266)-ROW($C$2)+1)))),"")</f>
        <v/>
      </c>
      <c r="K95" s="33"/>
    </row>
    <row r="96" spans="1:11" ht="15" customHeight="1" x14ac:dyDescent="0.3">
      <c r="C96" s="4"/>
      <c r="D96" s="4"/>
      <c r="E96" s="4"/>
      <c r="H96" s="37" t="e">
        <f>IF(SUMPRODUCT(($C$2:$C$266=$H$86)*($F$2:$F$266=7))=0,"",INDEX($A$2:$A$266,SUMPRODUCT(($C$2:$C$266=$H$86)*($F$2:$F$266=7)*(ROW($C$2:$C$266)-ROW($C$2)+1))))</f>
        <v>#DIV/0!</v>
      </c>
      <c r="I96" s="38" t="str">
        <f>IFERROR(IF(SUMPRODUCT(($C$2:$C$266=$H$86)*($F$2:$F$266=7))=0,"",INDEX($D$2:$D$266,SUMPRODUCT(($C$2:$C$266=$H$86)*($F$2:$F$266=7)*(ROW($C$2:$C$266)-ROW($C$2)+1)))),"")</f>
        <v/>
      </c>
      <c r="J96" s="38" t="str">
        <f>IFERROR(IF(SUMPRODUCT(($C$2:$C$266=$H$86)*($F$2:$F$266=7))=0,"",INDEX($E$2:$E$266,SUMPRODUCT(($C$2:$C$266=$H$86)*($F$2:$F$266=7)*(ROW($C$2:$C$266)-ROW($C$2)+1)))),"")</f>
        <v/>
      </c>
      <c r="K96" s="33"/>
    </row>
    <row r="97" spans="1:11" ht="15" customHeight="1" x14ac:dyDescent="0.3">
      <c r="C97" s="28"/>
      <c r="E97" s="29"/>
      <c r="H97" s="37" t="e">
        <f>IF(SUMPRODUCT(($C$2:$C$266=$H$86)*($F$2:$F$266=8))=0,"",INDEX($A$2:$A$266,SUMPRODUCT(($C$2:$C$266=$H$86)*($F$2:$F$266=8)*(ROW($C$2:$C$266)-ROW($C$2)+1))))</f>
        <v>#DIV/0!</v>
      </c>
      <c r="I97" s="38" t="str">
        <f>IFERROR(IF(SUMPRODUCT(($C$2:$C$266=$H$86)*($F$2:$F$266=8))=0,"",INDEX($D$2:$D$266,SUMPRODUCT(($C$2:$C$266=$H$86)*($F$2:$F$266=8)*(ROW($C$2:$C$266)-ROW($C$2)+1)))),"")</f>
        <v/>
      </c>
      <c r="J97" s="38" t="str">
        <f>IFERROR(IF(SUMPRODUCT(($C$2:$C$266=$H$86)*($F$2:$F$266=8))=0,"",INDEX($E$2:$E$266,SUMPRODUCT(($C$2:$C$266=$H$86)*($F$2:$F$266=8)*(ROW($C$2:$C$266)-ROW($C$2)+1)))),"")</f>
        <v/>
      </c>
      <c r="K97" s="33"/>
    </row>
    <row r="98" spans="1:11" ht="14.25" customHeight="1" x14ac:dyDescent="0.3">
      <c r="C98" s="10" t="s">
        <v>5</v>
      </c>
      <c r="D98" s="11"/>
      <c r="E98" s="12"/>
      <c r="H98" s="37" t="e">
        <f>IF(SUMPRODUCT(($C$2:$C$266=$H$86)*($F$2:$F$266=9))=0,"",INDEX($A$2:$A$266,SUMPRODUCT(($C$2:$C$266=$H$86)*($F$2:$F$266=9)*(ROW($C$2:$C$266)-ROW($C$2)+1))))</f>
        <v>#DIV/0!</v>
      </c>
      <c r="I98" s="38" t="str">
        <f>IFERROR(IF(SUMPRODUCT(($C$2:$C$266=$H$86)*($F$2:$F$266=9))=0,"",INDEX($D$2:$D$266,SUMPRODUCT(($C$2:$C$266=$H$86)*($F$2:$F$266=9)*(ROW($C$2:$C$266)-ROW($C$2)+1)))),"")</f>
        <v/>
      </c>
      <c r="J98" s="38" t="str">
        <f>IFERROR(IF(SUMPRODUCT(($C$2:$C$266=$H$86)*($F$2:$F$266=9))=0,"",INDEX($E$2:$E$266,SUMPRODUCT(($C$2:$C$266=$H$86)*($F$2:$F$266=9)*(ROW($C$2:$C$266)-ROW($C$2)+1)))),"")</f>
        <v/>
      </c>
      <c r="K98" s="33"/>
    </row>
    <row r="99" spans="1:11" ht="14.25" customHeight="1" x14ac:dyDescent="0.3">
      <c r="C99" s="10" t="s">
        <v>7</v>
      </c>
      <c r="D99" s="15"/>
      <c r="E99" s="16"/>
      <c r="H99" s="37" t="e">
        <f>IF(SUMPRODUCT(($C$2:$C$266=$H$86)*($F$2:$F$266=10))=0,"",INDEX($A$2:$A$266,SUMPRODUCT(($C$2:$C$266=$H$86)*($F$2:$F$266=10)*(ROW($C$2:$C$266)-ROW($C$2)+1))))</f>
        <v>#DIV/0!</v>
      </c>
      <c r="I99" s="38" t="str">
        <f>IFERROR(IF(SUMPRODUCT(($C$2:$C$266=$H$86)*($F$2:$F$266=10))=0,"",INDEX($D$2:$D$266,SUMPRODUCT(($C$2:$C$266=$H$86)*($F$2:$F$266=10)*(ROW($C$2:$C$266)-ROW($C$2)+1)))),"")</f>
        <v/>
      </c>
      <c r="J99" s="38" t="str">
        <f>IFERROR(IF(SUMPRODUCT(($C$2:$C$266=$H$86)*($F$2:$F$266=10))=0,"",INDEX($E$2:$E$266,SUMPRODUCT(($C$2:$C$266=$H$86)*($F$2:$F$266=10)*(ROW($C$2:$C$266)-ROW($C$2)+1)))),"")</f>
        <v/>
      </c>
      <c r="K99" s="33"/>
    </row>
    <row r="100" spans="1:11" ht="14.25" customHeight="1" x14ac:dyDescent="0.3">
      <c r="C100" s="10" t="s">
        <v>9</v>
      </c>
      <c r="D100" s="10"/>
      <c r="E100" s="12"/>
      <c r="H100" s="37" t="e">
        <f>IF(SUMPRODUCT(($C$2:$C$266=$H$86)*($F$2:$F$266=11))=0,"",INDEX($A$2:$A$266,SUMPRODUCT(($C$2:$C$266=$H$86)*($F$2:$F$266=11)*(ROW($C$2:$C$266)-ROW($C$2)+1))))</f>
        <v>#DIV/0!</v>
      </c>
      <c r="I100" s="38" t="str">
        <f>IFERROR(IF(SUMPRODUCT(($C$2:$C$266=$H$86)*($F$2:$F$266=11))=0,"",INDEX($D$2:$D$266,SUMPRODUCT(($C$2:$C$266=$H$86)*($F$2:$F$266=11)*(ROW($C$2:$C$266)-ROW($C$2)+1)))),"")</f>
        <v/>
      </c>
      <c r="J100" s="38" t="str">
        <f>IFERROR(IF(SUMPRODUCT(($C$2:$C$266=$H$86)*($F$2:$F$266=11))=0,"",INDEX($E$2:$E$266,SUMPRODUCT(($C$2:$C$266=$H$86)*($F$2:$F$266=11)*(ROW($C$2:$C$266)-ROW($C$2)+1)))),"")</f>
        <v/>
      </c>
      <c r="K100" s="33"/>
    </row>
    <row r="101" spans="1:11" ht="14.25" customHeight="1" x14ac:dyDescent="0.3">
      <c r="C101" s="10" t="s">
        <v>2</v>
      </c>
      <c r="D101" s="17">
        <f>SUM(D98:D100)</f>
        <v>0</v>
      </c>
      <c r="E101" s="12"/>
      <c r="H101" s="37" t="e">
        <f>IF(SUMPRODUCT(($C$2:$C$266=$H$86)*($F$2:$F$266=12))=0,"",INDEX($A$2:$A$266,SUMPRODUCT(($C$2:$C$266=$H$86)*($F$2:$F$266=12)*(ROW($C$2:$C$266)-ROW($C$2)+1))))</f>
        <v>#DIV/0!</v>
      </c>
      <c r="I101" s="38" t="str">
        <f>IFERROR(IF(SUMPRODUCT(($C$2:$C$266=$H$86)*($F$2:$F$266=12))=0,"",INDEX($D$2:$D$266,SUMPRODUCT(($C$2:$C$266=$H$86)*($F$2:$F$266=12)*(ROW($C$2:$C$266)-ROW($C$2)+1)))),"")</f>
        <v/>
      </c>
      <c r="J101" s="38" t="str">
        <f>IFERROR(IF(SUMPRODUCT(($C$2:$C$266=$H$86)*($F$2:$F$266=12))=0,"",INDEX($E$2:$E$266,SUMPRODUCT(($C$2:$C$266=$H$86)*($F$2:$F$266=12)*(ROW($C$2:$C$266)-ROW($C$2)+1)))),"")</f>
        <v/>
      </c>
      <c r="K101" s="33"/>
    </row>
    <row r="102" spans="1:11" ht="14.25" customHeight="1" x14ac:dyDescent="0.3">
      <c r="C102" s="10" t="s">
        <v>3</v>
      </c>
      <c r="D102" s="10">
        <f>SUM(D106:D112)</f>
        <v>0</v>
      </c>
      <c r="E102" s="12"/>
      <c r="H102" s="37" t="e">
        <f>IF(SUMPRODUCT(($C$2:$C$266=$H$86)*($F$2:$F$266=13))=0,"",INDEX($A$2:$A$266,SUMPRODUCT(($C$2:$C$266=$H$86)*($F$2:$F$266=13)*(ROW($C$2:$C$266)-ROW($C$2)+1))))</f>
        <v>#DIV/0!</v>
      </c>
      <c r="I102" s="38" t="str">
        <f>IFERROR(IF(SUMPRODUCT(($C$2:$C$266=$H$86)*($F$2:$F$266=13))=0,"",INDEX($D$2:$D$266,SUMPRODUCT(($C$2:$C$266=$H$86)*($F$2:$F$266=13)*(ROW($C$2:$C$266)-ROW($C$2)+1)))),"")</f>
        <v/>
      </c>
      <c r="J102" s="38" t="str">
        <f>IFERROR(IF(SUMPRODUCT(($C$2:$C$266=$H$86)*($F$2:$F$266=13))=0,"",INDEX($E$2:$E$266,SUMPRODUCT(($C$2:$C$266=$H$86)*($F$2:$F$266=13)*(ROW($C$2:$C$266)-ROW($C$2)+1)))),"")</f>
        <v/>
      </c>
      <c r="K102" s="33"/>
    </row>
    <row r="103" spans="1:11" ht="14.25" customHeight="1" x14ac:dyDescent="0.3">
      <c r="C103" s="10" t="s">
        <v>13</v>
      </c>
      <c r="D103" s="17" t="e">
        <f>D101/D102</f>
        <v>#DIV/0!</v>
      </c>
      <c r="E103" s="12"/>
      <c r="H103" s="37" t="e">
        <f>IF(SUMPRODUCT(($C$2:$C$266=$H$86)*($F$2:$F$266=14))=0,"",INDEX($A$2:$A$266,SUMPRODUCT(($C$2:$C$266=$H$86)*($F$2:$F$266=14)*(ROW($C$2:$C$266)-ROW($C$2)+1))))</f>
        <v>#DIV/0!</v>
      </c>
      <c r="I103" s="38" t="str">
        <f>IFERROR(IF(SUMPRODUCT(($C$2:$C$266=$H$86)*($F$2:$F$266=14))=0,"",INDEX($D$2:$D$266,SUMPRODUCT(($C$2:$C$266=$H$86)*($F$2:$F$266=14)*(ROW($C$2:$C$266)-ROW($C$2)+1)))),"")</f>
        <v/>
      </c>
      <c r="J103" s="38" t="str">
        <f>IFERROR(IF(SUMPRODUCT(($C$2:$C$266=$H$86)*($F$2:$F$266=14))=0,"",INDEX($E$2:$E$266,SUMPRODUCT(($C$2:$C$266=$H$86)*($F$2:$F$266=14)*(ROW($C$2:$C$266)-ROW($C$2)+1)))),"")</f>
        <v/>
      </c>
      <c r="K103" s="33"/>
    </row>
    <row r="104" spans="1:11" ht="14.25" customHeight="1" x14ac:dyDescent="0.3">
      <c r="C104" s="12"/>
      <c r="D104" s="36"/>
      <c r="E104" s="12"/>
      <c r="H104" s="37" t="e">
        <f>IF(SUMPRODUCT(($C$2:$C$266=$H$86)*($F$2:$F$266=15))=0,"",INDEX($A$2:$A$266,SUMPRODUCT(($C$2:$C$266=$H$86)*($F$2:$F$266=15)*(ROW($C$2:$C$266)-ROW($C$2)+1))))</f>
        <v>#DIV/0!</v>
      </c>
      <c r="I104" s="38" t="str">
        <f>IFERROR(IF(SUMPRODUCT(($C$2:$C$266=$H$86)*($F$2:$F$266=15))=0,"",INDEX($D$2:$D$266,SUMPRODUCT(($C$2:$C$266=$H$86)*($F$2:$F$266=15)*(ROW($C$2:$C$266)-ROW($C$2)+1)))),"")</f>
        <v/>
      </c>
      <c r="J104" s="38" t="str">
        <f>IFERROR(IF(SUMPRODUCT(($C$2:$C$266=$H$86)*($F$2:$F$266=15))=0,"",INDEX($E$2:$E$266,SUMPRODUCT(($C$2:$C$266=$H$86)*($F$2:$F$266=15)*(ROW($C$2:$C$266)-ROW($C$2)+1)))),"")</f>
        <v/>
      </c>
      <c r="K104" s="33"/>
    </row>
    <row r="105" spans="1:11" ht="15" customHeight="1" x14ac:dyDescent="0.3">
      <c r="C105" s="18" t="s">
        <v>1</v>
      </c>
      <c r="D105" s="20" t="s">
        <v>15</v>
      </c>
      <c r="E105" s="20" t="s">
        <v>16</v>
      </c>
      <c r="H105" s="37" t="e">
        <f>IF(SUMPRODUCT(($C$2:$C$266=$H$86)*($F$2:$F$266=16))=0,"",INDEX($A$2:$A$266,SUMPRODUCT(($C$2:$C$266=$H$86)*($F$2:$F$266=16)*(ROW($C$2:$C$266)-ROW($C$2)+1))))</f>
        <v>#DIV/0!</v>
      </c>
      <c r="I105" s="38" t="str">
        <f>IFERROR(IF(SUMPRODUCT(($C$2:$C$266=$H$86)*($F$2:$F$266=16))=0,"",INDEX($D$2:$D$266,SUMPRODUCT(($C$2:$C$266=$H$86)*($F$2:$F$266=16)*(ROW($C$2:$C$266)-ROW($C$2)+1)))),"")</f>
        <v/>
      </c>
      <c r="J105" s="38" t="str">
        <f>IFERROR(IF(SUMPRODUCT(($C$2:$C$266=$H$86)*($F$2:$F$266=16))=0,"",INDEX($E$2:$E$266,SUMPRODUCT(($C$2:$C$266=$H$86)*($F$2:$F$266=16)*(ROW($C$2:$C$266)-ROW($C$2)+1)))),"")</f>
        <v/>
      </c>
      <c r="K105" s="33"/>
    </row>
    <row r="106" spans="1:11" ht="14.25" customHeight="1" x14ac:dyDescent="0.3">
      <c r="A106" s="21">
        <f t="shared" ref="A106:A112" si="13">$C$96</f>
        <v>0</v>
      </c>
      <c r="B106" s="21"/>
      <c r="C106" s="22"/>
      <c r="D106" s="23"/>
      <c r="E106" s="24" t="e">
        <f t="shared" ref="E106:E112" si="14">D106*$D$103</f>
        <v>#DIV/0!</v>
      </c>
      <c r="F106" t="str">
        <f>IF($C106="","",COUNTIF($C$2:$C106,$C106))</f>
        <v/>
      </c>
      <c r="H106" s="34" t="str">
        <f>H8</f>
        <v>Meckenzie Anderson</v>
      </c>
      <c r="I106" s="32"/>
      <c r="J106" s="32"/>
      <c r="K106" s="33"/>
    </row>
    <row r="107" spans="1:11" ht="14.25" customHeight="1" x14ac:dyDescent="0.3">
      <c r="A107" s="21">
        <f t="shared" si="13"/>
        <v>0</v>
      </c>
      <c r="B107" s="21"/>
      <c r="C107" s="22"/>
      <c r="D107" s="23"/>
      <c r="E107" s="24" t="e">
        <f t="shared" si="14"/>
        <v>#DIV/0!</v>
      </c>
      <c r="F107" t="str">
        <f>IF($C107="","",COUNTIF($C$2:$C107,$C107))</f>
        <v/>
      </c>
      <c r="H107" s="35" t="s">
        <v>26</v>
      </c>
      <c r="I107" s="32">
        <f>IFERROR(SUMIF($C$2:$C$266,H106,$D$2:$D$266),0)</f>
        <v>0</v>
      </c>
      <c r="J107" s="32"/>
      <c r="K107" s="33"/>
    </row>
    <row r="108" spans="1:11" ht="14.25" customHeight="1" x14ac:dyDescent="0.3">
      <c r="A108" s="21">
        <f t="shared" si="13"/>
        <v>0</v>
      </c>
      <c r="B108" s="21"/>
      <c r="C108" s="22"/>
      <c r="D108" s="23"/>
      <c r="E108" s="24" t="e">
        <f t="shared" si="14"/>
        <v>#DIV/0!</v>
      </c>
      <c r="F108" t="str">
        <f>IF($C108="","",COUNTIF($C$2:$C108,$C108))</f>
        <v/>
      </c>
      <c r="H108" s="35" t="s">
        <v>27</v>
      </c>
      <c r="I108" s="32">
        <f>IFERROR(SUMIF($C$2:$C$266,H106,$E$2:$E$266),0)</f>
        <v>0</v>
      </c>
      <c r="J108" s="32"/>
      <c r="K108" s="33"/>
    </row>
    <row r="109" spans="1:11" ht="14.25" customHeight="1" x14ac:dyDescent="0.3">
      <c r="A109" s="21">
        <f t="shared" si="13"/>
        <v>0</v>
      </c>
      <c r="B109" s="21"/>
      <c r="C109" s="22"/>
      <c r="D109" s="23"/>
      <c r="E109" s="24" t="e">
        <f t="shared" si="14"/>
        <v>#DIV/0!</v>
      </c>
      <c r="F109" t="str">
        <f>IF($C109="","",COUNTIF($C$2:$C109,$C109))</f>
        <v/>
      </c>
      <c r="H109" s="18" t="s">
        <v>28</v>
      </c>
      <c r="I109" s="20" t="s">
        <v>15</v>
      </c>
      <c r="J109" s="20" t="s">
        <v>16</v>
      </c>
      <c r="K109" s="33"/>
    </row>
    <row r="110" spans="1:11" ht="14.25" customHeight="1" x14ac:dyDescent="0.3">
      <c r="A110" s="21">
        <f t="shared" si="13"/>
        <v>0</v>
      </c>
      <c r="B110" s="21"/>
      <c r="C110" s="22"/>
      <c r="D110" s="23"/>
      <c r="E110" s="24" t="e">
        <f t="shared" si="14"/>
        <v>#DIV/0!</v>
      </c>
      <c r="F110" t="str">
        <f>IF($C110="","",COUNTIF($C$2:$C110,$C110))</f>
        <v/>
      </c>
      <c r="H110" s="37" t="e">
        <f>IF(SUMPRODUCT(($C$2:$C$266=$H$106)*($F$2:$F$266=1))=0,"No entries yet",INDEX($A$2:$A$266,SUMPRODUCT(($C$2:$C$266=$H$106)*($F$2:$F$266=1)*(ROW($C$2:$C$266)-ROW($C$2)+1))))</f>
        <v>#DIV/0!</v>
      </c>
      <c r="I110" s="38" t="str">
        <f>IFERROR(IF(SUMPRODUCT(($C$2:$C$266=$H$106)*($F$2:$F$266=1))=0,"",INDEX($D$2:$D$266,SUMPRODUCT(($C$2:$C$266=$H$106)*($F$2:$F$266=1)*(ROW($C$2:$C$266)-ROW($C$2)+1)))),"")</f>
        <v/>
      </c>
      <c r="J110" s="38" t="str">
        <f>IFERROR(IF(SUMPRODUCT(($C$2:$C$266=$H$106)*($F$2:$F$266=1))=0,"",INDEX($E$2:$E$266,SUMPRODUCT(($C$2:$C$266=$H$106)*($F$2:$F$266=1)*(ROW($C$2:$C$266)-ROW($C$2)+1)))),"")</f>
        <v/>
      </c>
      <c r="K110" s="33"/>
    </row>
    <row r="111" spans="1:11" ht="14.25" customHeight="1" x14ac:dyDescent="0.3">
      <c r="A111" s="21">
        <f t="shared" si="13"/>
        <v>0</v>
      </c>
      <c r="B111" s="21"/>
      <c r="C111" s="22"/>
      <c r="D111" s="23"/>
      <c r="E111" s="24" t="e">
        <f t="shared" si="14"/>
        <v>#DIV/0!</v>
      </c>
      <c r="F111" t="str">
        <f>IF($C111="","",COUNTIF($C$2:$C111,$C111))</f>
        <v/>
      </c>
      <c r="H111" s="37" t="e">
        <f>IF(SUMPRODUCT(($C$2:$C$266=$H$106)*($F$2:$F$266=2))=0,"",INDEX($A$2:$A$266,SUMPRODUCT(($C$2:$C$266=$H$106)*($F$2:$F$266=2)*(ROW($C$2:$C$266)-ROW($C$2)+1))))</f>
        <v>#DIV/0!</v>
      </c>
      <c r="I111" s="38" t="str">
        <f>IFERROR(IF(SUMPRODUCT(($C$2:$C$266=$H$106)*($F$2:$F$266=2))=0,"",INDEX($D$2:$D$266,SUMPRODUCT(($C$2:$C$266=$H$106)*($F$2:$F$266=2)*(ROW($C$2:$C$266)-ROW($C$2)+1)))),"")</f>
        <v/>
      </c>
      <c r="J111" s="38" t="str">
        <f>IFERROR(IF(SUMPRODUCT(($C$2:$C$266=$H$106)*($F$2:$F$266=2))=0,"",INDEX($E$2:$E$266,SUMPRODUCT(($C$2:$C$266=$H$106)*($F$2:$F$266=2)*(ROW($C$2:$C$266)-ROW($C$2)+1)))),"")</f>
        <v/>
      </c>
      <c r="K111" s="33"/>
    </row>
    <row r="112" spans="1:11" ht="14.25" customHeight="1" x14ac:dyDescent="0.3">
      <c r="A112" s="21">
        <f t="shared" si="13"/>
        <v>0</v>
      </c>
      <c r="B112" s="21"/>
      <c r="C112" s="22"/>
      <c r="D112" s="23"/>
      <c r="E112" s="24" t="e">
        <f t="shared" si="14"/>
        <v>#DIV/0!</v>
      </c>
      <c r="F112" t="str">
        <f>IF($C112="","",COUNTIF($C$2:$C112,$C112))</f>
        <v/>
      </c>
      <c r="H112" s="37" t="e">
        <f>IF(SUMPRODUCT(($C$2:$C$266=$H$106)*($F$2:$F$266=3))=0,"",INDEX($A$2:$A$266,SUMPRODUCT(($C$2:$C$266=$H$106)*($F$2:$F$266=3)*(ROW($C$2:$C$266)-ROW($C$2)+1))))</f>
        <v>#DIV/0!</v>
      </c>
      <c r="I112" s="38" t="str">
        <f>IFERROR(IF(SUMPRODUCT(($C$2:$C$266=$H$106)*($F$2:$F$266=3))=0,"",INDEX($D$2:$D$266,SUMPRODUCT(($C$2:$C$266=$H$106)*($F$2:$F$266=3)*(ROW($C$2:$C$266)-ROW($C$2)+1)))),"")</f>
        <v/>
      </c>
      <c r="J112" s="38" t="str">
        <f>IFERROR(IF(SUMPRODUCT(($C$2:$C$266=$H$106)*($F$2:$F$266=3))=0,"",INDEX($E$2:$E$266,SUMPRODUCT(($C$2:$C$266=$H$106)*($F$2:$F$266=3)*(ROW($C$2:$C$266)-ROW($C$2)+1)))),"")</f>
        <v/>
      </c>
      <c r="K112" s="33"/>
    </row>
    <row r="113" spans="1:11" ht="15" customHeight="1" x14ac:dyDescent="0.3">
      <c r="C113" s="25" t="s">
        <v>24</v>
      </c>
      <c r="D113" s="26"/>
      <c r="E113" s="27" t="e">
        <f>SUM(E106:E112)</f>
        <v>#DIV/0!</v>
      </c>
      <c r="H113" s="37" t="e">
        <f>IF(SUMPRODUCT(($C$2:$C$266=$H$106)*($F$2:$F$266=4))=0,"",INDEX($A$2:$A$266,SUMPRODUCT(($C$2:$C$266=$H$106)*($F$2:$F$266=4)*(ROW($C$2:$C$266)-ROW($C$2)+1))))</f>
        <v>#DIV/0!</v>
      </c>
      <c r="I113" s="38" t="str">
        <f>IFERROR(IF(SUMPRODUCT(($C$2:$C$266=$H$106)*($F$2:$F$266=4))=0,"",INDEX($D$2:$D$266,SUMPRODUCT(($C$2:$C$266=$H$106)*($F$2:$F$266=4)*(ROW($C$2:$C$266)-ROW($C$2)+1)))),"")</f>
        <v/>
      </c>
      <c r="J113" s="38" t="str">
        <f>IFERROR(IF(SUMPRODUCT(($C$2:$C$266=$H$106)*($F$2:$F$266=4))=0,"",INDEX($E$2:$E$266,SUMPRODUCT(($C$2:$C$266=$H$106)*($F$2:$F$266=4)*(ROW($C$2:$C$266)-ROW($C$2)+1)))),"")</f>
        <v/>
      </c>
      <c r="K113" s="33"/>
    </row>
    <row r="114" spans="1:11" ht="15" customHeight="1" x14ac:dyDescent="0.3">
      <c r="H114" s="37" t="e">
        <f>IF(SUMPRODUCT(($C$2:$C$266=$H$106)*($F$2:$F$266=5))=0,"",INDEX($A$2:$A$266,SUMPRODUCT(($C$2:$C$266=$H$106)*($F$2:$F$266=5)*(ROW($C$2:$C$266)-ROW($C$2)+1))))</f>
        <v>#DIV/0!</v>
      </c>
      <c r="I114" s="38" t="str">
        <f>IFERROR(IF(SUMPRODUCT(($C$2:$C$266=$H$106)*($F$2:$F$266=5))=0,"",INDEX($D$2:$D$266,SUMPRODUCT(($C$2:$C$266=$H$106)*($F$2:$F$266=5)*(ROW($C$2:$C$266)-ROW($C$2)+1)))),"")</f>
        <v/>
      </c>
      <c r="J114" s="38" t="str">
        <f>IFERROR(IF(SUMPRODUCT(($C$2:$C$266=$H$106)*($F$2:$F$266=5))=0,"",INDEX($E$2:$E$266,SUMPRODUCT(($C$2:$C$266=$H$106)*($F$2:$F$266=5)*(ROW($C$2:$C$266)-ROW($C$2)+1)))),"")</f>
        <v/>
      </c>
      <c r="K114" s="33"/>
    </row>
    <row r="115" spans="1:11" ht="15" customHeight="1" x14ac:dyDescent="0.3">
      <c r="C115" s="4"/>
      <c r="D115" s="4"/>
      <c r="E115" s="4"/>
      <c r="H115" s="37" t="e">
        <f>IF(SUMPRODUCT(($C$2:$C$266=$H$106)*($F$2:$F$266=6))=0,"",INDEX($A$2:$A$266,SUMPRODUCT(($C$2:$C$266=$H$106)*($F$2:$F$266=6)*(ROW($C$2:$C$266)-ROW($C$2)+1))))</f>
        <v>#DIV/0!</v>
      </c>
      <c r="I115" s="38" t="str">
        <f>IFERROR(IF(SUMPRODUCT(($C$2:$C$266=$H$106)*($F$2:$F$266=6))=0,"",INDEX($D$2:$D$266,SUMPRODUCT(($C$2:$C$266=$H$106)*($F$2:$F$266=6)*(ROW($C$2:$C$266)-ROW($C$2)+1)))),"")</f>
        <v/>
      </c>
      <c r="J115" s="38" t="str">
        <f>IFERROR(IF(SUMPRODUCT(($C$2:$C$266=$H$106)*($F$2:$F$266=6))=0,"",INDEX($E$2:$E$266,SUMPRODUCT(($C$2:$C$266=$H$106)*($F$2:$F$266=6)*(ROW($C$2:$C$266)-ROW($C$2)+1)))),"")</f>
        <v/>
      </c>
      <c r="K115" s="33"/>
    </row>
    <row r="116" spans="1:11" ht="15" customHeight="1" x14ac:dyDescent="0.3">
      <c r="C116" s="28"/>
      <c r="E116" s="29"/>
      <c r="H116" s="37" t="e">
        <f>IF(SUMPRODUCT(($C$2:$C$266=$H$106)*($F$2:$F$266=7))=0,"",INDEX($A$2:$A$266,SUMPRODUCT(($C$2:$C$266=$H$106)*($F$2:$F$266=7)*(ROW($C$2:$C$266)-ROW($C$2)+1))))</f>
        <v>#DIV/0!</v>
      </c>
      <c r="I116" s="38" t="str">
        <f>IFERROR(IF(SUMPRODUCT(($C$2:$C$266=$H$106)*($F$2:$F$266=7))=0,"",INDEX($D$2:$D$266,SUMPRODUCT(($C$2:$C$266=$H$106)*($F$2:$F$266=7)*(ROW($C$2:$C$266)-ROW($C$2)+1)))),"")</f>
        <v/>
      </c>
      <c r="J116" s="38" t="str">
        <f>IFERROR(IF(SUMPRODUCT(($C$2:$C$266=$H$106)*($F$2:$F$266=7))=0,"",INDEX($E$2:$E$266,SUMPRODUCT(($C$2:$C$266=$H$106)*($F$2:$F$266=7)*(ROW($C$2:$C$266)-ROW($C$2)+1)))),"")</f>
        <v/>
      </c>
      <c r="K116" s="33"/>
    </row>
    <row r="117" spans="1:11" ht="14.25" customHeight="1" x14ac:dyDescent="0.3">
      <c r="C117" s="10" t="s">
        <v>5</v>
      </c>
      <c r="D117" s="11"/>
      <c r="E117" s="12"/>
      <c r="H117" s="37" t="e">
        <f>IF(SUMPRODUCT(($C$2:$C$266=$H$106)*($F$2:$F$266=8))=0,"",INDEX($A$2:$A$266,SUMPRODUCT(($C$2:$C$266=$H$106)*($F$2:$F$266=8)*(ROW($C$2:$C$266)-ROW($C$2)+1))))</f>
        <v>#DIV/0!</v>
      </c>
      <c r="I117" s="38" t="str">
        <f>IFERROR(IF(SUMPRODUCT(($C$2:$C$266=$H$106)*($F$2:$F$266=8))=0,"",INDEX($D$2:$D$266,SUMPRODUCT(($C$2:$C$266=$H$106)*($F$2:$F$266=8)*(ROW($C$2:$C$266)-ROW($C$2)+1)))),"")</f>
        <v/>
      </c>
      <c r="J117" s="38" t="str">
        <f>IFERROR(IF(SUMPRODUCT(($C$2:$C$266=$H$106)*($F$2:$F$266=8))=0,"",INDEX($E$2:$E$266,SUMPRODUCT(($C$2:$C$266=$H$106)*($F$2:$F$266=8)*(ROW($C$2:$C$266)-ROW($C$2)+1)))),"")</f>
        <v/>
      </c>
      <c r="K117" s="33"/>
    </row>
    <row r="118" spans="1:11" ht="14.25" customHeight="1" x14ac:dyDescent="0.3">
      <c r="C118" s="10" t="s">
        <v>7</v>
      </c>
      <c r="D118" s="15"/>
      <c r="E118" s="16"/>
      <c r="H118" s="37" t="e">
        <f>IF(SUMPRODUCT(($C$2:$C$266=$H$106)*($F$2:$F$266=9))=0,"",INDEX($A$2:$A$266,SUMPRODUCT(($C$2:$C$266=$H$106)*($F$2:$F$266=9)*(ROW($C$2:$C$266)-ROW($C$2)+1))))</f>
        <v>#DIV/0!</v>
      </c>
      <c r="I118" s="38" t="str">
        <f>IFERROR(IF(SUMPRODUCT(($C$2:$C$266=$H$106)*($F$2:$F$266=9))=0,"",INDEX($D$2:$D$266,SUMPRODUCT(($C$2:$C$266=$H$106)*($F$2:$F$266=9)*(ROW($C$2:$C$266)-ROW($C$2)+1)))),"")</f>
        <v/>
      </c>
      <c r="J118" s="38" t="str">
        <f>IFERROR(IF(SUMPRODUCT(($C$2:$C$266=$H$106)*($F$2:$F$266=9))=0,"",INDEX($E$2:$E$266,SUMPRODUCT(($C$2:$C$266=$H$106)*($F$2:$F$266=9)*(ROW($C$2:$C$266)-ROW($C$2)+1)))),"")</f>
        <v/>
      </c>
      <c r="K118" s="33"/>
    </row>
    <row r="119" spans="1:11" ht="14.25" customHeight="1" x14ac:dyDescent="0.3">
      <c r="C119" s="10" t="s">
        <v>9</v>
      </c>
      <c r="D119" s="10"/>
      <c r="E119" s="12"/>
      <c r="H119" s="37" t="e">
        <f>IF(SUMPRODUCT(($C$2:$C$266=$H$106)*($F$2:$F$266=10))=0,"",INDEX($A$2:$A$266,SUMPRODUCT(($C$2:$C$266=$H$106)*($F$2:$F$266=10)*(ROW($C$2:$C$266)-ROW($C$2)+1))))</f>
        <v>#DIV/0!</v>
      </c>
      <c r="I119" s="38" t="str">
        <f>IFERROR(IF(SUMPRODUCT(($C$2:$C$266=$H$106)*($F$2:$F$266=10))=0,"",INDEX($D$2:$D$266,SUMPRODUCT(($C$2:$C$266=$H$106)*($F$2:$F$266=10)*(ROW($C$2:$C$266)-ROW($C$2)+1)))),"")</f>
        <v/>
      </c>
      <c r="J119" s="38" t="str">
        <f>IFERROR(IF(SUMPRODUCT(($C$2:$C$266=$H$106)*($F$2:$F$266=10))=0,"",INDEX($E$2:$E$266,SUMPRODUCT(($C$2:$C$266=$H$106)*($F$2:$F$266=10)*(ROW($C$2:$C$266)-ROW($C$2)+1)))),"")</f>
        <v/>
      </c>
      <c r="K119" s="33"/>
    </row>
    <row r="120" spans="1:11" ht="14.25" customHeight="1" x14ac:dyDescent="0.3">
      <c r="C120" s="10" t="s">
        <v>2</v>
      </c>
      <c r="D120" s="17">
        <f>SUM(D117:D119)</f>
        <v>0</v>
      </c>
      <c r="E120" s="12"/>
      <c r="H120" s="37" t="e">
        <f>IF(SUMPRODUCT(($C$2:$C$266=$H$106)*($F$2:$F$266=11))=0,"",INDEX($A$2:$A$266,SUMPRODUCT(($C$2:$C$266=$H$106)*($F$2:$F$266=11)*(ROW($C$2:$C$266)-ROW($C$2)+1))))</f>
        <v>#DIV/0!</v>
      </c>
      <c r="I120" s="38" t="str">
        <f>IFERROR(IF(SUMPRODUCT(($C$2:$C$266=$H$106)*($F$2:$F$266=11))=0,"",INDEX($D$2:$D$266,SUMPRODUCT(($C$2:$C$266=$H$106)*($F$2:$F$266=11)*(ROW($C$2:$C$266)-ROW($C$2)+1)))),"")</f>
        <v/>
      </c>
      <c r="J120" s="38" t="str">
        <f>IFERROR(IF(SUMPRODUCT(($C$2:$C$266=$H$106)*($F$2:$F$266=11))=0,"",INDEX($E$2:$E$266,SUMPRODUCT(($C$2:$C$266=$H$106)*($F$2:$F$266=11)*(ROW($C$2:$C$266)-ROW($C$2)+1)))),"")</f>
        <v/>
      </c>
      <c r="K120" s="33"/>
    </row>
    <row r="121" spans="1:11" ht="14.25" customHeight="1" x14ac:dyDescent="0.3">
      <c r="C121" s="10" t="s">
        <v>3</v>
      </c>
      <c r="D121" s="10">
        <f>SUM(D125:D131)</f>
        <v>0</v>
      </c>
      <c r="E121" s="12"/>
      <c r="H121" s="37" t="e">
        <f>IF(SUMPRODUCT(($C$2:$C$266=$H$106)*($F$2:$F$266=12))=0,"",INDEX($A$2:$A$266,SUMPRODUCT(($C$2:$C$266=$H$106)*($F$2:$F$266=12)*(ROW($C$2:$C$266)-ROW($C$2)+1))))</f>
        <v>#DIV/0!</v>
      </c>
      <c r="I121" s="38" t="str">
        <f>IFERROR(IF(SUMPRODUCT(($C$2:$C$266=$H$106)*($F$2:$F$266=12))=0,"",INDEX($D$2:$D$266,SUMPRODUCT(($C$2:$C$266=$H$106)*($F$2:$F$266=12)*(ROW($C$2:$C$266)-ROW($C$2)+1)))),"")</f>
        <v/>
      </c>
      <c r="J121" s="38" t="str">
        <f>IFERROR(IF(SUMPRODUCT(($C$2:$C$266=$H$106)*($F$2:$F$266=12))=0,"",INDEX($E$2:$E$266,SUMPRODUCT(($C$2:$C$266=$H$106)*($F$2:$F$266=12)*(ROW($C$2:$C$266)-ROW($C$2)+1)))),"")</f>
        <v/>
      </c>
      <c r="K121" s="33"/>
    </row>
    <row r="122" spans="1:11" ht="14.25" customHeight="1" x14ac:dyDescent="0.3">
      <c r="C122" s="10" t="s">
        <v>13</v>
      </c>
      <c r="D122" s="17" t="e">
        <f>D120/D121</f>
        <v>#DIV/0!</v>
      </c>
      <c r="E122" s="12"/>
      <c r="H122" s="37" t="e">
        <f>IF(SUMPRODUCT(($C$2:$C$266=$H$106)*($F$2:$F$266=13))=0,"",INDEX($A$2:$A$266,SUMPRODUCT(($C$2:$C$266=$H$106)*($F$2:$F$266=13)*(ROW($C$2:$C$266)-ROW($C$2)+1))))</f>
        <v>#DIV/0!</v>
      </c>
      <c r="I122" s="38" t="str">
        <f>IFERROR(IF(SUMPRODUCT(($C$2:$C$266=$H$106)*($F$2:$F$266=13))=0,"",INDEX($D$2:$D$266,SUMPRODUCT(($C$2:$C$266=$H$106)*($F$2:$F$266=13)*(ROW($C$2:$C$266)-ROW($C$2)+1)))),"")</f>
        <v/>
      </c>
      <c r="J122" s="38" t="str">
        <f>IFERROR(IF(SUMPRODUCT(($C$2:$C$266=$H$106)*($F$2:$F$266=13))=0,"",INDEX($E$2:$E$266,SUMPRODUCT(($C$2:$C$266=$H$106)*($F$2:$F$266=13)*(ROW($C$2:$C$266)-ROW($C$2)+1)))),"")</f>
        <v/>
      </c>
      <c r="K122" s="33"/>
    </row>
    <row r="123" spans="1:11" ht="14.25" customHeight="1" x14ac:dyDescent="0.3">
      <c r="C123" s="12"/>
      <c r="D123" s="36"/>
      <c r="E123" s="12"/>
      <c r="H123" s="37" t="e">
        <f>IF(SUMPRODUCT(($C$2:$C$266=$H$106)*($F$2:$F$266=14))=0,"",INDEX($A$2:$A$266,SUMPRODUCT(($C$2:$C$266=$H$106)*($F$2:$F$266=14)*(ROW($C$2:$C$266)-ROW($C$2)+1))))</f>
        <v>#DIV/0!</v>
      </c>
      <c r="I123" s="38" t="str">
        <f>IFERROR(IF(SUMPRODUCT(($C$2:$C$266=$H$106)*($F$2:$F$266=14))=0,"",INDEX($D$2:$D$266,SUMPRODUCT(($C$2:$C$266=$H$106)*($F$2:$F$266=14)*(ROW($C$2:$C$266)-ROW($C$2)+1)))),"")</f>
        <v/>
      </c>
      <c r="J123" s="38" t="str">
        <f>IFERROR(IF(SUMPRODUCT(($C$2:$C$266=$H$106)*($F$2:$F$266=14))=0,"",INDEX($E$2:$E$266,SUMPRODUCT(($C$2:$C$266=$H$106)*($F$2:$F$266=14)*(ROW($C$2:$C$266)-ROW($C$2)+1)))),"")</f>
        <v/>
      </c>
      <c r="K123" s="33"/>
    </row>
    <row r="124" spans="1:11" ht="15" customHeight="1" x14ac:dyDescent="0.3">
      <c r="C124" s="18" t="s">
        <v>1</v>
      </c>
      <c r="D124" s="20" t="s">
        <v>15</v>
      </c>
      <c r="E124" s="20" t="s">
        <v>16</v>
      </c>
      <c r="H124" s="37" t="e">
        <f>IF(SUMPRODUCT(($C$2:$C$266=$H$106)*($F$2:$F$266=15))=0,"",INDEX($A$2:$A$266,SUMPRODUCT(($C$2:$C$266=$H$106)*($F$2:$F$266=15)*(ROW($C$2:$C$266)-ROW($C$2)+1))))</f>
        <v>#DIV/0!</v>
      </c>
      <c r="I124" s="38" t="str">
        <f>IFERROR(IF(SUMPRODUCT(($C$2:$C$266=$H$106)*($F$2:$F$266=15))=0,"",INDEX($D$2:$D$266,SUMPRODUCT(($C$2:$C$266=$H$106)*($F$2:$F$266=15)*(ROW($C$2:$C$266)-ROW($C$2)+1)))),"")</f>
        <v/>
      </c>
      <c r="J124" s="38" t="str">
        <f>IFERROR(IF(SUMPRODUCT(($C$2:$C$266=$H$106)*($F$2:$F$266=15))=0,"",INDEX($E$2:$E$266,SUMPRODUCT(($C$2:$C$266=$H$106)*($F$2:$F$266=15)*(ROW($C$2:$C$266)-ROW($C$2)+1)))),"")</f>
        <v/>
      </c>
      <c r="K124" s="33"/>
    </row>
    <row r="125" spans="1:11" ht="14.25" customHeight="1" x14ac:dyDescent="0.3">
      <c r="A125" s="21">
        <f t="shared" ref="A125:A131" si="15">$C$115</f>
        <v>0</v>
      </c>
      <c r="B125" s="21"/>
      <c r="C125" s="22"/>
      <c r="D125" s="23"/>
      <c r="E125" s="24" t="e">
        <f t="shared" ref="E125:E131" si="16">D125*$D$122</f>
        <v>#DIV/0!</v>
      </c>
      <c r="F125" t="str">
        <f>IF($C125="","",COUNTIF($C$2:$C125,$C125))</f>
        <v/>
      </c>
      <c r="H125" s="37" t="e">
        <f>IF(SUMPRODUCT(($C$2:$C$266=$H$106)*($F$2:$F$266=16))=0,"",INDEX($A$2:$A$266,SUMPRODUCT(($C$2:$C$266=$H$106)*($F$2:$F$266=16)*(ROW($C$2:$C$266)-ROW($C$2)+1))))</f>
        <v>#DIV/0!</v>
      </c>
      <c r="I125" s="38" t="str">
        <f>IFERROR(IF(SUMPRODUCT(($C$2:$C$266=$H$106)*($F$2:$F$266=16))=0,"",INDEX($D$2:$D$266,SUMPRODUCT(($C$2:$C$266=$H$106)*($F$2:$F$266=16)*(ROW($C$2:$C$266)-ROW($C$2)+1)))),"")</f>
        <v/>
      </c>
      <c r="J125" s="38" t="str">
        <f>IFERROR(IF(SUMPRODUCT(($C$2:$C$266=$H$106)*($F$2:$F$266=16))=0,"",INDEX($E$2:$E$266,SUMPRODUCT(($C$2:$C$266=$H$106)*($F$2:$F$266=16)*(ROW($C$2:$C$266)-ROW($C$2)+1)))),"")</f>
        <v/>
      </c>
      <c r="K125" s="33"/>
    </row>
    <row r="126" spans="1:11" ht="14.25" customHeight="1" x14ac:dyDescent="0.3">
      <c r="A126" s="21">
        <f t="shared" si="15"/>
        <v>0</v>
      </c>
      <c r="B126" s="21"/>
      <c r="C126" s="22"/>
      <c r="D126" s="23"/>
      <c r="E126" s="24" t="e">
        <f t="shared" si="16"/>
        <v>#DIV/0!</v>
      </c>
      <c r="F126" t="str">
        <f>IF($C126="","",COUNTIF($C$2:$C126,$C126))</f>
        <v/>
      </c>
      <c r="H126" s="34" t="str">
        <f>H9</f>
        <v>Mia badillo</v>
      </c>
      <c r="I126" s="32"/>
      <c r="J126" s="32"/>
      <c r="K126" s="33"/>
    </row>
    <row r="127" spans="1:11" ht="14.25" customHeight="1" x14ac:dyDescent="0.3">
      <c r="A127" s="21">
        <f t="shared" si="15"/>
        <v>0</v>
      </c>
      <c r="B127" s="21"/>
      <c r="C127" s="22"/>
      <c r="D127" s="23"/>
      <c r="E127" s="24" t="e">
        <f t="shared" si="16"/>
        <v>#DIV/0!</v>
      </c>
      <c r="F127" t="str">
        <f>IF($C127="","",COUNTIF($C$2:$C127,$C127))</f>
        <v/>
      </c>
      <c r="H127" s="35" t="s">
        <v>26</v>
      </c>
      <c r="I127" s="32">
        <f>IFERROR(SUMIF($C$2:$C$266,H126,$D$2:$D$266),0)</f>
        <v>0</v>
      </c>
      <c r="J127" s="32"/>
      <c r="K127" s="33"/>
    </row>
    <row r="128" spans="1:11" ht="14.25" customHeight="1" x14ac:dyDescent="0.3">
      <c r="A128" s="21">
        <f t="shared" si="15"/>
        <v>0</v>
      </c>
      <c r="B128" s="21"/>
      <c r="C128" s="22"/>
      <c r="D128" s="23"/>
      <c r="E128" s="24" t="e">
        <f t="shared" si="16"/>
        <v>#DIV/0!</v>
      </c>
      <c r="F128" t="str">
        <f>IF($C128="","",COUNTIF($C$2:$C128,$C128))</f>
        <v/>
      </c>
      <c r="H128" s="35" t="s">
        <v>27</v>
      </c>
      <c r="I128" s="32">
        <f>IFERROR(SUMIF($C$2:$C$266,H126,$E$2:$E$266),0)</f>
        <v>0</v>
      </c>
      <c r="J128" s="32"/>
      <c r="K128" s="33"/>
    </row>
    <row r="129" spans="1:11" ht="14.25" customHeight="1" x14ac:dyDescent="0.3">
      <c r="A129" s="21">
        <f t="shared" si="15"/>
        <v>0</v>
      </c>
      <c r="B129" s="21"/>
      <c r="C129" s="22"/>
      <c r="D129" s="23"/>
      <c r="E129" s="24" t="e">
        <f t="shared" si="16"/>
        <v>#DIV/0!</v>
      </c>
      <c r="F129" t="str">
        <f>IF($C129="","",COUNTIF($C$2:$C129,$C129))</f>
        <v/>
      </c>
      <c r="H129" s="18" t="s">
        <v>28</v>
      </c>
      <c r="I129" s="20" t="s">
        <v>15</v>
      </c>
      <c r="J129" s="20" t="s">
        <v>16</v>
      </c>
      <c r="K129" s="33"/>
    </row>
    <row r="130" spans="1:11" ht="14.25" customHeight="1" x14ac:dyDescent="0.3">
      <c r="A130" s="21">
        <f t="shared" si="15"/>
        <v>0</v>
      </c>
      <c r="B130" s="21"/>
      <c r="C130" s="22"/>
      <c r="D130" s="23"/>
      <c r="E130" s="24" t="e">
        <f t="shared" si="16"/>
        <v>#DIV/0!</v>
      </c>
      <c r="F130" t="str">
        <f>IF($C130="","",COUNTIF($C$2:$C130,$C130))</f>
        <v/>
      </c>
      <c r="H130" s="37" t="e">
        <f>IF(SUMPRODUCT(($C$2:$C$266=$H$126)*($F$2:$F$266=1))=0,"No entries yet",INDEX($A$2:$A$266,SUMPRODUCT(($C$2:$C$266=$H$126)*($F$2:$F$266=1)*(ROW($C$2:$C$266)-ROW($C$2)+1))))</f>
        <v>#DIV/0!</v>
      </c>
      <c r="I130" s="38" t="str">
        <f>IFERROR(IF(SUMPRODUCT(($C$2:$C$266=$H$126)*($F$2:$F$266=1))=0,"",INDEX($D$2:$D$266,SUMPRODUCT(($C$2:$C$266=$H$126)*($F$2:$F$266=1)*(ROW($C$2:$C$266)-ROW($C$2)+1)))),"")</f>
        <v/>
      </c>
      <c r="J130" s="38" t="str">
        <f>IFERROR(IF(SUMPRODUCT(($C$2:$C$266=$H$126)*($F$2:$F$266=1))=0,"",INDEX($E$2:$E$266,SUMPRODUCT(($C$2:$C$266=$H$126)*($F$2:$F$266=1)*(ROW($C$2:$C$266)-ROW($C$2)+1)))),"")</f>
        <v/>
      </c>
      <c r="K130" s="33"/>
    </row>
    <row r="131" spans="1:11" ht="14.25" customHeight="1" x14ac:dyDescent="0.3">
      <c r="A131" s="21">
        <f t="shared" si="15"/>
        <v>0</v>
      </c>
      <c r="B131" s="21"/>
      <c r="C131" s="22"/>
      <c r="D131" s="23"/>
      <c r="E131" s="24" t="e">
        <f t="shared" si="16"/>
        <v>#DIV/0!</v>
      </c>
      <c r="F131" t="str">
        <f>IF($C131="","",COUNTIF($C$2:$C131,$C131))</f>
        <v/>
      </c>
      <c r="H131" s="37" t="e">
        <f>IF(SUMPRODUCT(($C$2:$C$266=$H$126)*($F$2:$F$266=2))=0,"",INDEX($A$2:$A$266,SUMPRODUCT(($C$2:$C$266=$H$126)*($F$2:$F$266=2)*(ROW($C$2:$C$266)-ROW($C$2)+1))))</f>
        <v>#DIV/0!</v>
      </c>
      <c r="I131" s="38" t="str">
        <f>IFERROR(IF(SUMPRODUCT(($C$2:$C$266=$H$126)*($F$2:$F$266=2))=0,"",INDEX($D$2:$D$266,SUMPRODUCT(($C$2:$C$266=$H$126)*($F$2:$F$266=2)*(ROW($C$2:$C$266)-ROW($C$2)+1)))),"")</f>
        <v/>
      </c>
      <c r="J131" s="38" t="str">
        <f>IFERROR(IF(SUMPRODUCT(($C$2:$C$266=$H$126)*($F$2:$F$266=2))=0,"",INDEX($E$2:$E$266,SUMPRODUCT(($C$2:$C$266=$H$126)*($F$2:$F$266=2)*(ROW($C$2:$C$266)-ROW($C$2)+1)))),"")</f>
        <v/>
      </c>
      <c r="K131" s="33"/>
    </row>
    <row r="132" spans="1:11" ht="15" customHeight="1" x14ac:dyDescent="0.3">
      <c r="C132" s="25" t="s">
        <v>24</v>
      </c>
      <c r="D132" s="26"/>
      <c r="E132" s="27" t="e">
        <f>SUM(E125:E131)</f>
        <v>#DIV/0!</v>
      </c>
      <c r="H132" s="37" t="e">
        <f>IF(SUMPRODUCT(($C$2:$C$266=$H$126)*($F$2:$F$266=3))=0,"",INDEX($A$2:$A$266,SUMPRODUCT(($C$2:$C$266=$H$126)*($F$2:$F$266=3)*(ROW($C$2:$C$266)-ROW($C$2)+1))))</f>
        <v>#DIV/0!</v>
      </c>
      <c r="I132" s="38" t="str">
        <f>IFERROR(IF(SUMPRODUCT(($C$2:$C$266=$H$126)*($F$2:$F$266=3))=0,"",INDEX($D$2:$D$266,SUMPRODUCT(($C$2:$C$266=$H$126)*($F$2:$F$266=3)*(ROW($C$2:$C$266)-ROW($C$2)+1)))),"")</f>
        <v/>
      </c>
      <c r="J132" s="38" t="str">
        <f>IFERROR(IF(SUMPRODUCT(($C$2:$C$266=$H$126)*($F$2:$F$266=3))=0,"",INDEX($E$2:$E$266,SUMPRODUCT(($C$2:$C$266=$H$126)*($F$2:$F$266=3)*(ROW($C$2:$C$266)-ROW($C$2)+1)))),"")</f>
        <v/>
      </c>
      <c r="K132" s="33"/>
    </row>
    <row r="133" spans="1:11" ht="15" customHeight="1" x14ac:dyDescent="0.3">
      <c r="H133" s="37" t="e">
        <f>IF(SUMPRODUCT(($C$2:$C$266=$H$126)*($F$2:$F$266=4))=0,"",INDEX($A$2:$A$266,SUMPRODUCT(($C$2:$C$266=$H$126)*($F$2:$F$266=4)*(ROW($C$2:$C$266)-ROW($C$2)+1))))</f>
        <v>#DIV/0!</v>
      </c>
      <c r="I133" s="38" t="str">
        <f>IFERROR(IF(SUMPRODUCT(($C$2:$C$266=$H$126)*($F$2:$F$266=4))=0,"",INDEX($D$2:$D$266,SUMPRODUCT(($C$2:$C$266=$H$126)*($F$2:$F$266=4)*(ROW($C$2:$C$266)-ROW($C$2)+1)))),"")</f>
        <v/>
      </c>
      <c r="J133" s="38" t="str">
        <f>IFERROR(IF(SUMPRODUCT(($C$2:$C$266=$H$126)*($F$2:$F$266=4))=0,"",INDEX($E$2:$E$266,SUMPRODUCT(($C$2:$C$266=$H$126)*($F$2:$F$266=4)*(ROW($C$2:$C$266)-ROW($C$2)+1)))),"")</f>
        <v/>
      </c>
      <c r="K133" s="33"/>
    </row>
    <row r="134" spans="1:11" ht="15" customHeight="1" x14ac:dyDescent="0.3">
      <c r="C134" s="4"/>
      <c r="D134" s="4"/>
      <c r="E134" s="4"/>
      <c r="H134" s="37" t="e">
        <f>IF(SUMPRODUCT(($C$2:$C$266=$H$126)*($F$2:$F$266=5))=0,"",INDEX($A$2:$A$266,SUMPRODUCT(($C$2:$C$266=$H$126)*($F$2:$F$266=5)*(ROW($C$2:$C$266)-ROW($C$2)+1))))</f>
        <v>#DIV/0!</v>
      </c>
      <c r="I134" s="38" t="str">
        <f>IFERROR(IF(SUMPRODUCT(($C$2:$C$266=$H$126)*($F$2:$F$266=5))=0,"",INDEX($D$2:$D$266,SUMPRODUCT(($C$2:$C$266=$H$126)*($F$2:$F$266=5)*(ROW($C$2:$C$266)-ROW($C$2)+1)))),"")</f>
        <v/>
      </c>
      <c r="J134" s="38" t="str">
        <f>IFERROR(IF(SUMPRODUCT(($C$2:$C$266=$H$126)*($F$2:$F$266=5))=0,"",INDEX($E$2:$E$266,SUMPRODUCT(($C$2:$C$266=$H$126)*($F$2:$F$266=5)*(ROW($C$2:$C$266)-ROW($C$2)+1)))),"")</f>
        <v/>
      </c>
      <c r="K134" s="33"/>
    </row>
    <row r="135" spans="1:11" ht="15" customHeight="1" x14ac:dyDescent="0.3">
      <c r="C135" s="28"/>
      <c r="E135" s="29"/>
      <c r="H135" s="37" t="e">
        <f>IF(SUMPRODUCT(($C$2:$C$266=$H$126)*($F$2:$F$266=6))=0,"",INDEX($A$2:$A$266,SUMPRODUCT(($C$2:$C$266=$H$126)*($F$2:$F$266=6)*(ROW($C$2:$C$266)-ROW($C$2)+1))))</f>
        <v>#DIV/0!</v>
      </c>
      <c r="I135" s="38" t="str">
        <f>IFERROR(IF(SUMPRODUCT(($C$2:$C$266=$H$126)*($F$2:$F$266=6))=0,"",INDEX($D$2:$D$266,SUMPRODUCT(($C$2:$C$266=$H$126)*($F$2:$F$266=6)*(ROW($C$2:$C$266)-ROW($C$2)+1)))),"")</f>
        <v/>
      </c>
      <c r="J135" s="38" t="str">
        <f>IFERROR(IF(SUMPRODUCT(($C$2:$C$266=$H$126)*($F$2:$F$266=6))=0,"",INDEX($E$2:$E$266,SUMPRODUCT(($C$2:$C$266=$H$126)*($F$2:$F$266=6)*(ROW($C$2:$C$266)-ROW($C$2)+1)))),"")</f>
        <v/>
      </c>
      <c r="K135" s="33"/>
    </row>
    <row r="136" spans="1:11" ht="14.25" customHeight="1" x14ac:dyDescent="0.3">
      <c r="C136" s="10" t="s">
        <v>5</v>
      </c>
      <c r="D136" s="11"/>
      <c r="E136" s="12"/>
      <c r="H136" s="37" t="e">
        <f>IF(SUMPRODUCT(($C$2:$C$266=$H$126)*($F$2:$F$266=7))=0,"",INDEX($A$2:$A$266,SUMPRODUCT(($C$2:$C$266=$H$126)*($F$2:$F$266=7)*(ROW($C$2:$C$266)-ROW($C$2)+1))))</f>
        <v>#DIV/0!</v>
      </c>
      <c r="I136" s="38" t="str">
        <f>IFERROR(IF(SUMPRODUCT(($C$2:$C$266=$H$126)*($F$2:$F$266=7))=0,"",INDEX($D$2:$D$266,SUMPRODUCT(($C$2:$C$266=$H$126)*($F$2:$F$266=7)*(ROW($C$2:$C$266)-ROW($C$2)+1)))),"")</f>
        <v/>
      </c>
      <c r="J136" s="38" t="str">
        <f>IFERROR(IF(SUMPRODUCT(($C$2:$C$266=$H$126)*($F$2:$F$266=7))=0,"",INDEX($E$2:$E$266,SUMPRODUCT(($C$2:$C$266=$H$126)*($F$2:$F$266=7)*(ROW($C$2:$C$266)-ROW($C$2)+1)))),"")</f>
        <v/>
      </c>
      <c r="K136" s="33"/>
    </row>
    <row r="137" spans="1:11" ht="14.25" customHeight="1" x14ac:dyDescent="0.3">
      <c r="C137" s="10" t="s">
        <v>7</v>
      </c>
      <c r="D137" s="15"/>
      <c r="E137" s="16"/>
      <c r="H137" s="37" t="e">
        <f>IF(SUMPRODUCT(($C$2:$C$266=$H$126)*($F$2:$F$266=8))=0,"",INDEX($A$2:$A$266,SUMPRODUCT(($C$2:$C$266=$H$126)*($F$2:$F$266=8)*(ROW($C$2:$C$266)-ROW($C$2)+1))))</f>
        <v>#DIV/0!</v>
      </c>
      <c r="I137" s="38" t="str">
        <f>IFERROR(IF(SUMPRODUCT(($C$2:$C$266=$H$126)*($F$2:$F$266=8))=0,"",INDEX($D$2:$D$266,SUMPRODUCT(($C$2:$C$266=$H$126)*($F$2:$F$266=8)*(ROW($C$2:$C$266)-ROW($C$2)+1)))),"")</f>
        <v/>
      </c>
      <c r="J137" s="38" t="str">
        <f>IFERROR(IF(SUMPRODUCT(($C$2:$C$266=$H$126)*($F$2:$F$266=8))=0,"",INDEX($E$2:$E$266,SUMPRODUCT(($C$2:$C$266=$H$126)*($F$2:$F$266=8)*(ROW($C$2:$C$266)-ROW($C$2)+1)))),"")</f>
        <v/>
      </c>
      <c r="K137" s="33"/>
    </row>
    <row r="138" spans="1:11" ht="14.25" customHeight="1" x14ac:dyDescent="0.3">
      <c r="C138" s="10" t="s">
        <v>9</v>
      </c>
      <c r="D138" s="10"/>
      <c r="E138" s="12"/>
      <c r="H138" s="37" t="e">
        <f>IF(SUMPRODUCT(($C$2:$C$266=$H$126)*($F$2:$F$266=9))=0,"",INDEX($A$2:$A$266,SUMPRODUCT(($C$2:$C$266=$H$126)*($F$2:$F$266=9)*(ROW($C$2:$C$266)-ROW($C$2)+1))))</f>
        <v>#DIV/0!</v>
      </c>
      <c r="I138" s="38" t="str">
        <f>IFERROR(IF(SUMPRODUCT(($C$2:$C$266=$H$126)*($F$2:$F$266=9))=0,"",INDEX($D$2:$D$266,SUMPRODUCT(($C$2:$C$266=$H$126)*($F$2:$F$266=9)*(ROW($C$2:$C$266)-ROW($C$2)+1)))),"")</f>
        <v/>
      </c>
      <c r="J138" s="38" t="str">
        <f>IFERROR(IF(SUMPRODUCT(($C$2:$C$266=$H$126)*($F$2:$F$266=9))=0,"",INDEX($E$2:$E$266,SUMPRODUCT(($C$2:$C$266=$H$126)*($F$2:$F$266=9)*(ROW($C$2:$C$266)-ROW($C$2)+1)))),"")</f>
        <v/>
      </c>
      <c r="K138" s="33"/>
    </row>
    <row r="139" spans="1:11" ht="14.25" customHeight="1" x14ac:dyDescent="0.3">
      <c r="C139" s="10" t="s">
        <v>2</v>
      </c>
      <c r="D139" s="17">
        <f>SUM(D136:D138)</f>
        <v>0</v>
      </c>
      <c r="E139" s="12"/>
      <c r="H139" s="37" t="e">
        <f>IF(SUMPRODUCT(($C$2:$C$266=$H$126)*($F$2:$F$266=10))=0,"",INDEX($A$2:$A$266,SUMPRODUCT(($C$2:$C$266=$H$126)*($F$2:$F$266=10)*(ROW($C$2:$C$266)-ROW($C$2)+1))))</f>
        <v>#DIV/0!</v>
      </c>
      <c r="I139" s="38" t="str">
        <f>IFERROR(IF(SUMPRODUCT(($C$2:$C$266=$H$126)*($F$2:$F$266=10))=0,"",INDEX($D$2:$D$266,SUMPRODUCT(($C$2:$C$266=$H$126)*($F$2:$F$266=10)*(ROW($C$2:$C$266)-ROW($C$2)+1)))),"")</f>
        <v/>
      </c>
      <c r="J139" s="38" t="str">
        <f>IFERROR(IF(SUMPRODUCT(($C$2:$C$266=$H$126)*($F$2:$F$266=10))=0,"",INDEX($E$2:$E$266,SUMPRODUCT(($C$2:$C$266=$H$126)*($F$2:$F$266=10)*(ROW($C$2:$C$266)-ROW($C$2)+1)))),"")</f>
        <v/>
      </c>
      <c r="K139" s="33"/>
    </row>
    <row r="140" spans="1:11" ht="14.25" customHeight="1" x14ac:dyDescent="0.3">
      <c r="C140" s="10" t="s">
        <v>3</v>
      </c>
      <c r="D140" s="10">
        <f>SUM(D144:D150)</f>
        <v>0</v>
      </c>
      <c r="E140" s="12"/>
      <c r="H140" s="37" t="e">
        <f>IF(SUMPRODUCT(($C$2:$C$266=$H$126)*($F$2:$F$266=11))=0,"",INDEX($A$2:$A$266,SUMPRODUCT(($C$2:$C$266=$H$126)*($F$2:$F$266=11)*(ROW($C$2:$C$266)-ROW($C$2)+1))))</f>
        <v>#DIV/0!</v>
      </c>
      <c r="I140" s="38" t="str">
        <f>IFERROR(IF(SUMPRODUCT(($C$2:$C$266=$H$126)*($F$2:$F$266=11))=0,"",INDEX($D$2:$D$266,SUMPRODUCT(($C$2:$C$266=$H$126)*($F$2:$F$266=11)*(ROW($C$2:$C$266)-ROW($C$2)+1)))),"")</f>
        <v/>
      </c>
      <c r="J140" s="38" t="str">
        <f>IFERROR(IF(SUMPRODUCT(($C$2:$C$266=$H$126)*($F$2:$F$266=11))=0,"",INDEX($E$2:$E$266,SUMPRODUCT(($C$2:$C$266=$H$126)*($F$2:$F$266=11)*(ROW($C$2:$C$266)-ROW($C$2)+1)))),"")</f>
        <v/>
      </c>
      <c r="K140" s="33"/>
    </row>
    <row r="141" spans="1:11" ht="14.25" customHeight="1" x14ac:dyDescent="0.3">
      <c r="C141" s="10" t="s">
        <v>13</v>
      </c>
      <c r="D141" s="17" t="e">
        <f>D139/D140</f>
        <v>#DIV/0!</v>
      </c>
      <c r="E141" s="12"/>
      <c r="H141" s="37" t="e">
        <f>IF(SUMPRODUCT(($C$2:$C$266=$H$126)*($F$2:$F$266=12))=0,"",INDEX($A$2:$A$266,SUMPRODUCT(($C$2:$C$266=$H$126)*($F$2:$F$266=12)*(ROW($C$2:$C$266)-ROW($C$2)+1))))</f>
        <v>#DIV/0!</v>
      </c>
      <c r="I141" s="38" t="str">
        <f>IFERROR(IF(SUMPRODUCT(($C$2:$C$266=$H$126)*($F$2:$F$266=12))=0,"",INDEX($D$2:$D$266,SUMPRODUCT(($C$2:$C$266=$H$126)*($F$2:$F$266=12)*(ROW($C$2:$C$266)-ROW($C$2)+1)))),"")</f>
        <v/>
      </c>
      <c r="J141" s="38" t="str">
        <f>IFERROR(IF(SUMPRODUCT(($C$2:$C$266=$H$126)*($F$2:$F$266=12))=0,"",INDEX($E$2:$E$266,SUMPRODUCT(($C$2:$C$266=$H$126)*($F$2:$F$266=12)*(ROW($C$2:$C$266)-ROW($C$2)+1)))),"")</f>
        <v/>
      </c>
      <c r="K141" s="33"/>
    </row>
    <row r="142" spans="1:11" ht="14.25" customHeight="1" x14ac:dyDescent="0.3">
      <c r="C142" s="12"/>
      <c r="D142" s="36"/>
      <c r="E142" s="12"/>
      <c r="H142" s="37" t="e">
        <f>IF(SUMPRODUCT(($C$2:$C$266=$H$126)*($F$2:$F$266=13))=0,"",INDEX($A$2:$A$266,SUMPRODUCT(($C$2:$C$266=$H$126)*($F$2:$F$266=13)*(ROW($C$2:$C$266)-ROW($C$2)+1))))</f>
        <v>#DIV/0!</v>
      </c>
      <c r="I142" s="38" t="str">
        <f>IFERROR(IF(SUMPRODUCT(($C$2:$C$266=$H$126)*($F$2:$F$266=13))=0,"",INDEX($D$2:$D$266,SUMPRODUCT(($C$2:$C$266=$H$126)*($F$2:$F$266=13)*(ROW($C$2:$C$266)-ROW($C$2)+1)))),"")</f>
        <v/>
      </c>
      <c r="J142" s="38" t="str">
        <f>IFERROR(IF(SUMPRODUCT(($C$2:$C$266=$H$126)*($F$2:$F$266=13))=0,"",INDEX($E$2:$E$266,SUMPRODUCT(($C$2:$C$266=$H$126)*($F$2:$F$266=13)*(ROW($C$2:$C$266)-ROW($C$2)+1)))),"")</f>
        <v/>
      </c>
      <c r="K142" s="33"/>
    </row>
    <row r="143" spans="1:11" ht="15" customHeight="1" x14ac:dyDescent="0.3">
      <c r="C143" s="18" t="s">
        <v>1</v>
      </c>
      <c r="D143" s="20" t="s">
        <v>15</v>
      </c>
      <c r="E143" s="20" t="s">
        <v>16</v>
      </c>
      <c r="H143" s="37" t="e">
        <f>IF(SUMPRODUCT(($C$2:$C$266=$H$126)*($F$2:$F$266=14))=0,"",INDEX($A$2:$A$266,SUMPRODUCT(($C$2:$C$266=$H$126)*($F$2:$F$266=14)*(ROW($C$2:$C$266)-ROW($C$2)+1))))</f>
        <v>#DIV/0!</v>
      </c>
      <c r="I143" s="38" t="str">
        <f>IFERROR(IF(SUMPRODUCT(($C$2:$C$266=$H$126)*($F$2:$F$266=14))=0,"",INDEX($D$2:$D$266,SUMPRODUCT(($C$2:$C$266=$H$126)*($F$2:$F$266=14)*(ROW($C$2:$C$266)-ROW($C$2)+1)))),"")</f>
        <v/>
      </c>
      <c r="J143" s="38" t="str">
        <f>IFERROR(IF(SUMPRODUCT(($C$2:$C$266=$H$126)*($F$2:$F$266=14))=0,"",INDEX($E$2:$E$266,SUMPRODUCT(($C$2:$C$266=$H$126)*($F$2:$F$266=14)*(ROW($C$2:$C$266)-ROW($C$2)+1)))),"")</f>
        <v/>
      </c>
      <c r="K143" s="33"/>
    </row>
    <row r="144" spans="1:11" ht="14.25" customHeight="1" x14ac:dyDescent="0.3">
      <c r="A144" s="21">
        <f t="shared" ref="A144:A150" si="17">$C$134</f>
        <v>0</v>
      </c>
      <c r="B144" s="21"/>
      <c r="C144" s="22"/>
      <c r="D144" s="23"/>
      <c r="E144" s="24" t="e">
        <f t="shared" ref="E144:E150" si="18">D144*$D$141</f>
        <v>#DIV/0!</v>
      </c>
      <c r="F144" t="str">
        <f>IF($C144="","",COUNTIF($C$2:$C144,$C144))</f>
        <v/>
      </c>
      <c r="H144" s="37" t="e">
        <f>IF(SUMPRODUCT(($C$2:$C$266=$H$126)*($F$2:$F$266=15))=0,"",INDEX($A$2:$A$266,SUMPRODUCT(($C$2:$C$266=$H$126)*($F$2:$F$266=15)*(ROW($C$2:$C$266)-ROW($C$2)+1))))</f>
        <v>#DIV/0!</v>
      </c>
      <c r="I144" s="38" t="str">
        <f>IFERROR(IF(SUMPRODUCT(($C$2:$C$266=$H$126)*($F$2:$F$266=15))=0,"",INDEX($D$2:$D$266,SUMPRODUCT(($C$2:$C$266=$H$126)*($F$2:$F$266=15)*(ROW($C$2:$C$266)-ROW($C$2)+1)))),"")</f>
        <v/>
      </c>
      <c r="J144" s="38" t="str">
        <f>IFERROR(IF(SUMPRODUCT(($C$2:$C$266=$H$126)*($F$2:$F$266=15))=0,"",INDEX($E$2:$E$266,SUMPRODUCT(($C$2:$C$266=$H$126)*($F$2:$F$266=15)*(ROW($C$2:$C$266)-ROW($C$2)+1)))),"")</f>
        <v/>
      </c>
      <c r="K144" s="33"/>
    </row>
    <row r="145" spans="1:11" ht="14.25" customHeight="1" x14ac:dyDescent="0.3">
      <c r="A145" s="21">
        <f t="shared" si="17"/>
        <v>0</v>
      </c>
      <c r="B145" s="21"/>
      <c r="C145" s="22"/>
      <c r="D145" s="23"/>
      <c r="E145" s="24" t="e">
        <f t="shared" si="18"/>
        <v>#DIV/0!</v>
      </c>
      <c r="F145" t="str">
        <f>IF($C145="","",COUNTIF($C$2:$C145,$C145))</f>
        <v/>
      </c>
      <c r="H145" s="37" t="e">
        <f>IF(SUMPRODUCT(($C$2:$C$266=$H$126)*($F$2:$F$266=16))=0,"",INDEX($A$2:$A$266,SUMPRODUCT(($C$2:$C$266=$H$126)*($F$2:$F$266=16)*(ROW($C$2:$C$266)-ROW($C$2)+1))))</f>
        <v>#DIV/0!</v>
      </c>
      <c r="I145" s="38" t="str">
        <f>IFERROR(IF(SUMPRODUCT(($C$2:$C$266=$H$126)*($F$2:$F$266=16))=0,"",INDEX($D$2:$D$266,SUMPRODUCT(($C$2:$C$266=$H$126)*($F$2:$F$266=16)*(ROW($C$2:$C$266)-ROW($C$2)+1)))),"")</f>
        <v/>
      </c>
      <c r="J145" s="38" t="str">
        <f>IFERROR(IF(SUMPRODUCT(($C$2:$C$266=$H$126)*($F$2:$F$266=16))=0,"",INDEX($E$2:$E$266,SUMPRODUCT(($C$2:$C$266=$H$126)*($F$2:$F$266=16)*(ROW($C$2:$C$266)-ROW($C$2)+1)))),"")</f>
        <v/>
      </c>
      <c r="K145" s="33"/>
    </row>
    <row r="146" spans="1:11" ht="14.25" customHeight="1" x14ac:dyDescent="0.3">
      <c r="A146" s="21">
        <f t="shared" si="17"/>
        <v>0</v>
      </c>
      <c r="B146" s="21"/>
      <c r="C146" s="22"/>
      <c r="D146" s="23"/>
      <c r="E146" s="24" t="e">
        <f t="shared" si="18"/>
        <v>#DIV/0!</v>
      </c>
      <c r="F146" t="str">
        <f>IF($C146="","",COUNTIF($C$2:$C146,$C146))</f>
        <v/>
      </c>
      <c r="H146" s="34" t="str">
        <f>H10</f>
        <v>Micaela Hartley</v>
      </c>
      <c r="I146" s="32"/>
      <c r="J146" s="32"/>
      <c r="K146" s="33"/>
    </row>
    <row r="147" spans="1:11" ht="14.25" customHeight="1" x14ac:dyDescent="0.3">
      <c r="A147" s="21">
        <f t="shared" si="17"/>
        <v>0</v>
      </c>
      <c r="B147" s="21"/>
      <c r="C147" s="22"/>
      <c r="D147" s="23"/>
      <c r="E147" s="24" t="e">
        <f t="shared" si="18"/>
        <v>#DIV/0!</v>
      </c>
      <c r="F147" t="str">
        <f>IF($C147="","",COUNTIF($C$2:$C147,$C147))</f>
        <v/>
      </c>
      <c r="H147" s="35" t="s">
        <v>26</v>
      </c>
      <c r="I147" s="32">
        <f>IFERROR(SUMIF($C$2:$C$266,H146,$D$2:$D$266),0)</f>
        <v>0</v>
      </c>
      <c r="J147" s="32"/>
      <c r="K147" s="33"/>
    </row>
    <row r="148" spans="1:11" ht="14.25" customHeight="1" x14ac:dyDescent="0.3">
      <c r="A148" s="21">
        <f t="shared" si="17"/>
        <v>0</v>
      </c>
      <c r="B148" s="21"/>
      <c r="C148" s="22"/>
      <c r="D148" s="23"/>
      <c r="E148" s="24" t="e">
        <f t="shared" si="18"/>
        <v>#DIV/0!</v>
      </c>
      <c r="F148" t="str">
        <f>IF($C148="","",COUNTIF($C$2:$C148,$C148))</f>
        <v/>
      </c>
      <c r="H148" s="35" t="s">
        <v>27</v>
      </c>
      <c r="I148" s="32">
        <f>IFERROR(SUMIF($C$2:$C$266,H146,$E$2:$E$266),0)</f>
        <v>0</v>
      </c>
      <c r="J148" s="32"/>
      <c r="K148" s="33"/>
    </row>
    <row r="149" spans="1:11" ht="14.25" customHeight="1" x14ac:dyDescent="0.3">
      <c r="A149" s="21">
        <f t="shared" si="17"/>
        <v>0</v>
      </c>
      <c r="B149" s="21"/>
      <c r="C149" s="22"/>
      <c r="D149" s="23"/>
      <c r="E149" s="24" t="e">
        <f t="shared" si="18"/>
        <v>#DIV/0!</v>
      </c>
      <c r="F149" t="str">
        <f>IF($C149="","",COUNTIF($C$2:$C149,$C149))</f>
        <v/>
      </c>
      <c r="H149" s="18" t="s">
        <v>28</v>
      </c>
      <c r="I149" s="20" t="s">
        <v>15</v>
      </c>
      <c r="J149" s="20" t="s">
        <v>16</v>
      </c>
      <c r="K149" s="33"/>
    </row>
    <row r="150" spans="1:11" ht="14.25" customHeight="1" x14ac:dyDescent="0.3">
      <c r="A150" s="21">
        <f t="shared" si="17"/>
        <v>0</v>
      </c>
      <c r="B150" s="21"/>
      <c r="C150" s="22"/>
      <c r="D150" s="23"/>
      <c r="E150" s="24" t="e">
        <f t="shared" si="18"/>
        <v>#DIV/0!</v>
      </c>
      <c r="F150" t="str">
        <f>IF($C150="","",COUNTIF($C$2:$C150,$C150))</f>
        <v/>
      </c>
      <c r="H150" s="37" t="e">
        <f>IF(SUMPRODUCT(($C$2:$C$266=$H$146)*($F$2:$F$266=1))=0,"No entries yet",INDEX($A$2:$A$266,SUMPRODUCT(($C$2:$C$266=$H$146)*($F$2:$F$266=1)*(ROW($C$2:$C$266)-ROW($C$2)+1))))</f>
        <v>#DIV/0!</v>
      </c>
      <c r="I150" s="38" t="str">
        <f>IFERROR(IF(SUMPRODUCT(($C$2:$C$266=$H$146)*($F$2:$F$266=1))=0,"",INDEX($D$2:$D$266,SUMPRODUCT(($C$2:$C$266=$H$146)*($F$2:$F$266=1)*(ROW($C$2:$C$266)-ROW($C$2)+1)))),"")</f>
        <v/>
      </c>
      <c r="J150" s="38" t="str">
        <f>IFERROR(IF(SUMPRODUCT(($C$2:$C$266=$H$146)*($F$2:$F$266=1))=0,"",INDEX($E$2:$E$266,SUMPRODUCT(($C$2:$C$266=$H$146)*($F$2:$F$266=1)*(ROW($C$2:$C$266)-ROW($C$2)+1)))),"")</f>
        <v/>
      </c>
      <c r="K150" s="33"/>
    </row>
    <row r="151" spans="1:11" ht="15" customHeight="1" x14ac:dyDescent="0.3">
      <c r="C151" s="25" t="s">
        <v>24</v>
      </c>
      <c r="D151" s="26"/>
      <c r="E151" s="27" t="e">
        <f>SUM(E144:E150)</f>
        <v>#DIV/0!</v>
      </c>
      <c r="H151" s="37" t="e">
        <f>IF(SUMPRODUCT(($C$2:$C$266=$H$146)*($F$2:$F$266=2))=0,"",INDEX($A$2:$A$266,SUMPRODUCT(($C$2:$C$266=$H$146)*($F$2:$F$266=2)*(ROW($C$2:$C$266)-ROW($C$2)+1))))</f>
        <v>#DIV/0!</v>
      </c>
      <c r="I151" s="38" t="str">
        <f>IFERROR(IF(SUMPRODUCT(($C$2:$C$266=$H$146)*($F$2:$F$266=2))=0,"",INDEX($D$2:$D$266,SUMPRODUCT(($C$2:$C$266=$H$146)*($F$2:$F$266=2)*(ROW($C$2:$C$266)-ROW($C$2)+1)))),"")</f>
        <v/>
      </c>
      <c r="J151" s="38" t="str">
        <f>IFERROR(IF(SUMPRODUCT(($C$2:$C$266=$H$146)*($F$2:$F$266=2))=0,"",INDEX($E$2:$E$266,SUMPRODUCT(($C$2:$C$266=$H$146)*($F$2:$F$266=2)*(ROW($C$2:$C$266)-ROW($C$2)+1)))),"")</f>
        <v/>
      </c>
      <c r="K151" s="33"/>
    </row>
    <row r="152" spans="1:11" ht="15" customHeight="1" x14ac:dyDescent="0.3">
      <c r="H152" s="37" t="e">
        <f>IF(SUMPRODUCT(($C$2:$C$266=$H$146)*($F$2:$F$266=3))=0,"",INDEX($A$2:$A$266,SUMPRODUCT(($C$2:$C$266=$H$146)*($F$2:$F$266=3)*(ROW($C$2:$C$266)-ROW($C$2)+1))))</f>
        <v>#DIV/0!</v>
      </c>
      <c r="I152" s="38" t="str">
        <f>IFERROR(IF(SUMPRODUCT(($C$2:$C$266=$H$146)*($F$2:$F$266=3))=0,"",INDEX($D$2:$D$266,SUMPRODUCT(($C$2:$C$266=$H$146)*($F$2:$F$266=3)*(ROW($C$2:$C$266)-ROW($C$2)+1)))),"")</f>
        <v/>
      </c>
      <c r="J152" s="38" t="str">
        <f>IFERROR(IF(SUMPRODUCT(($C$2:$C$266=$H$146)*($F$2:$F$266=3))=0,"",INDEX($E$2:$E$266,SUMPRODUCT(($C$2:$C$266=$H$146)*($F$2:$F$266=3)*(ROW($C$2:$C$266)-ROW($C$2)+1)))),"")</f>
        <v/>
      </c>
      <c r="K152" s="33"/>
    </row>
    <row r="153" spans="1:11" ht="15" customHeight="1" x14ac:dyDescent="0.3">
      <c r="C153" s="4"/>
      <c r="D153" s="4"/>
      <c r="E153" s="4"/>
      <c r="H153" s="37" t="e">
        <f>IF(SUMPRODUCT(($C$2:$C$266=$H$146)*($F$2:$F$266=4))=0,"",INDEX($A$2:$A$266,SUMPRODUCT(($C$2:$C$266=$H$146)*($F$2:$F$266=4)*(ROW($C$2:$C$266)-ROW($C$2)+1))))</f>
        <v>#DIV/0!</v>
      </c>
      <c r="I153" s="38" t="str">
        <f>IFERROR(IF(SUMPRODUCT(($C$2:$C$266=$H$146)*($F$2:$F$266=4))=0,"",INDEX($D$2:$D$266,SUMPRODUCT(($C$2:$C$266=$H$146)*($F$2:$F$266=4)*(ROW($C$2:$C$266)-ROW($C$2)+1)))),"")</f>
        <v/>
      </c>
      <c r="J153" s="38" t="str">
        <f>IFERROR(IF(SUMPRODUCT(($C$2:$C$266=$H$146)*($F$2:$F$266=4))=0,"",INDEX($E$2:$E$266,SUMPRODUCT(($C$2:$C$266=$H$146)*($F$2:$F$266=4)*(ROW($C$2:$C$266)-ROW($C$2)+1)))),"")</f>
        <v/>
      </c>
      <c r="K153" s="33"/>
    </row>
    <row r="154" spans="1:11" ht="15" customHeight="1" x14ac:dyDescent="0.3">
      <c r="C154" s="28"/>
      <c r="E154" s="29"/>
      <c r="H154" s="37" t="e">
        <f>IF(SUMPRODUCT(($C$2:$C$266=$H$146)*($F$2:$F$266=5))=0,"",INDEX($A$2:$A$266,SUMPRODUCT(($C$2:$C$266=$H$146)*($F$2:$F$266=5)*(ROW($C$2:$C$266)-ROW($C$2)+1))))</f>
        <v>#DIV/0!</v>
      </c>
      <c r="I154" s="38" t="str">
        <f>IFERROR(IF(SUMPRODUCT(($C$2:$C$266=$H$146)*($F$2:$F$266=5))=0,"",INDEX($D$2:$D$266,SUMPRODUCT(($C$2:$C$266=$H$146)*($F$2:$F$266=5)*(ROW($C$2:$C$266)-ROW($C$2)+1)))),"")</f>
        <v/>
      </c>
      <c r="J154" s="38" t="str">
        <f>IFERROR(IF(SUMPRODUCT(($C$2:$C$266=$H$146)*($F$2:$F$266=5))=0,"",INDEX($E$2:$E$266,SUMPRODUCT(($C$2:$C$266=$H$146)*($F$2:$F$266=5)*(ROW($C$2:$C$266)-ROW($C$2)+1)))),"")</f>
        <v/>
      </c>
      <c r="K154" s="33"/>
    </row>
    <row r="155" spans="1:11" ht="14.25" customHeight="1" x14ac:dyDescent="0.3">
      <c r="C155" s="10" t="s">
        <v>5</v>
      </c>
      <c r="D155" s="11"/>
      <c r="E155" s="12"/>
      <c r="H155" s="37" t="e">
        <f>IF(SUMPRODUCT(($C$2:$C$266=$H$146)*($F$2:$F$266=6))=0,"",INDEX($A$2:$A$266,SUMPRODUCT(($C$2:$C$266=$H$146)*($F$2:$F$266=6)*(ROW($C$2:$C$266)-ROW($C$2)+1))))</f>
        <v>#DIV/0!</v>
      </c>
      <c r="I155" s="38" t="str">
        <f>IFERROR(IF(SUMPRODUCT(($C$2:$C$266=$H$146)*($F$2:$F$266=6))=0,"",INDEX($D$2:$D$266,SUMPRODUCT(($C$2:$C$266=$H$146)*($F$2:$F$266=6)*(ROW($C$2:$C$266)-ROW($C$2)+1)))),"")</f>
        <v/>
      </c>
      <c r="J155" s="38" t="str">
        <f>IFERROR(IF(SUMPRODUCT(($C$2:$C$266=$H$146)*($F$2:$F$266=6))=0,"",INDEX($E$2:$E$266,SUMPRODUCT(($C$2:$C$266=$H$146)*($F$2:$F$266=6)*(ROW($C$2:$C$266)-ROW($C$2)+1)))),"")</f>
        <v/>
      </c>
      <c r="K155" s="33"/>
    </row>
    <row r="156" spans="1:11" ht="14.25" customHeight="1" x14ac:dyDescent="0.3">
      <c r="C156" s="10" t="s">
        <v>7</v>
      </c>
      <c r="D156" s="15"/>
      <c r="E156" s="16"/>
      <c r="H156" s="37" t="e">
        <f>IF(SUMPRODUCT(($C$2:$C$266=$H$146)*($F$2:$F$266=7))=0,"",INDEX($A$2:$A$266,SUMPRODUCT(($C$2:$C$266=$H$146)*($F$2:$F$266=7)*(ROW($C$2:$C$266)-ROW($C$2)+1))))</f>
        <v>#DIV/0!</v>
      </c>
      <c r="I156" s="38" t="str">
        <f>IFERROR(IF(SUMPRODUCT(($C$2:$C$266=$H$146)*($F$2:$F$266=7))=0,"",INDEX($D$2:$D$266,SUMPRODUCT(($C$2:$C$266=$H$146)*($F$2:$F$266=7)*(ROW($C$2:$C$266)-ROW($C$2)+1)))),"")</f>
        <v/>
      </c>
      <c r="J156" s="38" t="str">
        <f>IFERROR(IF(SUMPRODUCT(($C$2:$C$266=$H$146)*($F$2:$F$266=7))=0,"",INDEX($E$2:$E$266,SUMPRODUCT(($C$2:$C$266=$H$146)*($F$2:$F$266=7)*(ROW($C$2:$C$266)-ROW($C$2)+1)))),"")</f>
        <v/>
      </c>
      <c r="K156" s="33"/>
    </row>
    <row r="157" spans="1:11" ht="14.25" customHeight="1" x14ac:dyDescent="0.3">
      <c r="C157" s="10" t="s">
        <v>9</v>
      </c>
      <c r="D157" s="10"/>
      <c r="E157" s="12"/>
      <c r="H157" s="37" t="e">
        <f>IF(SUMPRODUCT(($C$2:$C$266=$H$146)*($F$2:$F$266=8))=0,"",INDEX($A$2:$A$266,SUMPRODUCT(($C$2:$C$266=$H$146)*($F$2:$F$266=8)*(ROW($C$2:$C$266)-ROW($C$2)+1))))</f>
        <v>#DIV/0!</v>
      </c>
      <c r="I157" s="38" t="str">
        <f>IFERROR(IF(SUMPRODUCT(($C$2:$C$266=$H$146)*($F$2:$F$266=8))=0,"",INDEX($D$2:$D$266,SUMPRODUCT(($C$2:$C$266=$H$146)*($F$2:$F$266=8)*(ROW($C$2:$C$266)-ROW($C$2)+1)))),"")</f>
        <v/>
      </c>
      <c r="J157" s="38" t="str">
        <f>IFERROR(IF(SUMPRODUCT(($C$2:$C$266=$H$146)*($F$2:$F$266=8))=0,"",INDEX($E$2:$E$266,SUMPRODUCT(($C$2:$C$266=$H$146)*($F$2:$F$266=8)*(ROW($C$2:$C$266)-ROW($C$2)+1)))),"")</f>
        <v/>
      </c>
      <c r="K157" s="33"/>
    </row>
    <row r="158" spans="1:11" ht="14.25" customHeight="1" x14ac:dyDescent="0.3">
      <c r="C158" s="10" t="s">
        <v>2</v>
      </c>
      <c r="D158" s="17">
        <f>SUM(D155:D157)</f>
        <v>0</v>
      </c>
      <c r="E158" s="12"/>
      <c r="H158" s="37" t="e">
        <f>IF(SUMPRODUCT(($C$2:$C$266=$H$146)*($F$2:$F$266=9))=0,"",INDEX($A$2:$A$266,SUMPRODUCT(($C$2:$C$266=$H$146)*($F$2:$F$266=9)*(ROW($C$2:$C$266)-ROW($C$2)+1))))</f>
        <v>#DIV/0!</v>
      </c>
      <c r="I158" s="38" t="str">
        <f>IFERROR(IF(SUMPRODUCT(($C$2:$C$266=$H$146)*($F$2:$F$266=9))=0,"",INDEX($D$2:$D$266,SUMPRODUCT(($C$2:$C$266=$H$146)*($F$2:$F$266=9)*(ROW($C$2:$C$266)-ROW($C$2)+1)))),"")</f>
        <v/>
      </c>
      <c r="J158" s="38" t="str">
        <f>IFERROR(IF(SUMPRODUCT(($C$2:$C$266=$H$146)*($F$2:$F$266=9))=0,"",INDEX($E$2:$E$266,SUMPRODUCT(($C$2:$C$266=$H$146)*($F$2:$F$266=9)*(ROW($C$2:$C$266)-ROW($C$2)+1)))),"")</f>
        <v/>
      </c>
      <c r="K158" s="33"/>
    </row>
    <row r="159" spans="1:11" ht="14.25" customHeight="1" x14ac:dyDescent="0.3">
      <c r="C159" s="10" t="s">
        <v>3</v>
      </c>
      <c r="D159" s="10">
        <f>SUM(D163:D169)</f>
        <v>0</v>
      </c>
      <c r="E159" s="12"/>
      <c r="H159" s="37" t="e">
        <f>IF(SUMPRODUCT(($C$2:$C$266=$H$146)*($F$2:$F$266=10))=0,"",INDEX($A$2:$A$266,SUMPRODUCT(($C$2:$C$266=$H$146)*($F$2:$F$266=10)*(ROW($C$2:$C$266)-ROW($C$2)+1))))</f>
        <v>#DIV/0!</v>
      </c>
      <c r="I159" s="38" t="str">
        <f>IFERROR(IF(SUMPRODUCT(($C$2:$C$266=$H$146)*($F$2:$F$266=10))=0,"",INDEX($D$2:$D$266,SUMPRODUCT(($C$2:$C$266=$H$146)*($F$2:$F$266=10)*(ROW($C$2:$C$266)-ROW($C$2)+1)))),"")</f>
        <v/>
      </c>
      <c r="J159" s="38" t="str">
        <f>IFERROR(IF(SUMPRODUCT(($C$2:$C$266=$H$146)*($F$2:$F$266=10))=0,"",INDEX($E$2:$E$266,SUMPRODUCT(($C$2:$C$266=$H$146)*($F$2:$F$266=10)*(ROW($C$2:$C$266)-ROW($C$2)+1)))),"")</f>
        <v/>
      </c>
      <c r="K159" s="33"/>
    </row>
    <row r="160" spans="1:11" ht="14.25" customHeight="1" x14ac:dyDescent="0.3">
      <c r="C160" s="10" t="s">
        <v>13</v>
      </c>
      <c r="D160" s="17" t="e">
        <f>D158/D159</f>
        <v>#DIV/0!</v>
      </c>
      <c r="E160" s="12"/>
      <c r="H160" s="37" t="e">
        <f>IF(SUMPRODUCT(($C$2:$C$266=$H$146)*($F$2:$F$266=11))=0,"",INDEX($A$2:$A$266,SUMPRODUCT(($C$2:$C$266=$H$146)*($F$2:$F$266=11)*(ROW($C$2:$C$266)-ROW($C$2)+1))))</f>
        <v>#DIV/0!</v>
      </c>
      <c r="I160" s="38" t="str">
        <f>IFERROR(IF(SUMPRODUCT(($C$2:$C$266=$H$146)*($F$2:$F$266=11))=0,"",INDEX($D$2:$D$266,SUMPRODUCT(($C$2:$C$266=$H$146)*($F$2:$F$266=11)*(ROW($C$2:$C$266)-ROW($C$2)+1)))),"")</f>
        <v/>
      </c>
      <c r="J160" s="38" t="str">
        <f>IFERROR(IF(SUMPRODUCT(($C$2:$C$266=$H$146)*($F$2:$F$266=11))=0,"",INDEX($E$2:$E$266,SUMPRODUCT(($C$2:$C$266=$H$146)*($F$2:$F$266=11)*(ROW($C$2:$C$266)-ROW($C$2)+1)))),"")</f>
        <v/>
      </c>
      <c r="K160" s="33"/>
    </row>
    <row r="161" spans="1:11" ht="14.25" customHeight="1" x14ac:dyDescent="0.3">
      <c r="C161" s="12"/>
      <c r="D161" s="36"/>
      <c r="E161" s="12"/>
      <c r="H161" s="37" t="e">
        <f>IF(SUMPRODUCT(($C$2:$C$266=$H$146)*($F$2:$F$266=12))=0,"",INDEX($A$2:$A$266,SUMPRODUCT(($C$2:$C$266=$H$146)*($F$2:$F$266=12)*(ROW($C$2:$C$266)-ROW($C$2)+1))))</f>
        <v>#DIV/0!</v>
      </c>
      <c r="I161" s="38" t="str">
        <f>IFERROR(IF(SUMPRODUCT(($C$2:$C$266=$H$146)*($F$2:$F$266=12))=0,"",INDEX($D$2:$D$266,SUMPRODUCT(($C$2:$C$266=$H$146)*($F$2:$F$266=12)*(ROW($C$2:$C$266)-ROW($C$2)+1)))),"")</f>
        <v/>
      </c>
      <c r="J161" s="38" t="str">
        <f>IFERROR(IF(SUMPRODUCT(($C$2:$C$266=$H$146)*($F$2:$F$266=12))=0,"",INDEX($E$2:$E$266,SUMPRODUCT(($C$2:$C$266=$H$146)*($F$2:$F$266=12)*(ROW($C$2:$C$266)-ROW($C$2)+1)))),"")</f>
        <v/>
      </c>
      <c r="K161" s="33"/>
    </row>
    <row r="162" spans="1:11" ht="15" customHeight="1" x14ac:dyDescent="0.3">
      <c r="C162" s="18" t="s">
        <v>1</v>
      </c>
      <c r="D162" s="20" t="s">
        <v>15</v>
      </c>
      <c r="E162" s="20" t="s">
        <v>16</v>
      </c>
      <c r="H162" s="37" t="e">
        <f>IF(SUMPRODUCT(($C$2:$C$266=$H$146)*($F$2:$F$266=13))=0,"",INDEX($A$2:$A$266,SUMPRODUCT(($C$2:$C$266=$H$146)*($F$2:$F$266=13)*(ROW($C$2:$C$266)-ROW($C$2)+1))))</f>
        <v>#DIV/0!</v>
      </c>
      <c r="I162" s="38" t="str">
        <f>IFERROR(IF(SUMPRODUCT(($C$2:$C$266=$H$146)*($F$2:$F$266=13))=0,"",INDEX($D$2:$D$266,SUMPRODUCT(($C$2:$C$266=$H$146)*($F$2:$F$266=13)*(ROW($C$2:$C$266)-ROW($C$2)+1)))),"")</f>
        <v/>
      </c>
      <c r="J162" s="38" t="str">
        <f>IFERROR(IF(SUMPRODUCT(($C$2:$C$266=$H$146)*($F$2:$F$266=13))=0,"",INDEX($E$2:$E$266,SUMPRODUCT(($C$2:$C$266=$H$146)*($F$2:$F$266=13)*(ROW($C$2:$C$266)-ROW($C$2)+1)))),"")</f>
        <v/>
      </c>
      <c r="K162" s="33"/>
    </row>
    <row r="163" spans="1:11" ht="14.25" customHeight="1" x14ac:dyDescent="0.3">
      <c r="A163" s="21">
        <f t="shared" ref="A163:A169" si="19">$C$153</f>
        <v>0</v>
      </c>
      <c r="B163" s="21"/>
      <c r="C163" s="22"/>
      <c r="D163" s="23"/>
      <c r="E163" s="24" t="e">
        <f t="shared" ref="E163:E169" si="20">D163*$D$160</f>
        <v>#DIV/0!</v>
      </c>
      <c r="F163" t="str">
        <f>IF($C163="","",COUNTIF($C$2:$C163,$C163))</f>
        <v/>
      </c>
      <c r="H163" s="37" t="e">
        <f>IF(SUMPRODUCT(($C$2:$C$266=$H$146)*($F$2:$F$266=14))=0,"",INDEX($A$2:$A$266,SUMPRODUCT(($C$2:$C$266=$H$146)*($F$2:$F$266=14)*(ROW($C$2:$C$266)-ROW($C$2)+1))))</f>
        <v>#DIV/0!</v>
      </c>
      <c r="I163" s="38" t="str">
        <f>IFERROR(IF(SUMPRODUCT(($C$2:$C$266=$H$146)*($F$2:$F$266=14))=0,"",INDEX($D$2:$D$266,SUMPRODUCT(($C$2:$C$266=$H$146)*($F$2:$F$266=14)*(ROW($C$2:$C$266)-ROW($C$2)+1)))),"")</f>
        <v/>
      </c>
      <c r="J163" s="38" t="str">
        <f>IFERROR(IF(SUMPRODUCT(($C$2:$C$266=$H$146)*($F$2:$F$266=14))=0,"",INDEX($E$2:$E$266,SUMPRODUCT(($C$2:$C$266=$H$146)*($F$2:$F$266=14)*(ROW($C$2:$C$266)-ROW($C$2)+1)))),"")</f>
        <v/>
      </c>
      <c r="K163" s="33"/>
    </row>
    <row r="164" spans="1:11" ht="14.25" customHeight="1" x14ac:dyDescent="0.3">
      <c r="A164" s="21">
        <f t="shared" si="19"/>
        <v>0</v>
      </c>
      <c r="B164" s="21"/>
      <c r="C164" s="22"/>
      <c r="D164" s="23"/>
      <c r="E164" s="24" t="e">
        <f t="shared" si="20"/>
        <v>#DIV/0!</v>
      </c>
      <c r="F164" t="str">
        <f>IF($C164="","",COUNTIF($C$2:$C164,$C164))</f>
        <v/>
      </c>
      <c r="H164" s="37" t="e">
        <f>IF(SUMPRODUCT(($C$2:$C$266=$H$146)*($F$2:$F$266=15))=0,"",INDEX($A$2:$A$266,SUMPRODUCT(($C$2:$C$266=$H$146)*($F$2:$F$266=15)*(ROW($C$2:$C$266)-ROW($C$2)+1))))</f>
        <v>#DIV/0!</v>
      </c>
      <c r="I164" s="38" t="str">
        <f>IFERROR(IF(SUMPRODUCT(($C$2:$C$266=$H$146)*($F$2:$F$266=15))=0,"",INDEX($D$2:$D$266,SUMPRODUCT(($C$2:$C$266=$H$146)*($F$2:$F$266=15)*(ROW($C$2:$C$266)-ROW($C$2)+1)))),"")</f>
        <v/>
      </c>
      <c r="J164" s="38" t="str">
        <f>IFERROR(IF(SUMPRODUCT(($C$2:$C$266=$H$146)*($F$2:$F$266=15))=0,"",INDEX($E$2:$E$266,SUMPRODUCT(($C$2:$C$266=$H$146)*($F$2:$F$266=15)*(ROW($C$2:$C$266)-ROW($C$2)+1)))),"")</f>
        <v/>
      </c>
      <c r="K164" s="33"/>
    </row>
    <row r="165" spans="1:11" ht="14.25" customHeight="1" x14ac:dyDescent="0.3">
      <c r="A165" s="21">
        <f t="shared" si="19"/>
        <v>0</v>
      </c>
      <c r="B165" s="21"/>
      <c r="C165" s="22"/>
      <c r="D165" s="23"/>
      <c r="E165" s="24" t="e">
        <f t="shared" si="20"/>
        <v>#DIV/0!</v>
      </c>
      <c r="F165" t="str">
        <f>IF($C165="","",COUNTIF($C$2:$C165,$C165))</f>
        <v/>
      </c>
      <c r="H165" s="37" t="e">
        <f>IF(SUMPRODUCT(($C$2:$C$266=$H$146)*($F$2:$F$266=16))=0,"",INDEX($A$2:$A$266,SUMPRODUCT(($C$2:$C$266=$H$146)*($F$2:$F$266=16)*(ROW($C$2:$C$266)-ROW($C$2)+1))))</f>
        <v>#DIV/0!</v>
      </c>
      <c r="I165" s="38" t="str">
        <f>IFERROR(IF(SUMPRODUCT(($C$2:$C$266=$H$146)*($F$2:$F$266=16))=0,"",INDEX($D$2:$D$266,SUMPRODUCT(($C$2:$C$266=$H$146)*($F$2:$F$266=16)*(ROW($C$2:$C$266)-ROW($C$2)+1)))),"")</f>
        <v/>
      </c>
      <c r="J165" s="38" t="str">
        <f>IFERROR(IF(SUMPRODUCT(($C$2:$C$266=$H$146)*($F$2:$F$266=16))=0,"",INDEX($E$2:$E$266,SUMPRODUCT(($C$2:$C$266=$H$146)*($F$2:$F$266=16)*(ROW($C$2:$C$266)-ROW($C$2)+1)))),"")</f>
        <v/>
      </c>
      <c r="K165" s="33"/>
    </row>
    <row r="166" spans="1:11" ht="14.25" customHeight="1" x14ac:dyDescent="0.3">
      <c r="A166" s="21">
        <f t="shared" si="19"/>
        <v>0</v>
      </c>
      <c r="B166" s="21"/>
      <c r="C166" s="22"/>
      <c r="D166" s="23"/>
      <c r="E166" s="24" t="e">
        <f t="shared" si="20"/>
        <v>#DIV/0!</v>
      </c>
      <c r="F166" t="str">
        <f>IF($C166="","",COUNTIF($C$2:$C166,$C166))</f>
        <v/>
      </c>
      <c r="H166" s="34" t="str">
        <f>H11</f>
        <v>Michelle Osnovikov</v>
      </c>
      <c r="I166" s="32"/>
      <c r="J166" s="32"/>
      <c r="K166" s="33"/>
    </row>
    <row r="167" spans="1:11" ht="14.25" customHeight="1" x14ac:dyDescent="0.3">
      <c r="A167" s="21">
        <f t="shared" si="19"/>
        <v>0</v>
      </c>
      <c r="B167" s="21"/>
      <c r="C167" s="22"/>
      <c r="D167" s="23"/>
      <c r="E167" s="24" t="e">
        <f t="shared" si="20"/>
        <v>#DIV/0!</v>
      </c>
      <c r="F167" t="str">
        <f>IF($C167="","",COUNTIF($C$2:$C167,$C167))</f>
        <v/>
      </c>
      <c r="H167" s="35" t="s">
        <v>26</v>
      </c>
      <c r="I167" s="32">
        <f>IFERROR(SUMIF($C$2:$C$266,H166,$D$2:$D$266),0)</f>
        <v>0</v>
      </c>
      <c r="J167" s="32"/>
      <c r="K167" s="33"/>
    </row>
    <row r="168" spans="1:11" ht="14.25" customHeight="1" x14ac:dyDescent="0.3">
      <c r="A168" s="21">
        <f t="shared" si="19"/>
        <v>0</v>
      </c>
      <c r="B168" s="21"/>
      <c r="C168" s="22"/>
      <c r="D168" s="23"/>
      <c r="E168" s="24" t="e">
        <f t="shared" si="20"/>
        <v>#DIV/0!</v>
      </c>
      <c r="F168" t="str">
        <f>IF($C168="","",COUNTIF($C$2:$C168,$C168))</f>
        <v/>
      </c>
      <c r="H168" s="35" t="s">
        <v>27</v>
      </c>
      <c r="I168" s="32">
        <f>IFERROR(SUMIF($C$2:$C$266,H166,$E$2:$E$266),0)</f>
        <v>0</v>
      </c>
      <c r="J168" s="32"/>
      <c r="K168" s="33"/>
    </row>
    <row r="169" spans="1:11" ht="14.25" customHeight="1" x14ac:dyDescent="0.3">
      <c r="A169" s="21">
        <f t="shared" si="19"/>
        <v>0</v>
      </c>
      <c r="B169" s="21"/>
      <c r="C169" s="22"/>
      <c r="D169" s="23"/>
      <c r="E169" s="24" t="e">
        <f t="shared" si="20"/>
        <v>#DIV/0!</v>
      </c>
      <c r="F169" t="str">
        <f>IF($C169="","",COUNTIF($C$2:$C169,$C169))</f>
        <v/>
      </c>
      <c r="H169" s="18" t="s">
        <v>28</v>
      </c>
      <c r="I169" s="20" t="s">
        <v>15</v>
      </c>
      <c r="J169" s="20" t="s">
        <v>16</v>
      </c>
      <c r="K169" s="33"/>
    </row>
    <row r="170" spans="1:11" ht="15" customHeight="1" x14ac:dyDescent="0.3">
      <c r="C170" s="25" t="s">
        <v>24</v>
      </c>
      <c r="D170" s="26"/>
      <c r="E170" s="27" t="e">
        <f>SUM(E163:E169)</f>
        <v>#DIV/0!</v>
      </c>
      <c r="H170" s="37" t="e">
        <f>IF(SUMPRODUCT(($C$2:$C$266=$H$166)*($F$2:$F$266=1))=0,"No entries yet",INDEX($A$2:$A$266,SUMPRODUCT(($C$2:$C$266=$H$166)*($F$2:$F$266=1)*(ROW($C$2:$C$266)-ROW($C$2)+1))))</f>
        <v>#DIV/0!</v>
      </c>
      <c r="I170" s="38" t="str">
        <f>IFERROR(IF(SUMPRODUCT(($C$2:$C$266=$H$166)*($F$2:$F$266=1))=0,"",INDEX($D$2:$D$266,SUMPRODUCT(($C$2:$C$266=$H$166)*($F$2:$F$266=1)*(ROW($C$2:$C$266)-ROW($C$2)+1)))),"")</f>
        <v/>
      </c>
      <c r="J170" s="38" t="str">
        <f>IFERROR(IF(SUMPRODUCT(($C$2:$C$266=$H$166)*($F$2:$F$266=1))=0,"",INDEX($E$2:$E$266,SUMPRODUCT(($C$2:$C$266=$H$166)*($F$2:$F$266=1)*(ROW($C$2:$C$266)-ROW($C$2)+1)))),"")</f>
        <v/>
      </c>
      <c r="K170" s="33"/>
    </row>
    <row r="171" spans="1:11" ht="15" customHeight="1" x14ac:dyDescent="0.3">
      <c r="H171" s="37" t="e">
        <f>IF(SUMPRODUCT(($C$2:$C$266=$H$166)*($F$2:$F$266=2))=0,"",INDEX($A$2:$A$266,SUMPRODUCT(($C$2:$C$266=$H$166)*($F$2:$F$266=2)*(ROW($C$2:$C$266)-ROW($C$2)+1))))</f>
        <v>#DIV/0!</v>
      </c>
      <c r="I171" s="38" t="str">
        <f>IFERROR(IF(SUMPRODUCT(($C$2:$C$266=$H$166)*($F$2:$F$266=2))=0,"",INDEX($D$2:$D$266,SUMPRODUCT(($C$2:$C$266=$H$166)*($F$2:$F$266=2)*(ROW($C$2:$C$266)-ROW($C$2)+1)))),"")</f>
        <v/>
      </c>
      <c r="J171" s="38" t="str">
        <f>IFERROR(IF(SUMPRODUCT(($C$2:$C$266=$H$166)*($F$2:$F$266=2))=0,"",INDEX($E$2:$E$266,SUMPRODUCT(($C$2:$C$266=$H$166)*($F$2:$F$266=2)*(ROW($C$2:$C$266)-ROW($C$2)+1)))),"")</f>
        <v/>
      </c>
      <c r="K171" s="33"/>
    </row>
    <row r="172" spans="1:11" ht="15" customHeight="1" x14ac:dyDescent="0.3">
      <c r="C172" s="4"/>
      <c r="D172" s="4"/>
      <c r="E172" s="4"/>
      <c r="H172" s="37" t="e">
        <f>IF(SUMPRODUCT(($C$2:$C$266=$H$166)*($F$2:$F$266=3))=0,"",INDEX($A$2:$A$266,SUMPRODUCT(($C$2:$C$266=$H$166)*($F$2:$F$266=3)*(ROW($C$2:$C$266)-ROW($C$2)+1))))</f>
        <v>#DIV/0!</v>
      </c>
      <c r="I172" s="38" t="str">
        <f>IFERROR(IF(SUMPRODUCT(($C$2:$C$266=$H$166)*($F$2:$F$266=3))=0,"",INDEX($D$2:$D$266,SUMPRODUCT(($C$2:$C$266=$H$166)*($F$2:$F$266=3)*(ROW($C$2:$C$266)-ROW($C$2)+1)))),"")</f>
        <v/>
      </c>
      <c r="J172" s="38" t="str">
        <f>IFERROR(IF(SUMPRODUCT(($C$2:$C$266=$H$166)*($F$2:$F$266=3))=0,"",INDEX($E$2:$E$266,SUMPRODUCT(($C$2:$C$266=$H$166)*($F$2:$F$266=3)*(ROW($C$2:$C$266)-ROW($C$2)+1)))),"")</f>
        <v/>
      </c>
      <c r="K172" s="33"/>
    </row>
    <row r="173" spans="1:11" ht="15" customHeight="1" x14ac:dyDescent="0.3">
      <c r="C173" s="28"/>
      <c r="E173" s="29"/>
      <c r="H173" s="37" t="e">
        <f>IF(SUMPRODUCT(($C$2:$C$266=$H$166)*($F$2:$F$266=4))=0,"",INDEX($A$2:$A$266,SUMPRODUCT(($C$2:$C$266=$H$166)*($F$2:$F$266=4)*(ROW($C$2:$C$266)-ROW($C$2)+1))))</f>
        <v>#DIV/0!</v>
      </c>
      <c r="I173" s="38" t="str">
        <f>IFERROR(IF(SUMPRODUCT(($C$2:$C$266=$H$166)*($F$2:$F$266=4))=0,"",INDEX($D$2:$D$266,SUMPRODUCT(($C$2:$C$266=$H$166)*($F$2:$F$266=4)*(ROW($C$2:$C$266)-ROW($C$2)+1)))),"")</f>
        <v/>
      </c>
      <c r="J173" s="38" t="str">
        <f>IFERROR(IF(SUMPRODUCT(($C$2:$C$266=$H$166)*($F$2:$F$266=4))=0,"",INDEX($E$2:$E$266,SUMPRODUCT(($C$2:$C$266=$H$166)*($F$2:$F$266=4)*(ROW($C$2:$C$266)-ROW($C$2)+1)))),"")</f>
        <v/>
      </c>
      <c r="K173" s="33"/>
    </row>
    <row r="174" spans="1:11" ht="14.25" customHeight="1" x14ac:dyDescent="0.3">
      <c r="C174" s="10" t="s">
        <v>5</v>
      </c>
      <c r="D174" s="11"/>
      <c r="E174" s="12"/>
      <c r="H174" s="37" t="e">
        <f>IF(SUMPRODUCT(($C$2:$C$266=$H$166)*($F$2:$F$266=5))=0,"",INDEX($A$2:$A$266,SUMPRODUCT(($C$2:$C$266=$H$166)*($F$2:$F$266=5)*(ROW($C$2:$C$266)-ROW($C$2)+1))))</f>
        <v>#DIV/0!</v>
      </c>
      <c r="I174" s="38" t="str">
        <f>IFERROR(IF(SUMPRODUCT(($C$2:$C$266=$H$166)*($F$2:$F$266=5))=0,"",INDEX($D$2:$D$266,SUMPRODUCT(($C$2:$C$266=$H$166)*($F$2:$F$266=5)*(ROW($C$2:$C$266)-ROW($C$2)+1)))),"")</f>
        <v/>
      </c>
      <c r="J174" s="38" t="str">
        <f>IFERROR(IF(SUMPRODUCT(($C$2:$C$266=$H$166)*($F$2:$F$266=5))=0,"",INDEX($E$2:$E$266,SUMPRODUCT(($C$2:$C$266=$H$166)*($F$2:$F$266=5)*(ROW($C$2:$C$266)-ROW($C$2)+1)))),"")</f>
        <v/>
      </c>
      <c r="K174" s="33"/>
    </row>
    <row r="175" spans="1:11" ht="14.25" customHeight="1" x14ac:dyDescent="0.3">
      <c r="C175" s="10" t="s">
        <v>7</v>
      </c>
      <c r="D175" s="15"/>
      <c r="E175" s="16"/>
      <c r="H175" s="37" t="e">
        <f>IF(SUMPRODUCT(($C$2:$C$266=$H$166)*($F$2:$F$266=6))=0,"",INDEX($A$2:$A$266,SUMPRODUCT(($C$2:$C$266=$H$166)*($F$2:$F$266=6)*(ROW($C$2:$C$266)-ROW($C$2)+1))))</f>
        <v>#DIV/0!</v>
      </c>
      <c r="I175" s="38" t="str">
        <f>IFERROR(IF(SUMPRODUCT(($C$2:$C$266=$H$166)*($F$2:$F$266=6))=0,"",INDEX($D$2:$D$266,SUMPRODUCT(($C$2:$C$266=$H$166)*($F$2:$F$266=6)*(ROW($C$2:$C$266)-ROW($C$2)+1)))),"")</f>
        <v/>
      </c>
      <c r="J175" s="38" t="str">
        <f>IFERROR(IF(SUMPRODUCT(($C$2:$C$266=$H$166)*($F$2:$F$266=6))=0,"",INDEX($E$2:$E$266,SUMPRODUCT(($C$2:$C$266=$H$166)*($F$2:$F$266=6)*(ROW($C$2:$C$266)-ROW($C$2)+1)))),"")</f>
        <v/>
      </c>
      <c r="K175" s="33"/>
    </row>
    <row r="176" spans="1:11" ht="14.25" customHeight="1" x14ac:dyDescent="0.3">
      <c r="C176" s="10" t="s">
        <v>9</v>
      </c>
      <c r="D176" s="10"/>
      <c r="E176" s="12"/>
      <c r="H176" s="37" t="e">
        <f>IF(SUMPRODUCT(($C$2:$C$266=$H$166)*($F$2:$F$266=7))=0,"",INDEX($A$2:$A$266,SUMPRODUCT(($C$2:$C$266=$H$166)*($F$2:$F$266=7)*(ROW($C$2:$C$266)-ROW($C$2)+1))))</f>
        <v>#DIV/0!</v>
      </c>
      <c r="I176" s="38" t="str">
        <f>IFERROR(IF(SUMPRODUCT(($C$2:$C$266=$H$166)*($F$2:$F$266=7))=0,"",INDEX($D$2:$D$266,SUMPRODUCT(($C$2:$C$266=$H$166)*($F$2:$F$266=7)*(ROW($C$2:$C$266)-ROW($C$2)+1)))),"")</f>
        <v/>
      </c>
      <c r="J176" s="38" t="str">
        <f>IFERROR(IF(SUMPRODUCT(($C$2:$C$266=$H$166)*($F$2:$F$266=7))=0,"",INDEX($E$2:$E$266,SUMPRODUCT(($C$2:$C$266=$H$166)*($F$2:$F$266=7)*(ROW($C$2:$C$266)-ROW($C$2)+1)))),"")</f>
        <v/>
      </c>
      <c r="K176" s="33"/>
    </row>
    <row r="177" spans="1:11" ht="14.25" customHeight="1" x14ac:dyDescent="0.3">
      <c r="C177" s="10" t="s">
        <v>2</v>
      </c>
      <c r="D177" s="17">
        <f>SUM(D174:D176)</f>
        <v>0</v>
      </c>
      <c r="E177" s="12"/>
      <c r="H177" s="37" t="e">
        <f>IF(SUMPRODUCT(($C$2:$C$266=$H$166)*($F$2:$F$266=8))=0,"",INDEX($A$2:$A$266,SUMPRODUCT(($C$2:$C$266=$H$166)*($F$2:$F$266=8)*(ROW($C$2:$C$266)-ROW($C$2)+1))))</f>
        <v>#DIV/0!</v>
      </c>
      <c r="I177" s="38" t="str">
        <f>IFERROR(IF(SUMPRODUCT(($C$2:$C$266=$H$166)*($F$2:$F$266=8))=0,"",INDEX($D$2:$D$266,SUMPRODUCT(($C$2:$C$266=$H$166)*($F$2:$F$266=8)*(ROW($C$2:$C$266)-ROW($C$2)+1)))),"")</f>
        <v/>
      </c>
      <c r="J177" s="38" t="str">
        <f>IFERROR(IF(SUMPRODUCT(($C$2:$C$266=$H$166)*($F$2:$F$266=8))=0,"",INDEX($E$2:$E$266,SUMPRODUCT(($C$2:$C$266=$H$166)*($F$2:$F$266=8)*(ROW($C$2:$C$266)-ROW($C$2)+1)))),"")</f>
        <v/>
      </c>
      <c r="K177" s="33"/>
    </row>
    <row r="178" spans="1:11" ht="14.25" customHeight="1" x14ac:dyDescent="0.3">
      <c r="C178" s="10" t="s">
        <v>3</v>
      </c>
      <c r="D178" s="10">
        <f>SUM(D182:D188)</f>
        <v>0</v>
      </c>
      <c r="E178" s="12"/>
      <c r="H178" s="37" t="e">
        <f>IF(SUMPRODUCT(($C$2:$C$266=$H$166)*($F$2:$F$266=9))=0,"",INDEX($A$2:$A$266,SUMPRODUCT(($C$2:$C$266=$H$166)*($F$2:$F$266=9)*(ROW($C$2:$C$266)-ROW($C$2)+1))))</f>
        <v>#DIV/0!</v>
      </c>
      <c r="I178" s="38" t="str">
        <f>IFERROR(IF(SUMPRODUCT(($C$2:$C$266=$H$166)*($F$2:$F$266=9))=0,"",INDEX($D$2:$D$266,SUMPRODUCT(($C$2:$C$266=$H$166)*($F$2:$F$266=9)*(ROW($C$2:$C$266)-ROW($C$2)+1)))),"")</f>
        <v/>
      </c>
      <c r="J178" s="38" t="str">
        <f>IFERROR(IF(SUMPRODUCT(($C$2:$C$266=$H$166)*($F$2:$F$266=9))=0,"",INDEX($E$2:$E$266,SUMPRODUCT(($C$2:$C$266=$H$166)*($F$2:$F$266=9)*(ROW($C$2:$C$266)-ROW($C$2)+1)))),"")</f>
        <v/>
      </c>
      <c r="K178" s="33"/>
    </row>
    <row r="179" spans="1:11" ht="14.25" customHeight="1" x14ac:dyDescent="0.3">
      <c r="C179" s="10" t="s">
        <v>13</v>
      </c>
      <c r="D179" s="17" t="e">
        <f>D177/D178</f>
        <v>#DIV/0!</v>
      </c>
      <c r="E179" s="12"/>
      <c r="H179" s="37" t="e">
        <f>IF(SUMPRODUCT(($C$2:$C$266=$H$166)*($F$2:$F$266=10))=0,"",INDEX($A$2:$A$266,SUMPRODUCT(($C$2:$C$266=$H$166)*($F$2:$F$266=10)*(ROW($C$2:$C$266)-ROW($C$2)+1))))</f>
        <v>#DIV/0!</v>
      </c>
      <c r="I179" s="38" t="str">
        <f>IFERROR(IF(SUMPRODUCT(($C$2:$C$266=$H$166)*($F$2:$F$266=10))=0,"",INDEX($D$2:$D$266,SUMPRODUCT(($C$2:$C$266=$H$166)*($F$2:$F$266=10)*(ROW($C$2:$C$266)-ROW($C$2)+1)))),"")</f>
        <v/>
      </c>
      <c r="J179" s="38" t="str">
        <f>IFERROR(IF(SUMPRODUCT(($C$2:$C$266=$H$166)*($F$2:$F$266=10))=0,"",INDEX($E$2:$E$266,SUMPRODUCT(($C$2:$C$266=$H$166)*($F$2:$F$266=10)*(ROW($C$2:$C$266)-ROW($C$2)+1)))),"")</f>
        <v/>
      </c>
      <c r="K179" s="33"/>
    </row>
    <row r="180" spans="1:11" ht="14.25" customHeight="1" x14ac:dyDescent="0.3">
      <c r="C180" s="12"/>
      <c r="D180" s="36"/>
      <c r="E180" s="12"/>
      <c r="H180" s="37" t="e">
        <f>IF(SUMPRODUCT(($C$2:$C$266=$H$166)*($F$2:$F$266=11))=0,"",INDEX($A$2:$A$266,SUMPRODUCT(($C$2:$C$266=$H$166)*($F$2:$F$266=11)*(ROW($C$2:$C$266)-ROW($C$2)+1))))</f>
        <v>#DIV/0!</v>
      </c>
      <c r="I180" s="38" t="str">
        <f>IFERROR(IF(SUMPRODUCT(($C$2:$C$266=$H$166)*($F$2:$F$266=11))=0,"",INDEX($D$2:$D$266,SUMPRODUCT(($C$2:$C$266=$H$166)*($F$2:$F$266=11)*(ROW($C$2:$C$266)-ROW($C$2)+1)))),"")</f>
        <v/>
      </c>
      <c r="J180" s="38" t="str">
        <f>IFERROR(IF(SUMPRODUCT(($C$2:$C$266=$H$166)*($F$2:$F$266=11))=0,"",INDEX($E$2:$E$266,SUMPRODUCT(($C$2:$C$266=$H$166)*($F$2:$F$266=11)*(ROW($C$2:$C$266)-ROW($C$2)+1)))),"")</f>
        <v/>
      </c>
      <c r="K180" s="33"/>
    </row>
    <row r="181" spans="1:11" ht="15" customHeight="1" x14ac:dyDescent="0.3">
      <c r="C181" s="18" t="s">
        <v>1</v>
      </c>
      <c r="D181" s="20" t="s">
        <v>15</v>
      </c>
      <c r="E181" s="20" t="s">
        <v>16</v>
      </c>
      <c r="H181" s="37" t="e">
        <f>IF(SUMPRODUCT(($C$2:$C$266=$H$166)*($F$2:$F$266=12))=0,"",INDEX($A$2:$A$266,SUMPRODUCT(($C$2:$C$266=$H$166)*($F$2:$F$266=12)*(ROW($C$2:$C$266)-ROW($C$2)+1))))</f>
        <v>#DIV/0!</v>
      </c>
      <c r="I181" s="38" t="str">
        <f>IFERROR(IF(SUMPRODUCT(($C$2:$C$266=$H$166)*($F$2:$F$266=12))=0,"",INDEX($D$2:$D$266,SUMPRODUCT(($C$2:$C$266=$H$166)*($F$2:$F$266=12)*(ROW($C$2:$C$266)-ROW($C$2)+1)))),"")</f>
        <v/>
      </c>
      <c r="J181" s="38" t="str">
        <f>IFERROR(IF(SUMPRODUCT(($C$2:$C$266=$H$166)*($F$2:$F$266=12))=0,"",INDEX($E$2:$E$266,SUMPRODUCT(($C$2:$C$266=$H$166)*($F$2:$F$266=12)*(ROW($C$2:$C$266)-ROW($C$2)+1)))),"")</f>
        <v/>
      </c>
      <c r="K181" s="33"/>
    </row>
    <row r="182" spans="1:11" ht="14.25" customHeight="1" x14ac:dyDescent="0.3">
      <c r="A182" s="21">
        <f t="shared" ref="A182:A188" si="21">$C$172</f>
        <v>0</v>
      </c>
      <c r="B182" s="21"/>
      <c r="C182" s="22"/>
      <c r="D182" s="23"/>
      <c r="E182" s="24" t="e">
        <f t="shared" ref="E182:E188" si="22">D182*$D$179</f>
        <v>#DIV/0!</v>
      </c>
      <c r="F182" t="str">
        <f>IF($C182="","",COUNTIF($C$2:$C182,$C182))</f>
        <v/>
      </c>
      <c r="H182" s="37" t="e">
        <f>IF(SUMPRODUCT(($C$2:$C$266=$H$166)*($F$2:$F$266=13))=0,"",INDEX($A$2:$A$266,SUMPRODUCT(($C$2:$C$266=$H$166)*($F$2:$F$266=13)*(ROW($C$2:$C$266)-ROW($C$2)+1))))</f>
        <v>#DIV/0!</v>
      </c>
      <c r="I182" s="38" t="str">
        <f>IFERROR(IF(SUMPRODUCT(($C$2:$C$266=$H$166)*($F$2:$F$266=13))=0,"",INDEX($D$2:$D$266,SUMPRODUCT(($C$2:$C$266=$H$166)*($F$2:$F$266=13)*(ROW($C$2:$C$266)-ROW($C$2)+1)))),"")</f>
        <v/>
      </c>
      <c r="J182" s="38" t="str">
        <f>IFERROR(IF(SUMPRODUCT(($C$2:$C$266=$H$166)*($F$2:$F$266=13))=0,"",INDEX($E$2:$E$266,SUMPRODUCT(($C$2:$C$266=$H$166)*($F$2:$F$266=13)*(ROW($C$2:$C$266)-ROW($C$2)+1)))),"")</f>
        <v/>
      </c>
      <c r="K182" s="33"/>
    </row>
    <row r="183" spans="1:11" ht="14.25" customHeight="1" x14ac:dyDescent="0.3">
      <c r="A183" s="21">
        <f t="shared" si="21"/>
        <v>0</v>
      </c>
      <c r="B183" s="21"/>
      <c r="C183" s="22"/>
      <c r="D183" s="23"/>
      <c r="E183" s="24" t="e">
        <f t="shared" si="22"/>
        <v>#DIV/0!</v>
      </c>
      <c r="F183" t="str">
        <f>IF($C183="","",COUNTIF($C$2:$C183,$C183))</f>
        <v/>
      </c>
      <c r="H183" s="37" t="e">
        <f>IF(SUMPRODUCT(($C$2:$C$266=$H$166)*($F$2:$F$266=14))=0,"",INDEX($A$2:$A$266,SUMPRODUCT(($C$2:$C$266=$H$166)*($F$2:$F$266=14)*(ROW($C$2:$C$266)-ROW($C$2)+1))))</f>
        <v>#DIV/0!</v>
      </c>
      <c r="I183" s="38" t="str">
        <f>IFERROR(IF(SUMPRODUCT(($C$2:$C$266=$H$166)*($F$2:$F$266=14))=0,"",INDEX($D$2:$D$266,SUMPRODUCT(($C$2:$C$266=$H$166)*($F$2:$F$266=14)*(ROW($C$2:$C$266)-ROW($C$2)+1)))),"")</f>
        <v/>
      </c>
      <c r="J183" s="38" t="str">
        <f>IFERROR(IF(SUMPRODUCT(($C$2:$C$266=$H$166)*($F$2:$F$266=14))=0,"",INDEX($E$2:$E$266,SUMPRODUCT(($C$2:$C$266=$H$166)*($F$2:$F$266=14)*(ROW($C$2:$C$266)-ROW($C$2)+1)))),"")</f>
        <v/>
      </c>
      <c r="K183" s="33"/>
    </row>
    <row r="184" spans="1:11" ht="14.25" customHeight="1" x14ac:dyDescent="0.3">
      <c r="A184" s="21">
        <f t="shared" si="21"/>
        <v>0</v>
      </c>
      <c r="B184" s="21"/>
      <c r="C184" s="22"/>
      <c r="D184" s="23"/>
      <c r="E184" s="24" t="e">
        <f t="shared" si="22"/>
        <v>#DIV/0!</v>
      </c>
      <c r="F184" t="str">
        <f>IF($C184="","",COUNTIF($C$2:$C184,$C184))</f>
        <v/>
      </c>
      <c r="H184" s="37" t="e">
        <f>IF(SUMPRODUCT(($C$2:$C$266=$H$166)*($F$2:$F$266=15))=0,"",INDEX($A$2:$A$266,SUMPRODUCT(($C$2:$C$266=$H$166)*($F$2:$F$266=15)*(ROW($C$2:$C$266)-ROW($C$2)+1))))</f>
        <v>#DIV/0!</v>
      </c>
      <c r="I184" s="38" t="str">
        <f>IFERROR(IF(SUMPRODUCT(($C$2:$C$266=$H$166)*($F$2:$F$266=15))=0,"",INDEX($D$2:$D$266,SUMPRODUCT(($C$2:$C$266=$H$166)*($F$2:$F$266=15)*(ROW($C$2:$C$266)-ROW($C$2)+1)))),"")</f>
        <v/>
      </c>
      <c r="J184" s="38" t="str">
        <f>IFERROR(IF(SUMPRODUCT(($C$2:$C$266=$H$166)*($F$2:$F$266=15))=0,"",INDEX($E$2:$E$266,SUMPRODUCT(($C$2:$C$266=$H$166)*($F$2:$F$266=15)*(ROW($C$2:$C$266)-ROW($C$2)+1)))),"")</f>
        <v/>
      </c>
      <c r="K184" s="33"/>
    </row>
    <row r="185" spans="1:11" ht="14.25" customHeight="1" x14ac:dyDescent="0.3">
      <c r="A185" s="21">
        <f t="shared" si="21"/>
        <v>0</v>
      </c>
      <c r="B185" s="21"/>
      <c r="C185" s="22"/>
      <c r="D185" s="23"/>
      <c r="E185" s="24" t="e">
        <f t="shared" si="22"/>
        <v>#DIV/0!</v>
      </c>
      <c r="F185" t="str">
        <f>IF($C185="","",COUNTIF($C$2:$C185,$C185))</f>
        <v/>
      </c>
      <c r="H185" s="37" t="e">
        <f>IF(SUMPRODUCT(($C$2:$C$266=$H$166)*($F$2:$F$266=16))=0,"",INDEX($A$2:$A$266,SUMPRODUCT(($C$2:$C$266=$H$166)*($F$2:$F$266=16)*(ROW($C$2:$C$266)-ROW($C$2)+1))))</f>
        <v>#DIV/0!</v>
      </c>
      <c r="I185" s="38" t="str">
        <f>IFERROR(IF(SUMPRODUCT(($C$2:$C$266=$H$166)*($F$2:$F$266=16))=0,"",INDEX($D$2:$D$266,SUMPRODUCT(($C$2:$C$266=$H$166)*($F$2:$F$266=16)*(ROW($C$2:$C$266)-ROW($C$2)+1)))),"")</f>
        <v/>
      </c>
      <c r="J185" s="38" t="str">
        <f>IFERROR(IF(SUMPRODUCT(($C$2:$C$266=$H$166)*($F$2:$F$266=16))=0,"",INDEX($E$2:$E$266,SUMPRODUCT(($C$2:$C$266=$H$166)*($F$2:$F$266=16)*(ROW($C$2:$C$266)-ROW($C$2)+1)))),"")</f>
        <v/>
      </c>
      <c r="K185" s="33"/>
    </row>
    <row r="186" spans="1:11" ht="14.25" customHeight="1" x14ac:dyDescent="0.3">
      <c r="A186" s="21">
        <f t="shared" si="21"/>
        <v>0</v>
      </c>
      <c r="B186" s="21"/>
      <c r="C186" s="22"/>
      <c r="D186" s="23"/>
      <c r="E186" s="24" t="e">
        <f t="shared" si="22"/>
        <v>#DIV/0!</v>
      </c>
      <c r="F186" t="str">
        <f>IF($C186="","",COUNTIF($C$2:$C186,$C186))</f>
        <v/>
      </c>
      <c r="H186" s="34" t="str">
        <f>H12</f>
        <v>Mikaela Sosa Fuentes</v>
      </c>
      <c r="I186" s="32"/>
      <c r="J186" s="32"/>
      <c r="K186" s="33"/>
    </row>
    <row r="187" spans="1:11" ht="14.25" customHeight="1" x14ac:dyDescent="0.3">
      <c r="A187" s="21">
        <f t="shared" si="21"/>
        <v>0</v>
      </c>
      <c r="B187" s="21"/>
      <c r="C187" s="22"/>
      <c r="D187" s="23"/>
      <c r="E187" s="24" t="e">
        <f t="shared" si="22"/>
        <v>#DIV/0!</v>
      </c>
      <c r="F187" t="str">
        <f>IF($C187="","",COUNTIF($C$2:$C187,$C187))</f>
        <v/>
      </c>
      <c r="H187" s="35" t="s">
        <v>26</v>
      </c>
      <c r="I187" s="32">
        <f>IFERROR(SUMIF($C$2:$C$266,H186,$D$2:$D$266),0)</f>
        <v>0</v>
      </c>
      <c r="J187" s="32"/>
      <c r="K187" s="33"/>
    </row>
    <row r="188" spans="1:11" ht="14.25" customHeight="1" x14ac:dyDescent="0.3">
      <c r="A188" s="21">
        <f t="shared" si="21"/>
        <v>0</v>
      </c>
      <c r="B188" s="21"/>
      <c r="C188" s="22"/>
      <c r="D188" s="23"/>
      <c r="E188" s="24" t="e">
        <f t="shared" si="22"/>
        <v>#DIV/0!</v>
      </c>
      <c r="F188" t="str">
        <f>IF($C188="","",COUNTIF($C$2:$C188,$C188))</f>
        <v/>
      </c>
      <c r="H188" s="35" t="s">
        <v>27</v>
      </c>
      <c r="I188" s="32">
        <f>IFERROR(SUMIF($C$2:$C$266,H186,$E$2:$E$266),0)</f>
        <v>0</v>
      </c>
      <c r="J188" s="32"/>
      <c r="K188" s="33"/>
    </row>
    <row r="189" spans="1:11" ht="15" customHeight="1" x14ac:dyDescent="0.3">
      <c r="C189" s="25" t="s">
        <v>24</v>
      </c>
      <c r="D189" s="26"/>
      <c r="E189" s="27" t="e">
        <f>SUM(E182:E188)</f>
        <v>#DIV/0!</v>
      </c>
      <c r="H189" s="18" t="s">
        <v>28</v>
      </c>
      <c r="I189" s="20" t="s">
        <v>15</v>
      </c>
      <c r="J189" s="20" t="s">
        <v>16</v>
      </c>
      <c r="K189" s="33"/>
    </row>
    <row r="190" spans="1:11" ht="15" customHeight="1" x14ac:dyDescent="0.3">
      <c r="H190" s="37" t="e">
        <f>IF(SUMPRODUCT(($C$2:$C$266=$H$186)*($F$2:$F$266=1))=0,"No entries yet",INDEX($A$2:$A$266,SUMPRODUCT(($C$2:$C$266=$H$186)*($F$2:$F$266=1)*(ROW($C$2:$C$266)-ROW($C$2)+1))))</f>
        <v>#DIV/0!</v>
      </c>
      <c r="I190" s="38" t="str">
        <f>IFERROR(IF(SUMPRODUCT(($C$2:$C$266=$H$186)*($F$2:$F$266=1))=0,"",INDEX($D$2:$D$266,SUMPRODUCT(($C$2:$C$266=$H$186)*($F$2:$F$266=1)*(ROW($C$2:$C$266)-ROW($C$2)+1)))),"")</f>
        <v/>
      </c>
      <c r="J190" s="38" t="str">
        <f>IFERROR(IF(SUMPRODUCT(($C$2:$C$266=$H$186)*($F$2:$F$266=1))=0,"",INDEX($E$2:$E$266,SUMPRODUCT(($C$2:$C$266=$H$186)*($F$2:$F$266=1)*(ROW($C$2:$C$266)-ROW($C$2)+1)))),"")</f>
        <v/>
      </c>
      <c r="K190" s="33"/>
    </row>
    <row r="191" spans="1:11" ht="15" customHeight="1" x14ac:dyDescent="0.3">
      <c r="C191" s="4"/>
      <c r="D191" s="4"/>
      <c r="E191" s="4"/>
      <c r="H191" s="37" t="e">
        <f>IF(SUMPRODUCT(($C$2:$C$266=$H$186)*($F$2:$F$266=2))=0,"",INDEX($A$2:$A$266,SUMPRODUCT(($C$2:$C$266=$H$186)*($F$2:$F$266=2)*(ROW($C$2:$C$266)-ROW($C$2)+1))))</f>
        <v>#DIV/0!</v>
      </c>
      <c r="I191" s="38" t="str">
        <f>IFERROR(IF(SUMPRODUCT(($C$2:$C$266=$H$186)*($F$2:$F$266=2))=0,"",INDEX($D$2:$D$266,SUMPRODUCT(($C$2:$C$266=$H$186)*($F$2:$F$266=2)*(ROW($C$2:$C$266)-ROW($C$2)+1)))),"")</f>
        <v/>
      </c>
      <c r="J191" s="38" t="str">
        <f>IFERROR(IF(SUMPRODUCT(($C$2:$C$266=$H$186)*($F$2:$F$266=2))=0,"",INDEX($E$2:$E$266,SUMPRODUCT(($C$2:$C$266=$H$186)*($F$2:$F$266=2)*(ROW($C$2:$C$266)-ROW($C$2)+1)))),"")</f>
        <v/>
      </c>
      <c r="K191" s="33"/>
    </row>
    <row r="192" spans="1:11" ht="15" customHeight="1" x14ac:dyDescent="0.3">
      <c r="C192" s="28"/>
      <c r="E192" s="29"/>
      <c r="H192" s="37" t="e">
        <f>IF(SUMPRODUCT(($C$2:$C$266=$H$186)*($F$2:$F$266=3))=0,"",INDEX($A$2:$A$266,SUMPRODUCT(($C$2:$C$266=$H$186)*($F$2:$F$266=3)*(ROW($C$2:$C$266)-ROW($C$2)+1))))</f>
        <v>#DIV/0!</v>
      </c>
      <c r="I192" s="38" t="str">
        <f>IFERROR(IF(SUMPRODUCT(($C$2:$C$266=$H$186)*($F$2:$F$266=3))=0,"",INDEX($D$2:$D$266,SUMPRODUCT(($C$2:$C$266=$H$186)*($F$2:$F$266=3)*(ROW($C$2:$C$266)-ROW($C$2)+1)))),"")</f>
        <v/>
      </c>
      <c r="J192" s="38" t="str">
        <f>IFERROR(IF(SUMPRODUCT(($C$2:$C$266=$H$186)*($F$2:$F$266=3))=0,"",INDEX($E$2:$E$266,SUMPRODUCT(($C$2:$C$266=$H$186)*($F$2:$F$266=3)*(ROW($C$2:$C$266)-ROW($C$2)+1)))),"")</f>
        <v/>
      </c>
      <c r="K192" s="33"/>
    </row>
    <row r="193" spans="1:11" ht="14.25" customHeight="1" x14ac:dyDescent="0.3">
      <c r="C193" s="10" t="s">
        <v>5</v>
      </c>
      <c r="D193" s="11"/>
      <c r="E193" s="12"/>
      <c r="H193" s="37" t="e">
        <f>IF(SUMPRODUCT(($C$2:$C$266=$H$186)*($F$2:$F$266=4))=0,"",INDEX($A$2:$A$266,SUMPRODUCT(($C$2:$C$266=$H$186)*($F$2:$F$266=4)*(ROW($C$2:$C$266)-ROW($C$2)+1))))</f>
        <v>#DIV/0!</v>
      </c>
      <c r="I193" s="38" t="str">
        <f>IFERROR(IF(SUMPRODUCT(($C$2:$C$266=$H$186)*($F$2:$F$266=4))=0,"",INDEX($D$2:$D$266,SUMPRODUCT(($C$2:$C$266=$H$186)*($F$2:$F$266=4)*(ROW($C$2:$C$266)-ROW($C$2)+1)))),"")</f>
        <v/>
      </c>
      <c r="J193" s="38" t="str">
        <f>IFERROR(IF(SUMPRODUCT(($C$2:$C$266=$H$186)*($F$2:$F$266=4))=0,"",INDEX($E$2:$E$266,SUMPRODUCT(($C$2:$C$266=$H$186)*($F$2:$F$266=4)*(ROW($C$2:$C$266)-ROW($C$2)+1)))),"")</f>
        <v/>
      </c>
      <c r="K193" s="33"/>
    </row>
    <row r="194" spans="1:11" ht="14.25" customHeight="1" x14ac:dyDescent="0.3">
      <c r="C194" s="10" t="s">
        <v>7</v>
      </c>
      <c r="D194" s="15"/>
      <c r="E194" s="16"/>
      <c r="H194" s="37" t="e">
        <f>IF(SUMPRODUCT(($C$2:$C$266=$H$186)*($F$2:$F$266=5))=0,"",INDEX($A$2:$A$266,SUMPRODUCT(($C$2:$C$266=$H$186)*($F$2:$F$266=5)*(ROW($C$2:$C$266)-ROW($C$2)+1))))</f>
        <v>#DIV/0!</v>
      </c>
      <c r="I194" s="38" t="str">
        <f>IFERROR(IF(SUMPRODUCT(($C$2:$C$266=$H$186)*($F$2:$F$266=5))=0,"",INDEX($D$2:$D$266,SUMPRODUCT(($C$2:$C$266=$H$186)*($F$2:$F$266=5)*(ROW($C$2:$C$266)-ROW($C$2)+1)))),"")</f>
        <v/>
      </c>
      <c r="J194" s="38" t="str">
        <f>IFERROR(IF(SUMPRODUCT(($C$2:$C$266=$H$186)*($F$2:$F$266=5))=0,"",INDEX($E$2:$E$266,SUMPRODUCT(($C$2:$C$266=$H$186)*($F$2:$F$266=5)*(ROW($C$2:$C$266)-ROW($C$2)+1)))),"")</f>
        <v/>
      </c>
      <c r="K194" s="33"/>
    </row>
    <row r="195" spans="1:11" ht="14.25" customHeight="1" x14ac:dyDescent="0.3">
      <c r="C195" s="10" t="s">
        <v>9</v>
      </c>
      <c r="D195" s="10"/>
      <c r="E195" s="12"/>
      <c r="H195" s="37" t="e">
        <f>IF(SUMPRODUCT(($C$2:$C$266=$H$186)*($F$2:$F$266=6))=0,"",INDEX($A$2:$A$266,SUMPRODUCT(($C$2:$C$266=$H$186)*($F$2:$F$266=6)*(ROW($C$2:$C$266)-ROW($C$2)+1))))</f>
        <v>#DIV/0!</v>
      </c>
      <c r="I195" s="38" t="str">
        <f>IFERROR(IF(SUMPRODUCT(($C$2:$C$266=$H$186)*($F$2:$F$266=6))=0,"",INDEX($D$2:$D$266,SUMPRODUCT(($C$2:$C$266=$H$186)*($F$2:$F$266=6)*(ROW($C$2:$C$266)-ROW($C$2)+1)))),"")</f>
        <v/>
      </c>
      <c r="J195" s="38" t="str">
        <f>IFERROR(IF(SUMPRODUCT(($C$2:$C$266=$H$186)*($F$2:$F$266=6))=0,"",INDEX($E$2:$E$266,SUMPRODUCT(($C$2:$C$266=$H$186)*($F$2:$F$266=6)*(ROW($C$2:$C$266)-ROW($C$2)+1)))),"")</f>
        <v/>
      </c>
      <c r="K195" s="33"/>
    </row>
    <row r="196" spans="1:11" ht="14.25" customHeight="1" x14ac:dyDescent="0.3">
      <c r="C196" s="10" t="s">
        <v>2</v>
      </c>
      <c r="D196" s="17">
        <f>SUM(D193:D195)</f>
        <v>0</v>
      </c>
      <c r="E196" s="12"/>
      <c r="H196" s="37" t="e">
        <f>IF(SUMPRODUCT(($C$2:$C$266=$H$186)*($F$2:$F$266=7))=0,"",INDEX($A$2:$A$266,SUMPRODUCT(($C$2:$C$266=$H$186)*($F$2:$F$266=7)*(ROW($C$2:$C$266)-ROW($C$2)+1))))</f>
        <v>#DIV/0!</v>
      </c>
      <c r="I196" s="38" t="str">
        <f>IFERROR(IF(SUMPRODUCT(($C$2:$C$266=$H$186)*($F$2:$F$266=7))=0,"",INDEX($D$2:$D$266,SUMPRODUCT(($C$2:$C$266=$H$186)*($F$2:$F$266=7)*(ROW($C$2:$C$266)-ROW($C$2)+1)))),"")</f>
        <v/>
      </c>
      <c r="J196" s="38" t="str">
        <f>IFERROR(IF(SUMPRODUCT(($C$2:$C$266=$H$186)*($F$2:$F$266=7))=0,"",INDEX($E$2:$E$266,SUMPRODUCT(($C$2:$C$266=$H$186)*($F$2:$F$266=7)*(ROW($C$2:$C$266)-ROW($C$2)+1)))),"")</f>
        <v/>
      </c>
      <c r="K196" s="33"/>
    </row>
    <row r="197" spans="1:11" ht="14.25" customHeight="1" x14ac:dyDescent="0.3">
      <c r="C197" s="10" t="s">
        <v>3</v>
      </c>
      <c r="D197" s="10">
        <f>SUM(D201:D207)</f>
        <v>0</v>
      </c>
      <c r="E197" s="12"/>
      <c r="H197" s="37" t="e">
        <f>IF(SUMPRODUCT(($C$2:$C$266=$H$186)*($F$2:$F$266=8))=0,"",INDEX($A$2:$A$266,SUMPRODUCT(($C$2:$C$266=$H$186)*($F$2:$F$266=8)*(ROW($C$2:$C$266)-ROW($C$2)+1))))</f>
        <v>#DIV/0!</v>
      </c>
      <c r="I197" s="38" t="str">
        <f>IFERROR(IF(SUMPRODUCT(($C$2:$C$266=$H$186)*($F$2:$F$266=8))=0,"",INDEX($D$2:$D$266,SUMPRODUCT(($C$2:$C$266=$H$186)*($F$2:$F$266=8)*(ROW($C$2:$C$266)-ROW($C$2)+1)))),"")</f>
        <v/>
      </c>
      <c r="J197" s="38" t="str">
        <f>IFERROR(IF(SUMPRODUCT(($C$2:$C$266=$H$186)*($F$2:$F$266=8))=0,"",INDEX($E$2:$E$266,SUMPRODUCT(($C$2:$C$266=$H$186)*($F$2:$F$266=8)*(ROW($C$2:$C$266)-ROW($C$2)+1)))),"")</f>
        <v/>
      </c>
      <c r="K197" s="33"/>
    </row>
    <row r="198" spans="1:11" ht="14.25" customHeight="1" x14ac:dyDescent="0.3">
      <c r="C198" s="10" t="s">
        <v>13</v>
      </c>
      <c r="D198" s="17" t="e">
        <f>D196/D197</f>
        <v>#DIV/0!</v>
      </c>
      <c r="E198" s="12"/>
      <c r="H198" s="37" t="e">
        <f>IF(SUMPRODUCT(($C$2:$C$266=$H$186)*($F$2:$F$266=9))=0,"",INDEX($A$2:$A$266,SUMPRODUCT(($C$2:$C$266=$H$186)*($F$2:$F$266=9)*(ROW($C$2:$C$266)-ROW($C$2)+1))))</f>
        <v>#DIV/0!</v>
      </c>
      <c r="I198" s="38" t="str">
        <f>IFERROR(IF(SUMPRODUCT(($C$2:$C$266=$H$186)*($F$2:$F$266=9))=0,"",INDEX($D$2:$D$266,SUMPRODUCT(($C$2:$C$266=$H$186)*($F$2:$F$266=9)*(ROW($C$2:$C$266)-ROW($C$2)+1)))),"")</f>
        <v/>
      </c>
      <c r="J198" s="38" t="str">
        <f>IFERROR(IF(SUMPRODUCT(($C$2:$C$266=$H$186)*($F$2:$F$266=9))=0,"",INDEX($E$2:$E$266,SUMPRODUCT(($C$2:$C$266=$H$186)*($F$2:$F$266=9)*(ROW($C$2:$C$266)-ROW($C$2)+1)))),"")</f>
        <v/>
      </c>
      <c r="K198" s="33"/>
    </row>
    <row r="199" spans="1:11" ht="14.25" customHeight="1" x14ac:dyDescent="0.3">
      <c r="C199" s="12"/>
      <c r="D199" s="36"/>
      <c r="E199" s="12"/>
      <c r="H199" s="37" t="e">
        <f>IF(SUMPRODUCT(($C$2:$C$266=$H$186)*($F$2:$F$266=10))=0,"",INDEX($A$2:$A$266,SUMPRODUCT(($C$2:$C$266=$H$186)*($F$2:$F$266=10)*(ROW($C$2:$C$266)-ROW($C$2)+1))))</f>
        <v>#DIV/0!</v>
      </c>
      <c r="I199" s="38" t="str">
        <f>IFERROR(IF(SUMPRODUCT(($C$2:$C$266=$H$186)*($F$2:$F$266=10))=0,"",INDEX($D$2:$D$266,SUMPRODUCT(($C$2:$C$266=$H$186)*($F$2:$F$266=10)*(ROW($C$2:$C$266)-ROW($C$2)+1)))),"")</f>
        <v/>
      </c>
      <c r="J199" s="38" t="str">
        <f>IFERROR(IF(SUMPRODUCT(($C$2:$C$266=$H$186)*($F$2:$F$266=10))=0,"",INDEX($E$2:$E$266,SUMPRODUCT(($C$2:$C$266=$H$186)*($F$2:$F$266=10)*(ROW($C$2:$C$266)-ROW($C$2)+1)))),"")</f>
        <v/>
      </c>
      <c r="K199" s="33"/>
    </row>
    <row r="200" spans="1:11" ht="15" customHeight="1" x14ac:dyDescent="0.3">
      <c r="C200" s="18" t="s">
        <v>1</v>
      </c>
      <c r="D200" s="20" t="s">
        <v>15</v>
      </c>
      <c r="E200" s="20" t="s">
        <v>16</v>
      </c>
      <c r="H200" s="37" t="e">
        <f>IF(SUMPRODUCT(($C$2:$C$266=$H$186)*($F$2:$F$266=11))=0,"",INDEX($A$2:$A$266,SUMPRODUCT(($C$2:$C$266=$H$186)*($F$2:$F$266=11)*(ROW($C$2:$C$266)-ROW($C$2)+1))))</f>
        <v>#DIV/0!</v>
      </c>
      <c r="I200" s="38" t="str">
        <f>IFERROR(IF(SUMPRODUCT(($C$2:$C$266=$H$186)*($F$2:$F$266=11))=0,"",INDEX($D$2:$D$266,SUMPRODUCT(($C$2:$C$266=$H$186)*($F$2:$F$266=11)*(ROW($C$2:$C$266)-ROW($C$2)+1)))),"")</f>
        <v/>
      </c>
      <c r="J200" s="38" t="str">
        <f>IFERROR(IF(SUMPRODUCT(($C$2:$C$266=$H$186)*($F$2:$F$266=11))=0,"",INDEX($E$2:$E$266,SUMPRODUCT(($C$2:$C$266=$H$186)*($F$2:$F$266=11)*(ROW($C$2:$C$266)-ROW($C$2)+1)))),"")</f>
        <v/>
      </c>
      <c r="K200" s="33"/>
    </row>
    <row r="201" spans="1:11" ht="14.25" customHeight="1" x14ac:dyDescent="0.3">
      <c r="A201" s="21">
        <f t="shared" ref="A201:A207" si="23">$C$191</f>
        <v>0</v>
      </c>
      <c r="B201" s="21"/>
      <c r="C201" s="22"/>
      <c r="D201" s="23"/>
      <c r="E201" s="24" t="e">
        <f t="shared" ref="E201:E206" si="24">D201*$D$198</f>
        <v>#DIV/0!</v>
      </c>
      <c r="F201" t="str">
        <f>IF($C201="","",COUNTIF($C$2:$C201,$C201))</f>
        <v/>
      </c>
      <c r="H201" s="37" t="e">
        <f>IF(SUMPRODUCT(($C$2:$C$266=$H$186)*($F$2:$F$266=12))=0,"",INDEX($A$2:$A$266,SUMPRODUCT(($C$2:$C$266=$H$186)*($F$2:$F$266=12)*(ROW($C$2:$C$266)-ROW($C$2)+1))))</f>
        <v>#DIV/0!</v>
      </c>
      <c r="I201" s="38" t="str">
        <f>IFERROR(IF(SUMPRODUCT(($C$2:$C$266=$H$186)*($F$2:$F$266=12))=0,"",INDEX($D$2:$D$266,SUMPRODUCT(($C$2:$C$266=$H$186)*($F$2:$F$266=12)*(ROW($C$2:$C$266)-ROW($C$2)+1)))),"")</f>
        <v/>
      </c>
      <c r="J201" s="38" t="str">
        <f>IFERROR(IF(SUMPRODUCT(($C$2:$C$266=$H$186)*($F$2:$F$266=12))=0,"",INDEX($E$2:$E$266,SUMPRODUCT(($C$2:$C$266=$H$186)*($F$2:$F$266=12)*(ROW($C$2:$C$266)-ROW($C$2)+1)))),"")</f>
        <v/>
      </c>
      <c r="K201" s="33"/>
    </row>
    <row r="202" spans="1:11" ht="14.25" customHeight="1" x14ac:dyDescent="0.3">
      <c r="A202" s="21">
        <f t="shared" si="23"/>
        <v>0</v>
      </c>
      <c r="B202" s="21"/>
      <c r="C202" s="22"/>
      <c r="D202" s="23"/>
      <c r="E202" s="24" t="e">
        <f t="shared" si="24"/>
        <v>#DIV/0!</v>
      </c>
      <c r="F202" t="str">
        <f>IF($C202="","",COUNTIF($C$2:$C202,$C202))</f>
        <v/>
      </c>
      <c r="H202" s="37" t="e">
        <f>IF(SUMPRODUCT(($C$2:$C$266=$H$186)*($F$2:$F$266=13))=0,"",INDEX($A$2:$A$266,SUMPRODUCT(($C$2:$C$266=$H$186)*($F$2:$F$266=13)*(ROW($C$2:$C$266)-ROW($C$2)+1))))</f>
        <v>#DIV/0!</v>
      </c>
      <c r="I202" s="38" t="str">
        <f>IFERROR(IF(SUMPRODUCT(($C$2:$C$266=$H$186)*($F$2:$F$266=13))=0,"",INDEX($D$2:$D$266,SUMPRODUCT(($C$2:$C$266=$H$186)*($F$2:$F$266=13)*(ROW($C$2:$C$266)-ROW($C$2)+1)))),"")</f>
        <v/>
      </c>
      <c r="J202" s="38" t="str">
        <f>IFERROR(IF(SUMPRODUCT(($C$2:$C$266=$H$186)*($F$2:$F$266=13))=0,"",INDEX($E$2:$E$266,SUMPRODUCT(($C$2:$C$266=$H$186)*($F$2:$F$266=13)*(ROW($C$2:$C$266)-ROW($C$2)+1)))),"")</f>
        <v/>
      </c>
      <c r="K202" s="33"/>
    </row>
    <row r="203" spans="1:11" ht="14.25" customHeight="1" x14ac:dyDescent="0.3">
      <c r="A203" s="21">
        <f t="shared" si="23"/>
        <v>0</v>
      </c>
      <c r="B203" s="21"/>
      <c r="C203" s="22"/>
      <c r="D203" s="23"/>
      <c r="E203" s="24" t="e">
        <f t="shared" si="24"/>
        <v>#DIV/0!</v>
      </c>
      <c r="F203" t="str">
        <f>IF($C203="","",COUNTIF($C$2:$C203,$C203))</f>
        <v/>
      </c>
      <c r="H203" s="37" t="e">
        <f>IF(SUMPRODUCT(($C$2:$C$266=$H$186)*($F$2:$F$266=14))=0,"",INDEX($A$2:$A$266,SUMPRODUCT(($C$2:$C$266=$H$186)*($F$2:$F$266=14)*(ROW($C$2:$C$266)-ROW($C$2)+1))))</f>
        <v>#DIV/0!</v>
      </c>
      <c r="I203" s="38" t="str">
        <f>IFERROR(IF(SUMPRODUCT(($C$2:$C$266=$H$186)*($F$2:$F$266=14))=0,"",INDEX($D$2:$D$266,SUMPRODUCT(($C$2:$C$266=$H$186)*($F$2:$F$266=14)*(ROW($C$2:$C$266)-ROW($C$2)+1)))),"")</f>
        <v/>
      </c>
      <c r="J203" s="38" t="str">
        <f>IFERROR(IF(SUMPRODUCT(($C$2:$C$266=$H$186)*($F$2:$F$266=14))=0,"",INDEX($E$2:$E$266,SUMPRODUCT(($C$2:$C$266=$H$186)*($F$2:$F$266=14)*(ROW($C$2:$C$266)-ROW($C$2)+1)))),"")</f>
        <v/>
      </c>
      <c r="K203" s="33"/>
    </row>
    <row r="204" spans="1:11" ht="14.25" customHeight="1" x14ac:dyDescent="0.3">
      <c r="A204" s="21">
        <f t="shared" si="23"/>
        <v>0</v>
      </c>
      <c r="B204" s="21"/>
      <c r="C204" s="22"/>
      <c r="D204" s="23"/>
      <c r="E204" s="24" t="e">
        <f t="shared" si="24"/>
        <v>#DIV/0!</v>
      </c>
      <c r="F204" t="str">
        <f>IF($C204="","",COUNTIF($C$2:$C204,$C204))</f>
        <v/>
      </c>
      <c r="H204" s="37" t="e">
        <f>IF(SUMPRODUCT(($C$2:$C$266=$H$186)*($F$2:$F$266=15))=0,"",INDEX($A$2:$A$266,SUMPRODUCT(($C$2:$C$266=$H$186)*($F$2:$F$266=15)*(ROW($C$2:$C$266)-ROW($C$2)+1))))</f>
        <v>#DIV/0!</v>
      </c>
      <c r="I204" s="38" t="str">
        <f>IFERROR(IF(SUMPRODUCT(($C$2:$C$266=$H$186)*($F$2:$F$266=15))=0,"",INDEX($D$2:$D$266,SUMPRODUCT(($C$2:$C$266=$H$186)*($F$2:$F$266=15)*(ROW($C$2:$C$266)-ROW($C$2)+1)))),"")</f>
        <v/>
      </c>
      <c r="J204" s="38" t="str">
        <f>IFERROR(IF(SUMPRODUCT(($C$2:$C$266=$H$186)*($F$2:$F$266=15))=0,"",INDEX($E$2:$E$266,SUMPRODUCT(($C$2:$C$266=$H$186)*($F$2:$F$266=15)*(ROW($C$2:$C$266)-ROW($C$2)+1)))),"")</f>
        <v/>
      </c>
      <c r="K204" s="33"/>
    </row>
    <row r="205" spans="1:11" ht="14.25" customHeight="1" x14ac:dyDescent="0.3">
      <c r="A205" s="21">
        <f t="shared" si="23"/>
        <v>0</v>
      </c>
      <c r="B205" s="21"/>
      <c r="C205" s="22"/>
      <c r="D205" s="23"/>
      <c r="E205" s="24" t="e">
        <f t="shared" si="24"/>
        <v>#DIV/0!</v>
      </c>
      <c r="F205" t="str">
        <f>IF($C205="","",COUNTIF($C$2:$C205,$C205))</f>
        <v/>
      </c>
      <c r="H205" s="37" t="e">
        <f>IF(SUMPRODUCT(($C$2:$C$266=$H$186)*($F$2:$F$266=16))=0,"",INDEX($A$2:$A$266,SUMPRODUCT(($C$2:$C$266=$H$186)*($F$2:$F$266=16)*(ROW($C$2:$C$266)-ROW($C$2)+1))))</f>
        <v>#DIV/0!</v>
      </c>
      <c r="I205" s="38" t="str">
        <f>IFERROR(IF(SUMPRODUCT(($C$2:$C$266=$H$186)*($F$2:$F$266=16))=0,"",INDEX($D$2:$D$266,SUMPRODUCT(($C$2:$C$266=$H$186)*($F$2:$F$266=16)*(ROW($C$2:$C$266)-ROW($C$2)+1)))),"")</f>
        <v/>
      </c>
      <c r="J205" s="38" t="str">
        <f>IFERROR(IF(SUMPRODUCT(($C$2:$C$266=$H$186)*($F$2:$F$266=16))=0,"",INDEX($E$2:$E$266,SUMPRODUCT(($C$2:$C$266=$H$186)*($F$2:$F$266=16)*(ROW($C$2:$C$266)-ROW($C$2)+1)))),"")</f>
        <v/>
      </c>
      <c r="K205" s="33"/>
    </row>
    <row r="206" spans="1:11" ht="14.25" customHeight="1" x14ac:dyDescent="0.3">
      <c r="A206" s="21">
        <f t="shared" si="23"/>
        <v>0</v>
      </c>
      <c r="B206" s="21"/>
      <c r="C206" s="22"/>
      <c r="D206" s="23"/>
      <c r="E206" s="24" t="e">
        <f t="shared" si="24"/>
        <v>#DIV/0!</v>
      </c>
      <c r="F206" t="str">
        <f>IF($C206="","",COUNTIF($C$2:$C206,$C206))</f>
        <v/>
      </c>
      <c r="H206" s="34" t="str">
        <f>H13</f>
        <v>Natalie Dreyer</v>
      </c>
      <c r="I206" s="32"/>
      <c r="J206" s="32"/>
      <c r="K206" s="33"/>
    </row>
    <row r="207" spans="1:11" ht="14.25" customHeight="1" x14ac:dyDescent="0.3">
      <c r="A207" s="21">
        <f t="shared" si="23"/>
        <v>0</v>
      </c>
      <c r="B207" s="21"/>
      <c r="C207" s="22"/>
      <c r="D207" s="23"/>
      <c r="E207" s="24" t="e">
        <f>D207*D$9</f>
        <v>#DIV/0!</v>
      </c>
      <c r="F207" t="str">
        <f>IF($C207="","",COUNTIF($C$2:$C207,$C207))</f>
        <v/>
      </c>
      <c r="H207" s="35" t="s">
        <v>26</v>
      </c>
      <c r="I207" s="32">
        <f>IFERROR(SUMIF($C$2:$C$266,H206,$D$2:$D$266),0)</f>
        <v>0</v>
      </c>
      <c r="J207" s="32"/>
      <c r="K207" s="33"/>
    </row>
    <row r="208" spans="1:11" ht="15" customHeight="1" x14ac:dyDescent="0.3">
      <c r="C208" s="25" t="s">
        <v>24</v>
      </c>
      <c r="D208" s="26"/>
      <c r="E208" s="27" t="e">
        <f>SUM(E201:E207)</f>
        <v>#DIV/0!</v>
      </c>
      <c r="H208" s="35" t="s">
        <v>27</v>
      </c>
      <c r="I208" s="32">
        <f>IFERROR(SUMIF($C$2:$C$266,H206,$E$2:$E$266),0)</f>
        <v>0</v>
      </c>
      <c r="J208" s="32"/>
      <c r="K208" s="33"/>
    </row>
    <row r="209" spans="1:11" ht="15" customHeight="1" x14ac:dyDescent="0.3">
      <c r="H209" s="18" t="s">
        <v>28</v>
      </c>
      <c r="I209" s="20" t="s">
        <v>15</v>
      </c>
      <c r="J209" s="20" t="s">
        <v>16</v>
      </c>
      <c r="K209" s="33"/>
    </row>
    <row r="210" spans="1:11" ht="15" customHeight="1" x14ac:dyDescent="0.3">
      <c r="C210" s="4"/>
      <c r="D210" s="4"/>
      <c r="E210" s="4"/>
      <c r="H210" s="37" t="e">
        <f>IF(SUMPRODUCT(($C$2:$C$266=$H$206)*($F$2:$F$266=1))=0,"No entries yet",INDEX($A$2:$A$266,SUMPRODUCT(($C$2:$C$266=$H$206)*($F$2:$F$266=1)*(ROW($C$2:$C$266)-ROW($C$2)+1))))</f>
        <v>#DIV/0!</v>
      </c>
      <c r="I210" s="38" t="str">
        <f>IFERROR(IF(SUMPRODUCT(($C$2:$C$266=$H$206)*($F$2:$F$266=1))=0,"",INDEX($D$2:$D$266,SUMPRODUCT(($C$2:$C$266=$H$206)*($F$2:$F$266=1)*(ROW($C$2:$C$266)-ROW($C$2)+1)))),"")</f>
        <v/>
      </c>
      <c r="J210" s="38" t="str">
        <f>IFERROR(IF(SUMPRODUCT(($C$2:$C$266=$H$206)*($F$2:$F$266=1))=0,"",INDEX($E$2:$E$266,SUMPRODUCT(($C$2:$C$266=$H$206)*($F$2:$F$266=1)*(ROW($C$2:$C$266)-ROW($C$2)+1)))),"")</f>
        <v/>
      </c>
      <c r="K210" s="33"/>
    </row>
    <row r="211" spans="1:11" ht="15" customHeight="1" x14ac:dyDescent="0.3">
      <c r="C211" s="28"/>
      <c r="E211" s="29"/>
      <c r="H211" s="37" t="e">
        <f>IF(SUMPRODUCT(($C$2:$C$266=$H$206)*($F$2:$F$266=2))=0,"",INDEX($A$2:$A$266,SUMPRODUCT(($C$2:$C$266=$H$206)*($F$2:$F$266=2)*(ROW($C$2:$C$266)-ROW($C$2)+1))))</f>
        <v>#DIV/0!</v>
      </c>
      <c r="I211" s="38" t="str">
        <f>IFERROR(IF(SUMPRODUCT(($C$2:$C$266=$H$206)*($F$2:$F$266=2))=0,"",INDEX($D$2:$D$266,SUMPRODUCT(($C$2:$C$266=$H$206)*($F$2:$F$266=2)*(ROW($C$2:$C$266)-ROW($C$2)+1)))),"")</f>
        <v/>
      </c>
      <c r="J211" s="38" t="str">
        <f>IFERROR(IF(SUMPRODUCT(($C$2:$C$266=$H$206)*($F$2:$F$266=2))=0,"",INDEX($E$2:$E$266,SUMPRODUCT(($C$2:$C$266=$H$206)*($F$2:$F$266=2)*(ROW($C$2:$C$266)-ROW($C$2)+1)))),"")</f>
        <v/>
      </c>
      <c r="K211" s="33"/>
    </row>
    <row r="212" spans="1:11" ht="14.25" customHeight="1" x14ac:dyDescent="0.3">
      <c r="C212" s="10" t="s">
        <v>5</v>
      </c>
      <c r="D212" s="11"/>
      <c r="E212" s="12"/>
      <c r="H212" s="37" t="e">
        <f>IF(SUMPRODUCT(($C$2:$C$266=$H$206)*($F$2:$F$266=3))=0,"",INDEX($A$2:$A$266,SUMPRODUCT(($C$2:$C$266=$H$206)*($F$2:$F$266=3)*(ROW($C$2:$C$266)-ROW($C$2)+1))))</f>
        <v>#DIV/0!</v>
      </c>
      <c r="I212" s="38" t="str">
        <f>IFERROR(IF(SUMPRODUCT(($C$2:$C$266=$H$206)*($F$2:$F$266=3))=0,"",INDEX($D$2:$D$266,SUMPRODUCT(($C$2:$C$266=$H$206)*($F$2:$F$266=3)*(ROW($C$2:$C$266)-ROW($C$2)+1)))),"")</f>
        <v/>
      </c>
      <c r="J212" s="38" t="str">
        <f>IFERROR(IF(SUMPRODUCT(($C$2:$C$266=$H$206)*($F$2:$F$266=3))=0,"",INDEX($E$2:$E$266,SUMPRODUCT(($C$2:$C$266=$H$206)*($F$2:$F$266=3)*(ROW($C$2:$C$266)-ROW($C$2)+1)))),"")</f>
        <v/>
      </c>
      <c r="K212" s="33"/>
    </row>
    <row r="213" spans="1:11" ht="14.25" customHeight="1" x14ac:dyDescent="0.3">
      <c r="C213" s="10" t="s">
        <v>7</v>
      </c>
      <c r="D213" s="15"/>
      <c r="E213" s="16"/>
      <c r="H213" s="37" t="e">
        <f>IF(SUMPRODUCT(($C$2:$C$266=$H$206)*($F$2:$F$266=4))=0,"",INDEX($A$2:$A$266,SUMPRODUCT(($C$2:$C$266=$H$206)*($F$2:$F$266=4)*(ROW($C$2:$C$266)-ROW($C$2)+1))))</f>
        <v>#DIV/0!</v>
      </c>
      <c r="I213" s="38" t="str">
        <f>IFERROR(IF(SUMPRODUCT(($C$2:$C$266=$H$206)*($F$2:$F$266=4))=0,"",INDEX($D$2:$D$266,SUMPRODUCT(($C$2:$C$266=$H$206)*($F$2:$F$266=4)*(ROW($C$2:$C$266)-ROW($C$2)+1)))),"")</f>
        <v/>
      </c>
      <c r="J213" s="38" t="str">
        <f>IFERROR(IF(SUMPRODUCT(($C$2:$C$266=$H$206)*($F$2:$F$266=4))=0,"",INDEX($E$2:$E$266,SUMPRODUCT(($C$2:$C$266=$H$206)*($F$2:$F$266=4)*(ROW($C$2:$C$266)-ROW($C$2)+1)))),"")</f>
        <v/>
      </c>
      <c r="K213" s="33"/>
    </row>
    <row r="214" spans="1:11" ht="14.25" customHeight="1" x14ac:dyDescent="0.3">
      <c r="C214" s="10" t="s">
        <v>9</v>
      </c>
      <c r="D214" s="10"/>
      <c r="E214" s="12"/>
      <c r="H214" s="37" t="e">
        <f>IF(SUMPRODUCT(($C$2:$C$266=$H$206)*($F$2:$F$266=5))=0,"",INDEX($A$2:$A$266,SUMPRODUCT(($C$2:$C$266=$H$206)*($F$2:$F$266=5)*(ROW($C$2:$C$266)-ROW($C$2)+1))))</f>
        <v>#DIV/0!</v>
      </c>
      <c r="I214" s="38" t="str">
        <f>IFERROR(IF(SUMPRODUCT(($C$2:$C$266=$H$206)*($F$2:$F$266=5))=0,"",INDEX($D$2:$D$266,SUMPRODUCT(($C$2:$C$266=$H$206)*($F$2:$F$266=5)*(ROW($C$2:$C$266)-ROW($C$2)+1)))),"")</f>
        <v/>
      </c>
      <c r="J214" s="38" t="str">
        <f>IFERROR(IF(SUMPRODUCT(($C$2:$C$266=$H$206)*($F$2:$F$266=5))=0,"",INDEX($E$2:$E$266,SUMPRODUCT(($C$2:$C$266=$H$206)*($F$2:$F$266=5)*(ROW($C$2:$C$266)-ROW($C$2)+1)))),"")</f>
        <v/>
      </c>
      <c r="K214" s="33"/>
    </row>
    <row r="215" spans="1:11" ht="14.25" customHeight="1" x14ac:dyDescent="0.3">
      <c r="C215" s="10" t="s">
        <v>2</v>
      </c>
      <c r="D215" s="17">
        <f>SUM(D212:D214)</f>
        <v>0</v>
      </c>
      <c r="E215" s="12"/>
      <c r="H215" s="37" t="e">
        <f>IF(SUMPRODUCT(($C$2:$C$266=$H$206)*($F$2:$F$266=6))=0,"",INDEX($A$2:$A$266,SUMPRODUCT(($C$2:$C$266=$H$206)*($F$2:$F$266=6)*(ROW($C$2:$C$266)-ROW($C$2)+1))))</f>
        <v>#DIV/0!</v>
      </c>
      <c r="I215" s="38" t="str">
        <f>IFERROR(IF(SUMPRODUCT(($C$2:$C$266=$H$206)*($F$2:$F$266=6))=0,"",INDEX($D$2:$D$266,SUMPRODUCT(($C$2:$C$266=$H$206)*($F$2:$F$266=6)*(ROW($C$2:$C$266)-ROW($C$2)+1)))),"")</f>
        <v/>
      </c>
      <c r="J215" s="38" t="str">
        <f>IFERROR(IF(SUMPRODUCT(($C$2:$C$266=$H$206)*($F$2:$F$266=6))=0,"",INDEX($E$2:$E$266,SUMPRODUCT(($C$2:$C$266=$H$206)*($F$2:$F$266=6)*(ROW($C$2:$C$266)-ROW($C$2)+1)))),"")</f>
        <v/>
      </c>
      <c r="K215" s="33"/>
    </row>
    <row r="216" spans="1:11" ht="14.25" customHeight="1" x14ac:dyDescent="0.3">
      <c r="C216" s="10" t="s">
        <v>3</v>
      </c>
      <c r="D216" s="10">
        <f>SUM(D220:D226)</f>
        <v>0</v>
      </c>
      <c r="E216" s="12"/>
      <c r="H216" s="37" t="e">
        <f>IF(SUMPRODUCT(($C$2:$C$266=$H$206)*($F$2:$F$266=7))=0,"",INDEX($A$2:$A$266,SUMPRODUCT(($C$2:$C$266=$H$206)*($F$2:$F$266=7)*(ROW($C$2:$C$266)-ROW($C$2)+1))))</f>
        <v>#DIV/0!</v>
      </c>
      <c r="I216" s="38" t="str">
        <f>IFERROR(IF(SUMPRODUCT(($C$2:$C$266=$H$206)*($F$2:$F$266=7))=0,"",INDEX($D$2:$D$266,SUMPRODUCT(($C$2:$C$266=$H$206)*($F$2:$F$266=7)*(ROW($C$2:$C$266)-ROW($C$2)+1)))),"")</f>
        <v/>
      </c>
      <c r="J216" s="38" t="str">
        <f>IFERROR(IF(SUMPRODUCT(($C$2:$C$266=$H$206)*($F$2:$F$266=7))=0,"",INDEX($E$2:$E$266,SUMPRODUCT(($C$2:$C$266=$H$206)*($F$2:$F$266=7)*(ROW($C$2:$C$266)-ROW($C$2)+1)))),"")</f>
        <v/>
      </c>
      <c r="K216" s="33"/>
    </row>
    <row r="217" spans="1:11" ht="14.25" customHeight="1" x14ac:dyDescent="0.3">
      <c r="C217" s="10" t="s">
        <v>13</v>
      </c>
      <c r="D217" s="17" t="e">
        <f>D215/D216</f>
        <v>#DIV/0!</v>
      </c>
      <c r="E217" s="12"/>
      <c r="H217" s="37" t="e">
        <f>IF(SUMPRODUCT(($C$2:$C$266=$H$206)*($F$2:$F$266=8))=0,"",INDEX($A$2:$A$266,SUMPRODUCT(($C$2:$C$266=$H$206)*($F$2:$F$266=8)*(ROW($C$2:$C$266)-ROW($C$2)+1))))</f>
        <v>#DIV/0!</v>
      </c>
      <c r="I217" s="38" t="str">
        <f>IFERROR(IF(SUMPRODUCT(($C$2:$C$266=$H$206)*($F$2:$F$266=8))=0,"",INDEX($D$2:$D$266,SUMPRODUCT(($C$2:$C$266=$H$206)*($F$2:$F$266=8)*(ROW($C$2:$C$266)-ROW($C$2)+1)))),"")</f>
        <v/>
      </c>
      <c r="J217" s="38" t="str">
        <f>IFERROR(IF(SUMPRODUCT(($C$2:$C$266=$H$206)*($F$2:$F$266=8))=0,"",INDEX($E$2:$E$266,SUMPRODUCT(($C$2:$C$266=$H$206)*($F$2:$F$266=8)*(ROW($C$2:$C$266)-ROW($C$2)+1)))),"")</f>
        <v/>
      </c>
      <c r="K217" s="33"/>
    </row>
    <row r="218" spans="1:11" ht="14.25" customHeight="1" x14ac:dyDescent="0.3">
      <c r="C218" s="12"/>
      <c r="D218" s="36"/>
      <c r="E218" s="12"/>
      <c r="H218" s="37" t="e">
        <f>IF(SUMPRODUCT(($C$2:$C$266=$H$206)*($F$2:$F$266=9))=0,"",INDEX($A$2:$A$266,SUMPRODUCT(($C$2:$C$266=$H$206)*($F$2:$F$266=9)*(ROW($C$2:$C$266)-ROW($C$2)+1))))</f>
        <v>#DIV/0!</v>
      </c>
      <c r="I218" s="38" t="str">
        <f>IFERROR(IF(SUMPRODUCT(($C$2:$C$266=$H$206)*($F$2:$F$266=9))=0,"",INDEX($D$2:$D$266,SUMPRODUCT(($C$2:$C$266=$H$206)*($F$2:$F$266=9)*(ROW($C$2:$C$266)-ROW($C$2)+1)))),"")</f>
        <v/>
      </c>
      <c r="J218" s="38" t="str">
        <f>IFERROR(IF(SUMPRODUCT(($C$2:$C$266=$H$206)*($F$2:$F$266=9))=0,"",INDEX($E$2:$E$266,SUMPRODUCT(($C$2:$C$266=$H$206)*($F$2:$F$266=9)*(ROW($C$2:$C$266)-ROW($C$2)+1)))),"")</f>
        <v/>
      </c>
      <c r="K218" s="33"/>
    </row>
    <row r="219" spans="1:11" ht="15" customHeight="1" x14ac:dyDescent="0.3">
      <c r="C219" s="18" t="s">
        <v>1</v>
      </c>
      <c r="D219" s="20" t="s">
        <v>15</v>
      </c>
      <c r="E219" s="20" t="s">
        <v>16</v>
      </c>
      <c r="H219" s="37" t="e">
        <f>IF(SUMPRODUCT(($C$2:$C$266=$H$206)*($F$2:$F$266=10))=0,"",INDEX($A$2:$A$266,SUMPRODUCT(($C$2:$C$266=$H$206)*($F$2:$F$266=10)*(ROW($C$2:$C$266)-ROW($C$2)+1))))</f>
        <v>#DIV/0!</v>
      </c>
      <c r="I219" s="38" t="str">
        <f>IFERROR(IF(SUMPRODUCT(($C$2:$C$266=$H$206)*($F$2:$F$266=10))=0,"",INDEX($D$2:$D$266,SUMPRODUCT(($C$2:$C$266=$H$206)*($F$2:$F$266=10)*(ROW($C$2:$C$266)-ROW($C$2)+1)))),"")</f>
        <v/>
      </c>
      <c r="J219" s="38" t="str">
        <f>IFERROR(IF(SUMPRODUCT(($C$2:$C$266=$H$206)*($F$2:$F$266=10))=0,"",INDEX($E$2:$E$266,SUMPRODUCT(($C$2:$C$266=$H$206)*($F$2:$F$266=10)*(ROW($C$2:$C$266)-ROW($C$2)+1)))),"")</f>
        <v/>
      </c>
      <c r="K219" s="33"/>
    </row>
    <row r="220" spans="1:11" ht="14.25" customHeight="1" x14ac:dyDescent="0.3">
      <c r="A220" s="21">
        <f t="shared" ref="A220:A226" si="25">$C$210</f>
        <v>0</v>
      </c>
      <c r="B220" s="21"/>
      <c r="C220" s="22"/>
      <c r="D220" s="23"/>
      <c r="E220" s="24" t="e">
        <f t="shared" ref="E220:E226" si="26">D220*$D$217</f>
        <v>#DIV/0!</v>
      </c>
      <c r="F220" t="str">
        <f>IF($C220="","",COUNTIF($C$2:$C220,$C220))</f>
        <v/>
      </c>
      <c r="H220" s="37" t="e">
        <f>IF(SUMPRODUCT(($C$2:$C$266=$H$206)*($F$2:$F$266=11))=0,"",INDEX($A$2:$A$266,SUMPRODUCT(($C$2:$C$266=$H$206)*($F$2:$F$266=11)*(ROW($C$2:$C$266)-ROW($C$2)+1))))</f>
        <v>#DIV/0!</v>
      </c>
      <c r="I220" s="38" t="str">
        <f>IFERROR(IF(SUMPRODUCT(($C$2:$C$266=$H$206)*($F$2:$F$266=11))=0,"",INDEX($D$2:$D$266,SUMPRODUCT(($C$2:$C$266=$H$206)*($F$2:$F$266=11)*(ROW($C$2:$C$266)-ROW($C$2)+1)))),"")</f>
        <v/>
      </c>
      <c r="J220" s="38" t="str">
        <f>IFERROR(IF(SUMPRODUCT(($C$2:$C$266=$H$206)*($F$2:$F$266=11))=0,"",INDEX($E$2:$E$266,SUMPRODUCT(($C$2:$C$266=$H$206)*($F$2:$F$266=11)*(ROW($C$2:$C$266)-ROW($C$2)+1)))),"")</f>
        <v/>
      </c>
      <c r="K220" s="33"/>
    </row>
    <row r="221" spans="1:11" ht="14.25" customHeight="1" x14ac:dyDescent="0.3">
      <c r="A221" s="21">
        <f t="shared" si="25"/>
        <v>0</v>
      </c>
      <c r="B221" s="21"/>
      <c r="C221" s="22"/>
      <c r="D221" s="23"/>
      <c r="E221" s="24" t="e">
        <f t="shared" si="26"/>
        <v>#DIV/0!</v>
      </c>
      <c r="F221" t="str">
        <f>IF($C221="","",COUNTIF($C$2:$C221,$C221))</f>
        <v/>
      </c>
      <c r="H221" s="37" t="e">
        <f>IF(SUMPRODUCT(($C$2:$C$266=$H$206)*($F$2:$F$266=12))=0,"",INDEX($A$2:$A$266,SUMPRODUCT(($C$2:$C$266=$H$206)*($F$2:$F$266=12)*(ROW($C$2:$C$266)-ROW($C$2)+1))))</f>
        <v>#DIV/0!</v>
      </c>
      <c r="I221" s="38" t="str">
        <f>IFERROR(IF(SUMPRODUCT(($C$2:$C$266=$H$206)*($F$2:$F$266=12))=0,"",INDEX($D$2:$D$266,SUMPRODUCT(($C$2:$C$266=$H$206)*($F$2:$F$266=12)*(ROW($C$2:$C$266)-ROW($C$2)+1)))),"")</f>
        <v/>
      </c>
      <c r="J221" s="38" t="str">
        <f>IFERROR(IF(SUMPRODUCT(($C$2:$C$266=$H$206)*($F$2:$F$266=12))=0,"",INDEX($E$2:$E$266,SUMPRODUCT(($C$2:$C$266=$H$206)*($F$2:$F$266=12)*(ROW($C$2:$C$266)-ROW($C$2)+1)))),"")</f>
        <v/>
      </c>
      <c r="K221" s="33"/>
    </row>
    <row r="222" spans="1:11" ht="14.25" customHeight="1" x14ac:dyDescent="0.3">
      <c r="A222" s="21">
        <f t="shared" si="25"/>
        <v>0</v>
      </c>
      <c r="B222" s="21"/>
      <c r="C222" s="22"/>
      <c r="D222" s="23"/>
      <c r="E222" s="24" t="e">
        <f t="shared" si="26"/>
        <v>#DIV/0!</v>
      </c>
      <c r="F222" t="str">
        <f>IF($C222="","",COUNTIF($C$2:$C222,$C222))</f>
        <v/>
      </c>
      <c r="H222" s="37" t="e">
        <f>IF(SUMPRODUCT(($C$2:$C$266=$H$206)*($F$2:$F$266=13))=0,"",INDEX($A$2:$A$266,SUMPRODUCT(($C$2:$C$266=$H$206)*($F$2:$F$266=13)*(ROW($C$2:$C$266)-ROW($C$2)+1))))</f>
        <v>#DIV/0!</v>
      </c>
      <c r="I222" s="38" t="str">
        <f>IFERROR(IF(SUMPRODUCT(($C$2:$C$266=$H$206)*($F$2:$F$266=13))=0,"",INDEX($D$2:$D$266,SUMPRODUCT(($C$2:$C$266=$H$206)*($F$2:$F$266=13)*(ROW($C$2:$C$266)-ROW($C$2)+1)))),"")</f>
        <v/>
      </c>
      <c r="J222" s="38" t="str">
        <f>IFERROR(IF(SUMPRODUCT(($C$2:$C$266=$H$206)*($F$2:$F$266=13))=0,"",INDEX($E$2:$E$266,SUMPRODUCT(($C$2:$C$266=$H$206)*($F$2:$F$266=13)*(ROW($C$2:$C$266)-ROW($C$2)+1)))),"")</f>
        <v/>
      </c>
      <c r="K222" s="33"/>
    </row>
    <row r="223" spans="1:11" ht="14.25" customHeight="1" x14ac:dyDescent="0.3">
      <c r="A223" s="21">
        <f t="shared" si="25"/>
        <v>0</v>
      </c>
      <c r="B223" s="21"/>
      <c r="C223" s="22"/>
      <c r="D223" s="23"/>
      <c r="E223" s="24" t="e">
        <f t="shared" si="26"/>
        <v>#DIV/0!</v>
      </c>
      <c r="F223" t="str">
        <f>IF($C223="","",COUNTIF($C$2:$C223,$C223))</f>
        <v/>
      </c>
      <c r="H223" s="37" t="e">
        <f>IF(SUMPRODUCT(($C$2:$C$266=$H$206)*($F$2:$F$266=14))=0,"",INDEX($A$2:$A$266,SUMPRODUCT(($C$2:$C$266=$H$206)*($F$2:$F$266=14)*(ROW($C$2:$C$266)-ROW($C$2)+1))))</f>
        <v>#DIV/0!</v>
      </c>
      <c r="I223" s="38" t="str">
        <f>IFERROR(IF(SUMPRODUCT(($C$2:$C$266=$H$206)*($F$2:$F$266=14))=0,"",INDEX($D$2:$D$266,SUMPRODUCT(($C$2:$C$266=$H$206)*($F$2:$F$266=14)*(ROW($C$2:$C$266)-ROW($C$2)+1)))),"")</f>
        <v/>
      </c>
      <c r="J223" s="38" t="str">
        <f>IFERROR(IF(SUMPRODUCT(($C$2:$C$266=$H$206)*($F$2:$F$266=14))=0,"",INDEX($E$2:$E$266,SUMPRODUCT(($C$2:$C$266=$H$206)*($F$2:$F$266=14)*(ROW($C$2:$C$266)-ROW($C$2)+1)))),"")</f>
        <v/>
      </c>
      <c r="K223" s="33"/>
    </row>
    <row r="224" spans="1:11" ht="14.25" customHeight="1" x14ac:dyDescent="0.3">
      <c r="A224" s="21">
        <f t="shared" si="25"/>
        <v>0</v>
      </c>
      <c r="B224" s="21"/>
      <c r="C224" s="22"/>
      <c r="D224" s="23"/>
      <c r="E224" s="24" t="e">
        <f t="shared" si="26"/>
        <v>#DIV/0!</v>
      </c>
      <c r="F224" t="str">
        <f>IF($C224="","",COUNTIF($C$2:$C224,$C224))</f>
        <v/>
      </c>
      <c r="H224" s="37" t="e">
        <f>IF(SUMPRODUCT(($C$2:$C$266=$H$206)*($F$2:$F$266=15))=0,"",INDEX($A$2:$A$266,SUMPRODUCT(($C$2:$C$266=$H$206)*($F$2:$F$266=15)*(ROW($C$2:$C$266)-ROW($C$2)+1))))</f>
        <v>#DIV/0!</v>
      </c>
      <c r="I224" s="38" t="str">
        <f>IFERROR(IF(SUMPRODUCT(($C$2:$C$266=$H$206)*($F$2:$F$266=15))=0,"",INDEX($D$2:$D$266,SUMPRODUCT(($C$2:$C$266=$H$206)*($F$2:$F$266=15)*(ROW($C$2:$C$266)-ROW($C$2)+1)))),"")</f>
        <v/>
      </c>
      <c r="J224" s="38" t="str">
        <f>IFERROR(IF(SUMPRODUCT(($C$2:$C$266=$H$206)*($F$2:$F$266=15))=0,"",INDEX($E$2:$E$266,SUMPRODUCT(($C$2:$C$266=$H$206)*($F$2:$F$266=15)*(ROW($C$2:$C$266)-ROW($C$2)+1)))),"")</f>
        <v/>
      </c>
      <c r="K224" s="33"/>
    </row>
    <row r="225" spans="1:11" ht="14.25" customHeight="1" x14ac:dyDescent="0.3">
      <c r="A225" s="21">
        <f t="shared" si="25"/>
        <v>0</v>
      </c>
      <c r="B225" s="21"/>
      <c r="C225" s="22"/>
      <c r="D225" s="23"/>
      <c r="E225" s="24" t="e">
        <f t="shared" si="26"/>
        <v>#DIV/0!</v>
      </c>
      <c r="F225" t="str">
        <f>IF($C225="","",COUNTIF($C$2:$C225,$C225))</f>
        <v/>
      </c>
      <c r="H225" s="37" t="e">
        <f>IF(SUMPRODUCT(($C$2:$C$266=$H$206)*($F$2:$F$266=16))=0,"",INDEX($A$2:$A$266,SUMPRODUCT(($C$2:$C$266=$H$206)*($F$2:$F$266=16)*(ROW($C$2:$C$266)-ROW($C$2)+1))))</f>
        <v>#DIV/0!</v>
      </c>
      <c r="I225" s="38" t="str">
        <f>IFERROR(IF(SUMPRODUCT(($C$2:$C$266=$H$206)*($F$2:$F$266=16))=0,"",INDEX($D$2:$D$266,SUMPRODUCT(($C$2:$C$266=$H$206)*($F$2:$F$266=16)*(ROW($C$2:$C$266)-ROW($C$2)+1)))),"")</f>
        <v/>
      </c>
      <c r="J225" s="38" t="str">
        <f>IFERROR(IF(SUMPRODUCT(($C$2:$C$266=$H$206)*($F$2:$F$266=16))=0,"",INDEX($E$2:$E$266,SUMPRODUCT(($C$2:$C$266=$H$206)*($F$2:$F$266=16)*(ROW($C$2:$C$266)-ROW($C$2)+1)))),"")</f>
        <v/>
      </c>
      <c r="K225" s="33"/>
    </row>
    <row r="226" spans="1:11" ht="14.25" customHeight="1" x14ac:dyDescent="0.3">
      <c r="A226" s="21">
        <f t="shared" si="25"/>
        <v>0</v>
      </c>
      <c r="B226" s="21"/>
      <c r="C226" s="22"/>
      <c r="D226" s="23"/>
      <c r="E226" s="24" t="e">
        <f t="shared" si="26"/>
        <v>#DIV/0!</v>
      </c>
      <c r="F226" t="str">
        <f>IF($C226="","",COUNTIF($C$2:$C226,$C226))</f>
        <v/>
      </c>
      <c r="H226" s="34" t="str">
        <f>H14</f>
        <v>Sally Rodriguez</v>
      </c>
      <c r="I226" s="32"/>
      <c r="J226" s="32"/>
      <c r="K226" s="33"/>
    </row>
    <row r="227" spans="1:11" ht="15" customHeight="1" x14ac:dyDescent="0.3">
      <c r="C227" s="25" t="s">
        <v>24</v>
      </c>
      <c r="D227" s="26"/>
      <c r="E227" s="27" t="e">
        <f>SUM(E220:E226)</f>
        <v>#DIV/0!</v>
      </c>
      <c r="H227" s="35" t="s">
        <v>26</v>
      </c>
      <c r="I227" s="32">
        <f>IFERROR(SUMIF($C$2:$C$266,H226,$D$2:$D$266),0)</f>
        <v>0</v>
      </c>
      <c r="J227" s="32"/>
      <c r="K227" s="33"/>
    </row>
    <row r="228" spans="1:11" ht="15" customHeight="1" x14ac:dyDescent="0.3">
      <c r="H228" s="35" t="s">
        <v>27</v>
      </c>
      <c r="I228" s="32">
        <f>IFERROR(SUMIF($C$2:$C$266,H226,$E$2:$E$266),0)</f>
        <v>0</v>
      </c>
      <c r="J228" s="32"/>
      <c r="K228" s="33"/>
    </row>
    <row r="229" spans="1:11" ht="15" customHeight="1" x14ac:dyDescent="0.3">
      <c r="C229" s="4"/>
      <c r="D229" s="4"/>
      <c r="E229" s="4"/>
      <c r="H229" s="18" t="s">
        <v>28</v>
      </c>
      <c r="I229" s="20" t="s">
        <v>15</v>
      </c>
      <c r="J229" s="20" t="s">
        <v>16</v>
      </c>
      <c r="K229" s="33"/>
    </row>
    <row r="230" spans="1:11" ht="15" customHeight="1" x14ac:dyDescent="0.3">
      <c r="C230" s="28"/>
      <c r="E230" s="29"/>
      <c r="H230" s="37" t="e">
        <f>IF(SUMPRODUCT(($C$2:$C$266=$H$226)*($F$2:$F$266=1))=0,"No entries yet",INDEX($A$2:$A$266,SUMPRODUCT(($C$2:$C$266=$H$226)*($F$2:$F$266=1)*(ROW($C$2:$C$266)-ROW($C$2)+1))))</f>
        <v>#DIV/0!</v>
      </c>
      <c r="I230" s="38" t="str">
        <f>IFERROR(IF(SUMPRODUCT(($C$2:$C$266=$H$226)*($F$2:$F$266=1))=0,"",INDEX($D$2:$D$266,SUMPRODUCT(($C$2:$C$266=$H$226)*($F$2:$F$266=1)*(ROW($C$2:$C$266)-ROW($C$2)+1)))),"")</f>
        <v/>
      </c>
      <c r="J230" s="38" t="str">
        <f>IFERROR(IF(SUMPRODUCT(($C$2:$C$266=$H$226)*($F$2:$F$266=1))=0,"",INDEX($E$2:$E$266,SUMPRODUCT(($C$2:$C$266=$H$226)*($F$2:$F$266=1)*(ROW($C$2:$C$266)-ROW($C$2)+1)))),"")</f>
        <v/>
      </c>
      <c r="K230" s="33"/>
    </row>
    <row r="231" spans="1:11" ht="14.25" customHeight="1" x14ac:dyDescent="0.3">
      <c r="C231" s="10" t="s">
        <v>5</v>
      </c>
      <c r="D231" s="11"/>
      <c r="E231" s="12"/>
      <c r="H231" s="37" t="e">
        <f>IF(SUMPRODUCT(($C$2:$C$266=$H$226)*($F$2:$F$266=2))=0,"",INDEX($A$2:$A$266,SUMPRODUCT(($C$2:$C$266=$H$226)*($F$2:$F$266=2)*(ROW($C$2:$C$266)-ROW($C$2)+1))))</f>
        <v>#DIV/0!</v>
      </c>
      <c r="I231" s="38" t="str">
        <f>IFERROR(IF(SUMPRODUCT(($C$2:$C$266=$H$226)*($F$2:$F$266=2))=0,"",INDEX($D$2:$D$266,SUMPRODUCT(($C$2:$C$266=$H$226)*($F$2:$F$266=2)*(ROW($C$2:$C$266)-ROW($C$2)+1)))),"")</f>
        <v/>
      </c>
      <c r="J231" s="38" t="str">
        <f>IFERROR(IF(SUMPRODUCT(($C$2:$C$266=$H$226)*($F$2:$F$266=2))=0,"",INDEX($E$2:$E$266,SUMPRODUCT(($C$2:$C$266=$H$226)*($F$2:$F$266=2)*(ROW($C$2:$C$266)-ROW($C$2)+1)))),"")</f>
        <v/>
      </c>
      <c r="K231" s="33"/>
    </row>
    <row r="232" spans="1:11" ht="14.25" customHeight="1" x14ac:dyDescent="0.3">
      <c r="C232" s="10" t="s">
        <v>7</v>
      </c>
      <c r="D232" s="15"/>
      <c r="E232" s="16"/>
      <c r="H232" s="37" t="e">
        <f>IF(SUMPRODUCT(($C$2:$C$266=$H$226)*($F$2:$F$266=3))=0,"",INDEX($A$2:$A$266,SUMPRODUCT(($C$2:$C$266=$H$226)*($F$2:$F$266=3)*(ROW($C$2:$C$266)-ROW($C$2)+1))))</f>
        <v>#DIV/0!</v>
      </c>
      <c r="I232" s="38" t="str">
        <f>IFERROR(IF(SUMPRODUCT(($C$2:$C$266=$H$226)*($F$2:$F$266=3))=0,"",INDEX($D$2:$D$266,SUMPRODUCT(($C$2:$C$266=$H$226)*($F$2:$F$266=3)*(ROW($C$2:$C$266)-ROW($C$2)+1)))),"")</f>
        <v/>
      </c>
      <c r="J232" s="38" t="str">
        <f>IFERROR(IF(SUMPRODUCT(($C$2:$C$266=$H$226)*($F$2:$F$266=3))=0,"",INDEX($E$2:$E$266,SUMPRODUCT(($C$2:$C$266=$H$226)*($F$2:$F$266=3)*(ROW($C$2:$C$266)-ROW($C$2)+1)))),"")</f>
        <v/>
      </c>
      <c r="K232" s="33"/>
    </row>
    <row r="233" spans="1:11" ht="14.25" customHeight="1" x14ac:dyDescent="0.3">
      <c r="C233" s="10" t="s">
        <v>9</v>
      </c>
      <c r="D233" s="10"/>
      <c r="E233" s="12"/>
      <c r="H233" s="37" t="e">
        <f>IF(SUMPRODUCT(($C$2:$C$266=$H$226)*($F$2:$F$266=4))=0,"",INDEX($A$2:$A$266,SUMPRODUCT(($C$2:$C$266=$H$226)*($F$2:$F$266=4)*(ROW($C$2:$C$266)-ROW($C$2)+1))))</f>
        <v>#DIV/0!</v>
      </c>
      <c r="I233" s="38" t="str">
        <f>IFERROR(IF(SUMPRODUCT(($C$2:$C$266=$H$226)*($F$2:$F$266=4))=0,"",INDEX($D$2:$D$266,SUMPRODUCT(($C$2:$C$266=$H$226)*($F$2:$F$266=4)*(ROW($C$2:$C$266)-ROW($C$2)+1)))),"")</f>
        <v/>
      </c>
      <c r="J233" s="38" t="str">
        <f>IFERROR(IF(SUMPRODUCT(($C$2:$C$266=$H$226)*($F$2:$F$266=4))=0,"",INDEX($E$2:$E$266,SUMPRODUCT(($C$2:$C$266=$H$226)*($F$2:$F$266=4)*(ROW($C$2:$C$266)-ROW($C$2)+1)))),"")</f>
        <v/>
      </c>
      <c r="K233" s="33"/>
    </row>
    <row r="234" spans="1:11" ht="14.25" customHeight="1" x14ac:dyDescent="0.3">
      <c r="C234" s="10" t="s">
        <v>2</v>
      </c>
      <c r="D234" s="17">
        <f>SUM(D231:D233)</f>
        <v>0</v>
      </c>
      <c r="E234" s="12"/>
      <c r="H234" s="37" t="e">
        <f>IF(SUMPRODUCT(($C$2:$C$266=$H$226)*($F$2:$F$266=5))=0,"",INDEX($A$2:$A$266,SUMPRODUCT(($C$2:$C$266=$H$226)*($F$2:$F$266=5)*(ROW($C$2:$C$266)-ROW($C$2)+1))))</f>
        <v>#DIV/0!</v>
      </c>
      <c r="I234" s="38" t="str">
        <f>IFERROR(IF(SUMPRODUCT(($C$2:$C$266=$H$226)*($F$2:$F$266=5))=0,"",INDEX($D$2:$D$266,SUMPRODUCT(($C$2:$C$266=$H$226)*($F$2:$F$266=5)*(ROW($C$2:$C$266)-ROW($C$2)+1)))),"")</f>
        <v/>
      </c>
      <c r="J234" s="38" t="str">
        <f>IFERROR(IF(SUMPRODUCT(($C$2:$C$266=$H$226)*($F$2:$F$266=5))=0,"",INDEX($E$2:$E$266,SUMPRODUCT(($C$2:$C$266=$H$226)*($F$2:$F$266=5)*(ROW($C$2:$C$266)-ROW($C$2)+1)))),"")</f>
        <v/>
      </c>
      <c r="K234" s="33"/>
    </row>
    <row r="235" spans="1:11" ht="14.25" customHeight="1" x14ac:dyDescent="0.3">
      <c r="C235" s="10" t="s">
        <v>3</v>
      </c>
      <c r="D235" s="10">
        <f>SUM(D239:D245)</f>
        <v>0</v>
      </c>
      <c r="E235" s="12"/>
      <c r="H235" s="37" t="e">
        <f>IF(SUMPRODUCT(($C$2:$C$266=$H$226)*($F$2:$F$266=6))=0,"",INDEX($A$2:$A$266,SUMPRODUCT(($C$2:$C$266=$H$226)*($F$2:$F$266=6)*(ROW($C$2:$C$266)-ROW($C$2)+1))))</f>
        <v>#DIV/0!</v>
      </c>
      <c r="I235" s="38" t="str">
        <f>IFERROR(IF(SUMPRODUCT(($C$2:$C$266=$H$226)*($F$2:$F$266=6))=0,"",INDEX($D$2:$D$266,SUMPRODUCT(($C$2:$C$266=$H$226)*($F$2:$F$266=6)*(ROW($C$2:$C$266)-ROW($C$2)+1)))),"")</f>
        <v/>
      </c>
      <c r="J235" s="38" t="str">
        <f>IFERROR(IF(SUMPRODUCT(($C$2:$C$266=$H$226)*($F$2:$F$266=6))=0,"",INDEX($E$2:$E$266,SUMPRODUCT(($C$2:$C$266=$H$226)*($F$2:$F$266=6)*(ROW($C$2:$C$266)-ROW($C$2)+1)))),"")</f>
        <v/>
      </c>
      <c r="K235" s="33"/>
    </row>
    <row r="236" spans="1:11" ht="14.25" customHeight="1" x14ac:dyDescent="0.3">
      <c r="C236" s="10" t="s">
        <v>13</v>
      </c>
      <c r="D236" s="17" t="e">
        <f>D234/D235</f>
        <v>#DIV/0!</v>
      </c>
      <c r="E236" s="12"/>
      <c r="H236" s="37" t="e">
        <f>IF(SUMPRODUCT(($C$2:$C$266=$H$226)*($F$2:$F$266=7))=0,"",INDEX($A$2:$A$266,SUMPRODUCT(($C$2:$C$266=$H$226)*($F$2:$F$266=7)*(ROW($C$2:$C$266)-ROW($C$2)+1))))</f>
        <v>#DIV/0!</v>
      </c>
      <c r="I236" s="38" t="str">
        <f>IFERROR(IF(SUMPRODUCT(($C$2:$C$266=$H$226)*($F$2:$F$266=7))=0,"",INDEX($D$2:$D$266,SUMPRODUCT(($C$2:$C$266=$H$226)*($F$2:$F$266=7)*(ROW($C$2:$C$266)-ROW($C$2)+1)))),"")</f>
        <v/>
      </c>
      <c r="J236" s="38" t="str">
        <f>IFERROR(IF(SUMPRODUCT(($C$2:$C$266=$H$226)*($F$2:$F$266=7))=0,"",INDEX($E$2:$E$266,SUMPRODUCT(($C$2:$C$266=$H$226)*($F$2:$F$266=7)*(ROW($C$2:$C$266)-ROW($C$2)+1)))),"")</f>
        <v/>
      </c>
      <c r="K236" s="33"/>
    </row>
    <row r="237" spans="1:11" ht="14.25" customHeight="1" x14ac:dyDescent="0.3">
      <c r="C237" s="12"/>
      <c r="D237" s="36"/>
      <c r="E237" s="12"/>
      <c r="H237" s="37" t="e">
        <f>IF(SUMPRODUCT(($C$2:$C$266=$H$226)*($F$2:$F$266=8))=0,"",INDEX($A$2:$A$266,SUMPRODUCT(($C$2:$C$266=$H$226)*($F$2:$F$266=8)*(ROW($C$2:$C$266)-ROW($C$2)+1))))</f>
        <v>#DIV/0!</v>
      </c>
      <c r="I237" s="38" t="str">
        <f>IFERROR(IF(SUMPRODUCT(($C$2:$C$266=$H$226)*($F$2:$F$266=8))=0,"",INDEX($D$2:$D$266,SUMPRODUCT(($C$2:$C$266=$H$226)*($F$2:$F$266=8)*(ROW($C$2:$C$266)-ROW($C$2)+1)))),"")</f>
        <v/>
      </c>
      <c r="J237" s="38" t="str">
        <f>IFERROR(IF(SUMPRODUCT(($C$2:$C$266=$H$226)*($F$2:$F$266=8))=0,"",INDEX($E$2:$E$266,SUMPRODUCT(($C$2:$C$266=$H$226)*($F$2:$F$266=8)*(ROW($C$2:$C$266)-ROW($C$2)+1)))),"")</f>
        <v/>
      </c>
      <c r="K237" s="33"/>
    </row>
    <row r="238" spans="1:11" ht="15" customHeight="1" x14ac:dyDescent="0.3">
      <c r="C238" s="18" t="s">
        <v>1</v>
      </c>
      <c r="D238" s="20" t="s">
        <v>15</v>
      </c>
      <c r="E238" s="20" t="s">
        <v>16</v>
      </c>
      <c r="H238" s="37" t="e">
        <f>IF(SUMPRODUCT(($C$2:$C$266=$H$226)*($F$2:$F$266=9))=0,"",INDEX($A$2:$A$266,SUMPRODUCT(($C$2:$C$266=$H$226)*($F$2:$F$266=9)*(ROW($C$2:$C$266)-ROW($C$2)+1))))</f>
        <v>#DIV/0!</v>
      </c>
      <c r="I238" s="38" t="str">
        <f>IFERROR(IF(SUMPRODUCT(($C$2:$C$266=$H$226)*($F$2:$F$266=9))=0,"",INDEX($D$2:$D$266,SUMPRODUCT(($C$2:$C$266=$H$226)*($F$2:$F$266=9)*(ROW($C$2:$C$266)-ROW($C$2)+1)))),"")</f>
        <v/>
      </c>
      <c r="J238" s="38" t="str">
        <f>IFERROR(IF(SUMPRODUCT(($C$2:$C$266=$H$226)*($F$2:$F$266=9))=0,"",INDEX($E$2:$E$266,SUMPRODUCT(($C$2:$C$266=$H$226)*($F$2:$F$266=9)*(ROW($C$2:$C$266)-ROW($C$2)+1)))),"")</f>
        <v/>
      </c>
      <c r="K238" s="33"/>
    </row>
    <row r="239" spans="1:11" ht="14.25" customHeight="1" x14ac:dyDescent="0.3">
      <c r="A239" s="21">
        <f t="shared" ref="A239:A245" si="27">$C$229</f>
        <v>0</v>
      </c>
      <c r="B239" s="21"/>
      <c r="C239" s="22"/>
      <c r="D239" s="23"/>
      <c r="E239" s="24" t="e">
        <f t="shared" ref="E239:E245" si="28">D239*$D$236</f>
        <v>#DIV/0!</v>
      </c>
      <c r="F239" t="str">
        <f>IF($C239="","",COUNTIF($C$2:$C239,$C239))</f>
        <v/>
      </c>
      <c r="H239" s="37" t="e">
        <f>IF(SUMPRODUCT(($C$2:$C$266=$H$226)*($F$2:$F$266=10))=0,"",INDEX($A$2:$A$266,SUMPRODUCT(($C$2:$C$266=$H$226)*($F$2:$F$266=10)*(ROW($C$2:$C$266)-ROW($C$2)+1))))</f>
        <v>#DIV/0!</v>
      </c>
      <c r="I239" s="38" t="str">
        <f>IFERROR(IF(SUMPRODUCT(($C$2:$C$266=$H$226)*($F$2:$F$266=10))=0,"",INDEX($D$2:$D$266,SUMPRODUCT(($C$2:$C$266=$H$226)*($F$2:$F$266=10)*(ROW($C$2:$C$266)-ROW($C$2)+1)))),"")</f>
        <v/>
      </c>
      <c r="J239" s="38" t="str">
        <f>IFERROR(IF(SUMPRODUCT(($C$2:$C$266=$H$226)*($F$2:$F$266=10))=0,"",INDEX($E$2:$E$266,SUMPRODUCT(($C$2:$C$266=$H$226)*($F$2:$F$266=10)*(ROW($C$2:$C$266)-ROW($C$2)+1)))),"")</f>
        <v/>
      </c>
      <c r="K239" s="33"/>
    </row>
    <row r="240" spans="1:11" ht="14.25" customHeight="1" x14ac:dyDescent="0.3">
      <c r="A240" s="21">
        <f t="shared" si="27"/>
        <v>0</v>
      </c>
      <c r="B240" s="21"/>
      <c r="C240" s="22"/>
      <c r="D240" s="23"/>
      <c r="E240" s="24" t="e">
        <f t="shared" si="28"/>
        <v>#DIV/0!</v>
      </c>
      <c r="F240" t="str">
        <f>IF($C240="","",COUNTIF($C$2:$C240,$C240))</f>
        <v/>
      </c>
      <c r="H240" s="37" t="e">
        <f>IF(SUMPRODUCT(($C$2:$C$266=$H$226)*($F$2:$F$266=11))=0,"",INDEX($A$2:$A$266,SUMPRODUCT(($C$2:$C$266=$H$226)*($F$2:$F$266=11)*(ROW($C$2:$C$266)-ROW($C$2)+1))))</f>
        <v>#DIV/0!</v>
      </c>
      <c r="I240" s="38" t="str">
        <f>IFERROR(IF(SUMPRODUCT(($C$2:$C$266=$H$226)*($F$2:$F$266=11))=0,"",INDEX($D$2:$D$266,SUMPRODUCT(($C$2:$C$266=$H$226)*($F$2:$F$266=11)*(ROW($C$2:$C$266)-ROW($C$2)+1)))),"")</f>
        <v/>
      </c>
      <c r="J240" s="38" t="str">
        <f>IFERROR(IF(SUMPRODUCT(($C$2:$C$266=$H$226)*($F$2:$F$266=11))=0,"",INDEX($E$2:$E$266,SUMPRODUCT(($C$2:$C$266=$H$226)*($F$2:$F$266=11)*(ROW($C$2:$C$266)-ROW($C$2)+1)))),"")</f>
        <v/>
      </c>
      <c r="K240" s="33"/>
    </row>
    <row r="241" spans="1:11" ht="14.25" customHeight="1" x14ac:dyDescent="0.3">
      <c r="A241" s="21">
        <f t="shared" si="27"/>
        <v>0</v>
      </c>
      <c r="B241" s="21"/>
      <c r="C241" s="22"/>
      <c r="D241" s="23"/>
      <c r="E241" s="24" t="e">
        <f t="shared" si="28"/>
        <v>#DIV/0!</v>
      </c>
      <c r="F241" t="str">
        <f>IF($C241="","",COUNTIF($C$2:$C241,$C241))</f>
        <v/>
      </c>
      <c r="H241" s="37" t="e">
        <f>IF(SUMPRODUCT(($C$2:$C$266=$H$226)*($F$2:$F$266=12))=0,"",INDEX($A$2:$A$266,SUMPRODUCT(($C$2:$C$266=$H$226)*($F$2:$F$266=12)*(ROW($C$2:$C$266)-ROW($C$2)+1))))</f>
        <v>#DIV/0!</v>
      </c>
      <c r="I241" s="38" t="str">
        <f>IFERROR(IF(SUMPRODUCT(($C$2:$C$266=$H$226)*($F$2:$F$266=12))=0,"",INDEX($D$2:$D$266,SUMPRODUCT(($C$2:$C$266=$H$226)*($F$2:$F$266=12)*(ROW($C$2:$C$266)-ROW($C$2)+1)))),"")</f>
        <v/>
      </c>
      <c r="J241" s="38" t="str">
        <f>IFERROR(IF(SUMPRODUCT(($C$2:$C$266=$H$226)*($F$2:$F$266=12))=0,"",INDEX($E$2:$E$266,SUMPRODUCT(($C$2:$C$266=$H$226)*($F$2:$F$266=12)*(ROW($C$2:$C$266)-ROW($C$2)+1)))),"")</f>
        <v/>
      </c>
      <c r="K241" s="33"/>
    </row>
    <row r="242" spans="1:11" ht="14.25" customHeight="1" x14ac:dyDescent="0.3">
      <c r="A242" s="21">
        <f t="shared" si="27"/>
        <v>0</v>
      </c>
      <c r="B242" s="21"/>
      <c r="C242" s="22"/>
      <c r="D242" s="23"/>
      <c r="E242" s="24" t="e">
        <f t="shared" si="28"/>
        <v>#DIV/0!</v>
      </c>
      <c r="F242" t="str">
        <f>IF($C242="","",COUNTIF($C$2:$C242,$C242))</f>
        <v/>
      </c>
      <c r="H242" s="37" t="e">
        <f>IF(SUMPRODUCT(($C$2:$C$266=$H$226)*($F$2:$F$266=13))=0,"",INDEX($A$2:$A$266,SUMPRODUCT(($C$2:$C$266=$H$226)*($F$2:$F$266=13)*(ROW($C$2:$C$266)-ROW($C$2)+1))))</f>
        <v>#DIV/0!</v>
      </c>
      <c r="I242" s="38" t="str">
        <f>IFERROR(IF(SUMPRODUCT(($C$2:$C$266=$H$226)*($F$2:$F$266=13))=0,"",INDEX($D$2:$D$266,SUMPRODUCT(($C$2:$C$266=$H$226)*($F$2:$F$266=13)*(ROW($C$2:$C$266)-ROW($C$2)+1)))),"")</f>
        <v/>
      </c>
      <c r="J242" s="38" t="str">
        <f>IFERROR(IF(SUMPRODUCT(($C$2:$C$266=$H$226)*($F$2:$F$266=13))=0,"",INDEX($E$2:$E$266,SUMPRODUCT(($C$2:$C$266=$H$226)*($F$2:$F$266=13)*(ROW($C$2:$C$266)-ROW($C$2)+1)))),"")</f>
        <v/>
      </c>
      <c r="K242" s="33"/>
    </row>
    <row r="243" spans="1:11" ht="14.25" customHeight="1" x14ac:dyDescent="0.3">
      <c r="A243" s="21">
        <f t="shared" si="27"/>
        <v>0</v>
      </c>
      <c r="B243" s="21"/>
      <c r="C243" s="22"/>
      <c r="D243" s="23"/>
      <c r="E243" s="24" t="e">
        <f t="shared" si="28"/>
        <v>#DIV/0!</v>
      </c>
      <c r="F243" t="str">
        <f>IF($C243="","",COUNTIF($C$2:$C243,$C243))</f>
        <v/>
      </c>
      <c r="H243" s="37" t="e">
        <f>IF(SUMPRODUCT(($C$2:$C$266=$H$226)*($F$2:$F$266=14))=0,"",INDEX($A$2:$A$266,SUMPRODUCT(($C$2:$C$266=$H$226)*($F$2:$F$266=14)*(ROW($C$2:$C$266)-ROW($C$2)+1))))</f>
        <v>#DIV/0!</v>
      </c>
      <c r="I243" s="38" t="str">
        <f>IFERROR(IF(SUMPRODUCT(($C$2:$C$266=$H$226)*($F$2:$F$266=14))=0,"",INDEX($D$2:$D$266,SUMPRODUCT(($C$2:$C$266=$H$226)*($F$2:$F$266=14)*(ROW($C$2:$C$266)-ROW($C$2)+1)))),"")</f>
        <v/>
      </c>
      <c r="J243" s="38" t="str">
        <f>IFERROR(IF(SUMPRODUCT(($C$2:$C$266=$H$226)*($F$2:$F$266=14))=0,"",INDEX($E$2:$E$266,SUMPRODUCT(($C$2:$C$266=$H$226)*($F$2:$F$266=14)*(ROW($C$2:$C$266)-ROW($C$2)+1)))),"")</f>
        <v/>
      </c>
      <c r="K243" s="33"/>
    </row>
    <row r="244" spans="1:11" ht="14.25" customHeight="1" x14ac:dyDescent="0.3">
      <c r="A244" s="21">
        <f t="shared" si="27"/>
        <v>0</v>
      </c>
      <c r="B244" s="21"/>
      <c r="C244" s="22"/>
      <c r="D244" s="23"/>
      <c r="E244" s="24" t="e">
        <f t="shared" si="28"/>
        <v>#DIV/0!</v>
      </c>
      <c r="F244" t="str">
        <f>IF($C244="","",COUNTIF($C$2:$C244,$C244))</f>
        <v/>
      </c>
      <c r="H244" s="37" t="e">
        <f>IF(SUMPRODUCT(($C$2:$C$266=$H$226)*($F$2:$F$266=15))=0,"",INDEX($A$2:$A$266,SUMPRODUCT(($C$2:$C$266=$H$226)*($F$2:$F$266=15)*(ROW($C$2:$C$266)-ROW($C$2)+1))))</f>
        <v>#DIV/0!</v>
      </c>
      <c r="I244" s="38" t="str">
        <f>IFERROR(IF(SUMPRODUCT(($C$2:$C$266=$H$226)*($F$2:$F$266=15))=0,"",INDEX($D$2:$D$266,SUMPRODUCT(($C$2:$C$266=$H$226)*($F$2:$F$266=15)*(ROW($C$2:$C$266)-ROW($C$2)+1)))),"")</f>
        <v/>
      </c>
      <c r="J244" s="38" t="str">
        <f>IFERROR(IF(SUMPRODUCT(($C$2:$C$266=$H$226)*($F$2:$F$266=15))=0,"",INDEX($E$2:$E$266,SUMPRODUCT(($C$2:$C$266=$H$226)*($F$2:$F$266=15)*(ROW($C$2:$C$266)-ROW($C$2)+1)))),"")</f>
        <v/>
      </c>
      <c r="K244" s="33"/>
    </row>
    <row r="245" spans="1:11" ht="14.25" customHeight="1" x14ac:dyDescent="0.3">
      <c r="A245" s="21">
        <f t="shared" si="27"/>
        <v>0</v>
      </c>
      <c r="B245" s="21"/>
      <c r="C245" s="22"/>
      <c r="D245" s="23"/>
      <c r="E245" s="24" t="e">
        <f t="shared" si="28"/>
        <v>#DIV/0!</v>
      </c>
      <c r="F245" t="str">
        <f>IF($C245="","",COUNTIF($C$2:$C245,$C245))</f>
        <v/>
      </c>
      <c r="H245" s="37" t="e">
        <f>IF(SUMPRODUCT(($C$2:$C$266=$H$226)*($F$2:$F$266=16))=0,"",INDEX($A$2:$A$266,SUMPRODUCT(($C$2:$C$266=$H$226)*($F$2:$F$266=16)*(ROW($C$2:$C$266)-ROW($C$2)+1))))</f>
        <v>#DIV/0!</v>
      </c>
      <c r="I245" s="38" t="str">
        <f>IFERROR(IF(SUMPRODUCT(($C$2:$C$266=$H$226)*($F$2:$F$266=16))=0,"",INDEX($D$2:$D$266,SUMPRODUCT(($C$2:$C$266=$H$226)*($F$2:$F$266=16)*(ROW($C$2:$C$266)-ROW($C$2)+1)))),"")</f>
        <v/>
      </c>
      <c r="J245" s="38" t="str">
        <f>IFERROR(IF(SUMPRODUCT(($C$2:$C$266=$H$226)*($F$2:$F$266=16))=0,"",INDEX($E$2:$E$266,SUMPRODUCT(($C$2:$C$266=$H$226)*($F$2:$F$266=16)*(ROW($C$2:$C$266)-ROW($C$2)+1)))),"")</f>
        <v/>
      </c>
      <c r="K245" s="33"/>
    </row>
    <row r="246" spans="1:11" ht="15" customHeight="1" x14ac:dyDescent="0.3">
      <c r="C246" s="25" t="s">
        <v>24</v>
      </c>
      <c r="D246" s="26"/>
      <c r="E246" s="27" t="e">
        <f>SUM(E239:E245)</f>
        <v>#DIV/0!</v>
      </c>
      <c r="H246" s="34" t="str">
        <f>H15</f>
        <v>Sara Cobos</v>
      </c>
      <c r="I246" s="32"/>
      <c r="J246" s="32"/>
      <c r="K246" s="33"/>
    </row>
    <row r="247" spans="1:11" ht="15" customHeight="1" x14ac:dyDescent="0.3">
      <c r="H247" s="35" t="s">
        <v>26</v>
      </c>
      <c r="I247" s="32">
        <f>IFERROR(SUMIF($C$2:$C$266,H246,$D$2:$D$266),0)</f>
        <v>0</v>
      </c>
      <c r="J247" s="32"/>
      <c r="K247" s="33"/>
    </row>
    <row r="248" spans="1:11" ht="15" customHeight="1" x14ac:dyDescent="0.3">
      <c r="C248" s="4"/>
      <c r="D248" s="4"/>
      <c r="E248" s="4"/>
      <c r="H248" s="35" t="s">
        <v>27</v>
      </c>
      <c r="I248" s="32">
        <f>IFERROR(SUMIF($C$2:$C$266,H246,$E$2:$E$266),0)</f>
        <v>0</v>
      </c>
      <c r="J248" s="32"/>
      <c r="K248" s="33"/>
    </row>
    <row r="249" spans="1:11" ht="15" customHeight="1" x14ac:dyDescent="0.3">
      <c r="C249" s="28"/>
      <c r="E249" s="29"/>
      <c r="H249" s="18" t="s">
        <v>28</v>
      </c>
      <c r="I249" s="20" t="s">
        <v>15</v>
      </c>
      <c r="J249" s="20" t="s">
        <v>16</v>
      </c>
      <c r="K249" s="33"/>
    </row>
    <row r="250" spans="1:11" ht="14.25" customHeight="1" x14ac:dyDescent="0.3">
      <c r="C250" s="10" t="s">
        <v>5</v>
      </c>
      <c r="D250" s="11"/>
      <c r="E250" s="12"/>
      <c r="H250" s="37" t="e">
        <f>IF(SUMPRODUCT(($C$2:$C$266=$H$246)*($F$2:$F$266=1))=0,"No entries yet",INDEX($A$2:$A$266,SUMPRODUCT(($C$2:$C$266=$H$246)*($F$2:$F$266=1)*(ROW($C$2:$C$266)-ROW($C$2)+1))))</f>
        <v>#DIV/0!</v>
      </c>
      <c r="I250" s="38" t="str">
        <f>IFERROR(IF(SUMPRODUCT(($C$2:$C$266=$H$246)*($F$2:$F$266=1))=0,"",INDEX($D$2:$D$266,SUMPRODUCT(($C$2:$C$266=$H$246)*($F$2:$F$266=1)*(ROW($C$2:$C$266)-ROW($C$2)+1)))),"")</f>
        <v/>
      </c>
      <c r="J250" s="38" t="str">
        <f>IFERROR(IF(SUMPRODUCT(($C$2:$C$266=$H$246)*($F$2:$F$266=1))=0,"",INDEX($E$2:$E$266,SUMPRODUCT(($C$2:$C$266=$H$246)*($F$2:$F$266=1)*(ROW($C$2:$C$266)-ROW($C$2)+1)))),"")</f>
        <v/>
      </c>
      <c r="K250" s="33"/>
    </row>
    <row r="251" spans="1:11" ht="14.25" customHeight="1" x14ac:dyDescent="0.3">
      <c r="C251" s="10" t="s">
        <v>7</v>
      </c>
      <c r="D251" s="15"/>
      <c r="E251" s="16"/>
      <c r="H251" s="37" t="e">
        <f>IF(SUMPRODUCT(($C$2:$C$266=$H$246)*($F$2:$F$266=2))=0,"",INDEX($A$2:$A$266,SUMPRODUCT(($C$2:$C$266=$H$246)*($F$2:$F$266=2)*(ROW($C$2:$C$266)-ROW($C$2)+1))))</f>
        <v>#DIV/0!</v>
      </c>
      <c r="I251" s="38" t="str">
        <f>IFERROR(IF(SUMPRODUCT(($C$2:$C$266=$H$246)*($F$2:$F$266=2))=0,"",INDEX($D$2:$D$266,SUMPRODUCT(($C$2:$C$266=$H$246)*($F$2:$F$266=2)*(ROW($C$2:$C$266)-ROW($C$2)+1)))),"")</f>
        <v/>
      </c>
      <c r="J251" s="38" t="str">
        <f>IFERROR(IF(SUMPRODUCT(($C$2:$C$266=$H$246)*($F$2:$F$266=2))=0,"",INDEX($E$2:$E$266,SUMPRODUCT(($C$2:$C$266=$H$246)*($F$2:$F$266=2)*(ROW($C$2:$C$266)-ROW($C$2)+1)))),"")</f>
        <v/>
      </c>
      <c r="K251" s="33"/>
    </row>
    <row r="252" spans="1:11" ht="14.25" customHeight="1" x14ac:dyDescent="0.3">
      <c r="C252" s="10" t="s">
        <v>9</v>
      </c>
      <c r="D252" s="10"/>
      <c r="E252" s="12"/>
      <c r="H252" s="37" t="e">
        <f>IF(SUMPRODUCT(($C$2:$C$266=$H$246)*($F$2:$F$266=3))=0,"",INDEX($A$2:$A$266,SUMPRODUCT(($C$2:$C$266=$H$246)*($F$2:$F$266=3)*(ROW($C$2:$C$266)-ROW($C$2)+1))))</f>
        <v>#DIV/0!</v>
      </c>
      <c r="I252" s="38" t="str">
        <f>IFERROR(IF(SUMPRODUCT(($C$2:$C$266=$H$246)*($F$2:$F$266=3))=0,"",INDEX($D$2:$D$266,SUMPRODUCT(($C$2:$C$266=$H$246)*($F$2:$F$266=3)*(ROW($C$2:$C$266)-ROW($C$2)+1)))),"")</f>
        <v/>
      </c>
      <c r="J252" s="38" t="str">
        <f>IFERROR(IF(SUMPRODUCT(($C$2:$C$266=$H$246)*($F$2:$F$266=3))=0,"",INDEX($E$2:$E$266,SUMPRODUCT(($C$2:$C$266=$H$246)*($F$2:$F$266=3)*(ROW($C$2:$C$266)-ROW($C$2)+1)))),"")</f>
        <v/>
      </c>
      <c r="K252" s="33"/>
    </row>
    <row r="253" spans="1:11" ht="14.25" customHeight="1" x14ac:dyDescent="0.3">
      <c r="C253" s="10" t="s">
        <v>2</v>
      </c>
      <c r="D253" s="17">
        <f>SUM(D250:D252)</f>
        <v>0</v>
      </c>
      <c r="E253" s="12"/>
      <c r="H253" s="37" t="e">
        <f>IF(SUMPRODUCT(($C$2:$C$266=$H$246)*($F$2:$F$266=4))=0,"",INDEX($A$2:$A$266,SUMPRODUCT(($C$2:$C$266=$H$246)*($F$2:$F$266=4)*(ROW($C$2:$C$266)-ROW($C$2)+1))))</f>
        <v>#DIV/0!</v>
      </c>
      <c r="I253" s="38" t="str">
        <f>IFERROR(IF(SUMPRODUCT(($C$2:$C$266=$H$246)*($F$2:$F$266=4))=0,"",INDEX($D$2:$D$266,SUMPRODUCT(($C$2:$C$266=$H$246)*($F$2:$F$266=4)*(ROW($C$2:$C$266)-ROW($C$2)+1)))),"")</f>
        <v/>
      </c>
      <c r="J253" s="38" t="str">
        <f>IFERROR(IF(SUMPRODUCT(($C$2:$C$266=$H$246)*($F$2:$F$266=4))=0,"",INDEX($E$2:$E$266,SUMPRODUCT(($C$2:$C$266=$H$246)*($F$2:$F$266=4)*(ROW($C$2:$C$266)-ROW($C$2)+1)))),"")</f>
        <v/>
      </c>
      <c r="K253" s="33"/>
    </row>
    <row r="254" spans="1:11" ht="14.25" customHeight="1" x14ac:dyDescent="0.3">
      <c r="C254" s="10" t="s">
        <v>3</v>
      </c>
      <c r="D254" s="10">
        <f>SUM(D258:D264)</f>
        <v>0</v>
      </c>
      <c r="E254" s="12"/>
      <c r="H254" s="37" t="e">
        <f>IF(SUMPRODUCT(($C$2:$C$266=$H$246)*($F$2:$F$266=5))=0,"",INDEX($A$2:$A$266,SUMPRODUCT(($C$2:$C$266=$H$246)*($F$2:$F$266=5)*(ROW($C$2:$C$266)-ROW($C$2)+1))))</f>
        <v>#DIV/0!</v>
      </c>
      <c r="I254" s="38" t="str">
        <f>IFERROR(IF(SUMPRODUCT(($C$2:$C$266=$H$246)*($F$2:$F$266=5))=0,"",INDEX($D$2:$D$266,SUMPRODUCT(($C$2:$C$266=$H$246)*($F$2:$F$266=5)*(ROW($C$2:$C$266)-ROW($C$2)+1)))),"")</f>
        <v/>
      </c>
      <c r="J254" s="38" t="str">
        <f>IFERROR(IF(SUMPRODUCT(($C$2:$C$266=$H$246)*($F$2:$F$266=5))=0,"",INDEX($E$2:$E$266,SUMPRODUCT(($C$2:$C$266=$H$246)*($F$2:$F$266=5)*(ROW($C$2:$C$266)-ROW($C$2)+1)))),"")</f>
        <v/>
      </c>
      <c r="K254" s="33"/>
    </row>
    <row r="255" spans="1:11" ht="14.25" customHeight="1" x14ac:dyDescent="0.3">
      <c r="C255" s="10" t="s">
        <v>13</v>
      </c>
      <c r="D255" s="17" t="e">
        <f>D253/D254</f>
        <v>#DIV/0!</v>
      </c>
      <c r="E255" s="12"/>
      <c r="H255" s="37" t="e">
        <f>IF(SUMPRODUCT(($C$2:$C$266=$H$246)*($F$2:$F$266=6))=0,"",INDEX($A$2:$A$266,SUMPRODUCT(($C$2:$C$266=$H$246)*($F$2:$F$266=6)*(ROW($C$2:$C$266)-ROW($C$2)+1))))</f>
        <v>#DIV/0!</v>
      </c>
      <c r="I255" s="38" t="str">
        <f>IFERROR(IF(SUMPRODUCT(($C$2:$C$266=$H$246)*($F$2:$F$266=6))=0,"",INDEX($D$2:$D$266,SUMPRODUCT(($C$2:$C$266=$H$246)*($F$2:$F$266=6)*(ROW($C$2:$C$266)-ROW($C$2)+1)))),"")</f>
        <v/>
      </c>
      <c r="J255" s="38" t="str">
        <f>IFERROR(IF(SUMPRODUCT(($C$2:$C$266=$H$246)*($F$2:$F$266=6))=0,"",INDEX($E$2:$E$266,SUMPRODUCT(($C$2:$C$266=$H$246)*($F$2:$F$266=6)*(ROW($C$2:$C$266)-ROW($C$2)+1)))),"")</f>
        <v/>
      </c>
      <c r="K255" s="33"/>
    </row>
    <row r="256" spans="1:11" ht="14.25" customHeight="1" x14ac:dyDescent="0.3">
      <c r="C256" s="12"/>
      <c r="D256" s="36"/>
      <c r="E256" s="12"/>
      <c r="H256" s="37" t="e">
        <f>IF(SUMPRODUCT(($C$2:$C$266=$H$246)*($F$2:$F$266=7))=0,"",INDEX($A$2:$A$266,SUMPRODUCT(($C$2:$C$266=$H$246)*($F$2:$F$266=7)*(ROW($C$2:$C$266)-ROW($C$2)+1))))</f>
        <v>#DIV/0!</v>
      </c>
      <c r="I256" s="38" t="str">
        <f>IFERROR(IF(SUMPRODUCT(($C$2:$C$266=$H$246)*($F$2:$F$266=7))=0,"",INDEX($D$2:$D$266,SUMPRODUCT(($C$2:$C$266=$H$246)*($F$2:$F$266=7)*(ROW($C$2:$C$266)-ROW($C$2)+1)))),"")</f>
        <v/>
      </c>
      <c r="J256" s="38" t="str">
        <f>IFERROR(IF(SUMPRODUCT(($C$2:$C$266=$H$246)*($F$2:$F$266=7))=0,"",INDEX($E$2:$E$266,SUMPRODUCT(($C$2:$C$266=$H$246)*($F$2:$F$266=7)*(ROW($C$2:$C$266)-ROW($C$2)+1)))),"")</f>
        <v/>
      </c>
      <c r="K256" s="33"/>
    </row>
    <row r="257" spans="1:11" ht="15" customHeight="1" x14ac:dyDescent="0.3">
      <c r="C257" s="18" t="s">
        <v>1</v>
      </c>
      <c r="D257" s="20" t="s">
        <v>15</v>
      </c>
      <c r="E257" s="20" t="s">
        <v>16</v>
      </c>
      <c r="H257" s="37" t="e">
        <f>IF(SUMPRODUCT(($C$2:$C$266=$H$246)*($F$2:$F$266=8))=0,"",INDEX($A$2:$A$266,SUMPRODUCT(($C$2:$C$266=$H$246)*($F$2:$F$266=8)*(ROW($C$2:$C$266)-ROW($C$2)+1))))</f>
        <v>#DIV/0!</v>
      </c>
      <c r="I257" s="38" t="str">
        <f>IFERROR(IF(SUMPRODUCT(($C$2:$C$266=$H$246)*($F$2:$F$266=8))=0,"",INDEX($D$2:$D$266,SUMPRODUCT(($C$2:$C$266=$H$246)*($F$2:$F$266=8)*(ROW($C$2:$C$266)-ROW($C$2)+1)))),"")</f>
        <v/>
      </c>
      <c r="J257" s="38" t="str">
        <f>IFERROR(IF(SUMPRODUCT(($C$2:$C$266=$H$246)*($F$2:$F$266=8))=0,"",INDEX($E$2:$E$266,SUMPRODUCT(($C$2:$C$266=$H$246)*($F$2:$F$266=8)*(ROW($C$2:$C$266)-ROW($C$2)+1)))),"")</f>
        <v/>
      </c>
      <c r="K257" s="33"/>
    </row>
    <row r="258" spans="1:11" ht="14.25" customHeight="1" x14ac:dyDescent="0.3">
      <c r="A258" s="21">
        <f t="shared" ref="A258:A264" si="29">$C$248</f>
        <v>0</v>
      </c>
      <c r="B258" s="21"/>
      <c r="C258" s="22"/>
      <c r="D258" s="23"/>
      <c r="E258" s="24" t="e">
        <f t="shared" ref="E258:E264" si="30">D258*$D$255</f>
        <v>#DIV/0!</v>
      </c>
      <c r="F258" t="str">
        <f>IF($C258="","",COUNTIF($C$2:$C258,$C258))</f>
        <v/>
      </c>
      <c r="H258" s="37" t="e">
        <f>IF(SUMPRODUCT(($C$2:$C$266=$H$246)*($F$2:$F$266=9))=0,"",INDEX($A$2:$A$266,SUMPRODUCT(($C$2:$C$266=$H$246)*($F$2:$F$266=9)*(ROW($C$2:$C$266)-ROW($C$2)+1))))</f>
        <v>#DIV/0!</v>
      </c>
      <c r="I258" s="38" t="str">
        <f>IFERROR(IF(SUMPRODUCT(($C$2:$C$266=$H$246)*($F$2:$F$266=9))=0,"",INDEX($D$2:$D$266,SUMPRODUCT(($C$2:$C$266=$H$246)*($F$2:$F$266=9)*(ROW($C$2:$C$266)-ROW($C$2)+1)))),"")</f>
        <v/>
      </c>
      <c r="J258" s="38" t="str">
        <f>IFERROR(IF(SUMPRODUCT(($C$2:$C$266=$H$246)*($F$2:$F$266=9))=0,"",INDEX($E$2:$E$266,SUMPRODUCT(($C$2:$C$266=$H$246)*($F$2:$F$266=9)*(ROW($C$2:$C$266)-ROW($C$2)+1)))),"")</f>
        <v/>
      </c>
      <c r="K258" s="33"/>
    </row>
    <row r="259" spans="1:11" ht="14.25" customHeight="1" x14ac:dyDescent="0.3">
      <c r="A259" s="21">
        <f t="shared" si="29"/>
        <v>0</v>
      </c>
      <c r="B259" s="21"/>
      <c r="C259" s="22"/>
      <c r="D259" s="23"/>
      <c r="E259" s="24" t="e">
        <f t="shared" si="30"/>
        <v>#DIV/0!</v>
      </c>
      <c r="F259" t="str">
        <f>IF($C259="","",COUNTIF($C$2:$C259,$C259))</f>
        <v/>
      </c>
      <c r="H259" s="37" t="e">
        <f>IF(SUMPRODUCT(($C$2:$C$266=$H$246)*($F$2:$F$266=10))=0,"",INDEX($A$2:$A$266,SUMPRODUCT(($C$2:$C$266=$H$246)*($F$2:$F$266=10)*(ROW($C$2:$C$266)-ROW($C$2)+1))))</f>
        <v>#DIV/0!</v>
      </c>
      <c r="I259" s="38" t="str">
        <f>IFERROR(IF(SUMPRODUCT(($C$2:$C$266=$H$246)*($F$2:$F$266=10))=0,"",INDEX($D$2:$D$266,SUMPRODUCT(($C$2:$C$266=$H$246)*($F$2:$F$266=10)*(ROW($C$2:$C$266)-ROW($C$2)+1)))),"")</f>
        <v/>
      </c>
      <c r="J259" s="38" t="str">
        <f>IFERROR(IF(SUMPRODUCT(($C$2:$C$266=$H$246)*($F$2:$F$266=10))=0,"",INDEX($E$2:$E$266,SUMPRODUCT(($C$2:$C$266=$H$246)*($F$2:$F$266=10)*(ROW($C$2:$C$266)-ROW($C$2)+1)))),"")</f>
        <v/>
      </c>
      <c r="K259" s="33"/>
    </row>
    <row r="260" spans="1:11" ht="14.25" customHeight="1" x14ac:dyDescent="0.3">
      <c r="A260" s="21">
        <f t="shared" si="29"/>
        <v>0</v>
      </c>
      <c r="B260" s="21"/>
      <c r="C260" s="22"/>
      <c r="D260" s="23"/>
      <c r="E260" s="24" t="e">
        <f t="shared" si="30"/>
        <v>#DIV/0!</v>
      </c>
      <c r="F260" t="str">
        <f>IF($C260="","",COUNTIF($C$2:$C260,$C260))</f>
        <v/>
      </c>
      <c r="H260" s="37" t="e">
        <f>IF(SUMPRODUCT(($C$2:$C$266=$H$246)*($F$2:$F$266=11))=0,"",INDEX($A$2:$A$266,SUMPRODUCT(($C$2:$C$266=$H$246)*($F$2:$F$266=11)*(ROW($C$2:$C$266)-ROW($C$2)+1))))</f>
        <v>#DIV/0!</v>
      </c>
      <c r="I260" s="38" t="str">
        <f>IFERROR(IF(SUMPRODUCT(($C$2:$C$266=$H$246)*($F$2:$F$266=11))=0,"",INDEX($D$2:$D$266,SUMPRODUCT(($C$2:$C$266=$H$246)*($F$2:$F$266=11)*(ROW($C$2:$C$266)-ROW($C$2)+1)))),"")</f>
        <v/>
      </c>
      <c r="J260" s="38" t="str">
        <f>IFERROR(IF(SUMPRODUCT(($C$2:$C$266=$H$246)*($F$2:$F$266=11))=0,"",INDEX($E$2:$E$266,SUMPRODUCT(($C$2:$C$266=$H$246)*($F$2:$F$266=11)*(ROW($C$2:$C$266)-ROW($C$2)+1)))),"")</f>
        <v/>
      </c>
      <c r="K260" s="33"/>
    </row>
    <row r="261" spans="1:11" ht="14.25" customHeight="1" x14ac:dyDescent="0.3">
      <c r="A261" s="21">
        <f t="shared" si="29"/>
        <v>0</v>
      </c>
      <c r="B261" s="21"/>
      <c r="C261" s="22"/>
      <c r="D261" s="23"/>
      <c r="E261" s="24" t="e">
        <f t="shared" si="30"/>
        <v>#DIV/0!</v>
      </c>
      <c r="F261" t="str">
        <f>IF($C261="","",COUNTIF($C$2:$C261,$C261))</f>
        <v/>
      </c>
      <c r="H261" s="37" t="e">
        <f>IF(SUMPRODUCT(($C$2:$C$266=$H$246)*($F$2:$F$266=12))=0,"",INDEX($A$2:$A$266,SUMPRODUCT(($C$2:$C$266=$H$246)*($F$2:$F$266=12)*(ROW($C$2:$C$266)-ROW($C$2)+1))))</f>
        <v>#DIV/0!</v>
      </c>
      <c r="I261" s="38" t="str">
        <f>IFERROR(IF(SUMPRODUCT(($C$2:$C$266=$H$246)*($F$2:$F$266=12))=0,"",INDEX($D$2:$D$266,SUMPRODUCT(($C$2:$C$266=$H$246)*($F$2:$F$266=12)*(ROW($C$2:$C$266)-ROW($C$2)+1)))),"")</f>
        <v/>
      </c>
      <c r="J261" s="38" t="str">
        <f>IFERROR(IF(SUMPRODUCT(($C$2:$C$266=$H$246)*($F$2:$F$266=12))=0,"",INDEX($E$2:$E$266,SUMPRODUCT(($C$2:$C$266=$H$246)*($F$2:$F$266=12)*(ROW($C$2:$C$266)-ROW($C$2)+1)))),"")</f>
        <v/>
      </c>
      <c r="K261" s="33"/>
    </row>
    <row r="262" spans="1:11" ht="14.25" customHeight="1" x14ac:dyDescent="0.3">
      <c r="A262" s="21">
        <f t="shared" si="29"/>
        <v>0</v>
      </c>
      <c r="B262" s="21"/>
      <c r="C262" s="22"/>
      <c r="D262" s="23"/>
      <c r="E262" s="24" t="e">
        <f t="shared" si="30"/>
        <v>#DIV/0!</v>
      </c>
      <c r="F262" t="str">
        <f>IF($C262="","",COUNTIF($C$2:$C262,$C262))</f>
        <v/>
      </c>
      <c r="H262" s="37" t="e">
        <f>IF(SUMPRODUCT(($C$2:$C$266=$H$246)*($F$2:$F$266=13))=0,"",INDEX($A$2:$A$266,SUMPRODUCT(($C$2:$C$266=$H$246)*($F$2:$F$266=13)*(ROW($C$2:$C$266)-ROW($C$2)+1))))</f>
        <v>#DIV/0!</v>
      </c>
      <c r="I262" s="38" t="str">
        <f>IFERROR(IF(SUMPRODUCT(($C$2:$C$266=$H$246)*($F$2:$F$266=13))=0,"",INDEX($D$2:$D$266,SUMPRODUCT(($C$2:$C$266=$H$246)*($F$2:$F$266=13)*(ROW($C$2:$C$266)-ROW($C$2)+1)))),"")</f>
        <v/>
      </c>
      <c r="J262" s="38" t="str">
        <f>IFERROR(IF(SUMPRODUCT(($C$2:$C$266=$H$246)*($F$2:$F$266=13))=0,"",INDEX($E$2:$E$266,SUMPRODUCT(($C$2:$C$266=$H$246)*($F$2:$F$266=13)*(ROW($C$2:$C$266)-ROW($C$2)+1)))),"")</f>
        <v/>
      </c>
      <c r="K262" s="33"/>
    </row>
    <row r="263" spans="1:11" ht="14.25" customHeight="1" x14ac:dyDescent="0.3">
      <c r="A263" s="21">
        <f t="shared" si="29"/>
        <v>0</v>
      </c>
      <c r="B263" s="21"/>
      <c r="C263" s="22"/>
      <c r="D263" s="23"/>
      <c r="E263" s="24" t="e">
        <f t="shared" si="30"/>
        <v>#DIV/0!</v>
      </c>
      <c r="F263" t="str">
        <f>IF($C263="","",COUNTIF($C$2:$C263,$C263))</f>
        <v/>
      </c>
      <c r="H263" s="37" t="e">
        <f>IF(SUMPRODUCT(($C$2:$C$266=$H$246)*($F$2:$F$266=14))=0,"",INDEX($A$2:$A$266,SUMPRODUCT(($C$2:$C$266=$H$246)*($F$2:$F$266=14)*(ROW($C$2:$C$266)-ROW($C$2)+1))))</f>
        <v>#DIV/0!</v>
      </c>
      <c r="I263" s="38" t="str">
        <f>IFERROR(IF(SUMPRODUCT(($C$2:$C$266=$H$246)*($F$2:$F$266=14))=0,"",INDEX($D$2:$D$266,SUMPRODUCT(($C$2:$C$266=$H$246)*($F$2:$F$266=14)*(ROW($C$2:$C$266)-ROW($C$2)+1)))),"")</f>
        <v/>
      </c>
      <c r="J263" s="38" t="str">
        <f>IFERROR(IF(SUMPRODUCT(($C$2:$C$266=$H$246)*($F$2:$F$266=14))=0,"",INDEX($E$2:$E$266,SUMPRODUCT(($C$2:$C$266=$H$246)*($F$2:$F$266=14)*(ROW($C$2:$C$266)-ROW($C$2)+1)))),"")</f>
        <v/>
      </c>
      <c r="K263" s="33"/>
    </row>
    <row r="264" spans="1:11" ht="14.25" customHeight="1" x14ac:dyDescent="0.3">
      <c r="A264" s="21">
        <f t="shared" si="29"/>
        <v>0</v>
      </c>
      <c r="B264" s="21"/>
      <c r="C264" s="22"/>
      <c r="D264" s="23"/>
      <c r="E264" s="24" t="e">
        <f t="shared" si="30"/>
        <v>#DIV/0!</v>
      </c>
      <c r="F264" t="str">
        <f>IF($C264="","",COUNTIF($C$2:$C264,$C264))</f>
        <v/>
      </c>
      <c r="H264" s="37" t="e">
        <f>IF(SUMPRODUCT(($C$2:$C$266=$H$246)*($F$2:$F$266=15))=0,"",INDEX($A$2:$A$266,SUMPRODUCT(($C$2:$C$266=$H$246)*($F$2:$F$266=15)*(ROW($C$2:$C$266)-ROW($C$2)+1))))</f>
        <v>#DIV/0!</v>
      </c>
      <c r="I264" s="38" t="str">
        <f>IFERROR(IF(SUMPRODUCT(($C$2:$C$266=$H$246)*($F$2:$F$266=15))=0,"",INDEX($D$2:$D$266,SUMPRODUCT(($C$2:$C$266=$H$246)*($F$2:$F$266=15)*(ROW($C$2:$C$266)-ROW($C$2)+1)))),"")</f>
        <v/>
      </c>
      <c r="J264" s="38" t="str">
        <f>IFERROR(IF(SUMPRODUCT(($C$2:$C$266=$H$246)*($F$2:$F$266=15))=0,"",INDEX($E$2:$E$266,SUMPRODUCT(($C$2:$C$266=$H$246)*($F$2:$F$266=15)*(ROW($C$2:$C$266)-ROW($C$2)+1)))),"")</f>
        <v/>
      </c>
      <c r="K264" s="33"/>
    </row>
    <row r="265" spans="1:11" ht="15" customHeight="1" x14ac:dyDescent="0.3">
      <c r="C265" s="25" t="s">
        <v>24</v>
      </c>
      <c r="D265" s="26"/>
      <c r="E265" s="27" t="e">
        <f>SUM(E258:E264)</f>
        <v>#DIV/0!</v>
      </c>
      <c r="H265" s="37" t="e">
        <f>IF(SUMPRODUCT(($C$2:$C$266=$H$246)*($F$2:$F$266=16))=0,"",INDEX($A$2:$A$266,SUMPRODUCT(($C$2:$C$266=$H$246)*($F$2:$F$266=16)*(ROW($C$2:$C$266)-ROW($C$2)+1))))</f>
        <v>#DIV/0!</v>
      </c>
      <c r="I265" s="38" t="str">
        <f>IFERROR(IF(SUMPRODUCT(($C$2:$C$266=$H$246)*($F$2:$F$266=16))=0,"",INDEX($D$2:$D$266,SUMPRODUCT(($C$2:$C$266=$H$246)*($F$2:$F$266=16)*(ROW($C$2:$C$266)-ROW($C$2)+1)))),"")</f>
        <v/>
      </c>
      <c r="J265" s="38" t="str">
        <f>IFERROR(IF(SUMPRODUCT(($C$2:$C$266=$H$246)*($F$2:$F$266=16))=0,"",INDEX($E$2:$E$266,SUMPRODUCT(($C$2:$C$266=$H$246)*($F$2:$F$266=16)*(ROW($C$2:$C$266)-ROW($C$2)+1)))),"")</f>
        <v/>
      </c>
      <c r="K265" s="33"/>
    </row>
    <row r="266" spans="1:11" ht="14.25" customHeight="1" x14ac:dyDescent="0.3">
      <c r="C266" s="39"/>
      <c r="D266" s="40"/>
      <c r="E266" s="40"/>
      <c r="H266" s="34" t="str">
        <f>H16</f>
        <v>Sophie Morris</v>
      </c>
      <c r="I266" s="32"/>
      <c r="J266" s="32"/>
      <c r="K266" s="33"/>
    </row>
    <row r="267" spans="1:11" ht="14.25" customHeight="1" x14ac:dyDescent="0.3">
      <c r="H267" s="35" t="s">
        <v>26</v>
      </c>
      <c r="I267" s="32">
        <f>IFERROR(SUMIF($C$2:$C$266,H266,$D$2:$D$266),0)</f>
        <v>0</v>
      </c>
      <c r="J267" s="32"/>
      <c r="K267" s="33"/>
    </row>
    <row r="268" spans="1:11" ht="14.25" customHeight="1" x14ac:dyDescent="0.3">
      <c r="H268" s="35" t="s">
        <v>27</v>
      </c>
      <c r="I268" s="32">
        <f>IFERROR(SUMIF($C$2:$C$266,H266,$E$2:$E$266),0)</f>
        <v>0</v>
      </c>
      <c r="J268" s="32"/>
      <c r="K268" s="33"/>
    </row>
    <row r="269" spans="1:11" ht="14.25" customHeight="1" x14ac:dyDescent="0.3">
      <c r="H269" s="18" t="s">
        <v>28</v>
      </c>
      <c r="I269" s="20" t="s">
        <v>15</v>
      </c>
      <c r="J269" s="20" t="s">
        <v>16</v>
      </c>
      <c r="K269" s="33"/>
    </row>
    <row r="270" spans="1:11" ht="14.25" customHeight="1" x14ac:dyDescent="0.3">
      <c r="H270" s="37" t="e">
        <f>IF(SUMPRODUCT(($C$2:$C$266=$H$266)*($F$2:$F$266=1))=0,"No entries yet",INDEX($A$2:$A$266,SUMPRODUCT(($C$2:$C$266=$H$266)*($F$2:$F$266=1)*(ROW($C$2:$C$266)-ROW($C$2)+1))))</f>
        <v>#DIV/0!</v>
      </c>
      <c r="I270" s="38" t="str">
        <f>IFERROR(IF(SUMPRODUCT(($C$2:$C$266=$H$266)*($F$2:$F$266=1))=0,"",INDEX($D$2:$D$266,SUMPRODUCT(($C$2:$C$266=$H$266)*($F$2:$F$266=1)*(ROW($C$2:$C$266)-ROW($C$2)+1)))),"")</f>
        <v/>
      </c>
      <c r="J270" s="38" t="str">
        <f>IFERROR(IF(SUMPRODUCT(($C$2:$C$266=$H$266)*($F$2:$F$266=1))=0,"",INDEX($E$2:$E$266,SUMPRODUCT(($C$2:$C$266=$H$266)*($F$2:$F$266=1)*(ROW($C$2:$C$266)-ROW($C$2)+1)))),"")</f>
        <v/>
      </c>
      <c r="K270" s="33"/>
    </row>
    <row r="271" spans="1:11" ht="14.25" customHeight="1" x14ac:dyDescent="0.3">
      <c r="H271" s="37" t="e">
        <f>IF(SUMPRODUCT(($C$2:$C$266=$H$266)*($F$2:$F$266=2))=0,"",INDEX($A$2:$A$266,SUMPRODUCT(($C$2:$C$266=$H$266)*($F$2:$F$266=2)*(ROW($C$2:$C$266)-ROW($C$2)+1))))</f>
        <v>#DIV/0!</v>
      </c>
      <c r="I271" s="38" t="str">
        <f>IFERROR(IF(SUMPRODUCT(($C$2:$C$266=$H$266)*($F$2:$F$266=2))=0,"",INDEX($D$2:$D$266,SUMPRODUCT(($C$2:$C$266=$H$266)*($F$2:$F$266=2)*(ROW($C$2:$C$266)-ROW($C$2)+1)))),"")</f>
        <v/>
      </c>
      <c r="J271" s="38" t="str">
        <f>IFERROR(IF(SUMPRODUCT(($C$2:$C$266=$H$266)*($F$2:$F$266=2))=0,"",INDEX($E$2:$E$266,SUMPRODUCT(($C$2:$C$266=$H$266)*($F$2:$F$266=2)*(ROW($C$2:$C$266)-ROW($C$2)+1)))),"")</f>
        <v/>
      </c>
      <c r="K271" s="33"/>
    </row>
    <row r="272" spans="1:11" ht="14.25" customHeight="1" x14ac:dyDescent="0.3">
      <c r="H272" s="37" t="e">
        <f>IF(SUMPRODUCT(($C$2:$C$266=$H$266)*($F$2:$F$266=3))=0,"",INDEX($A$2:$A$266,SUMPRODUCT(($C$2:$C$266=$H$266)*($F$2:$F$266=3)*(ROW($C$2:$C$266)-ROW($C$2)+1))))</f>
        <v>#DIV/0!</v>
      </c>
      <c r="I272" s="38" t="str">
        <f>IFERROR(IF(SUMPRODUCT(($C$2:$C$266=$H$266)*($F$2:$F$266=3))=0,"",INDEX($D$2:$D$266,SUMPRODUCT(($C$2:$C$266=$H$266)*($F$2:$F$266=3)*(ROW($C$2:$C$266)-ROW($C$2)+1)))),"")</f>
        <v/>
      </c>
      <c r="J272" s="38" t="str">
        <f>IFERROR(IF(SUMPRODUCT(($C$2:$C$266=$H$266)*($F$2:$F$266=3))=0,"",INDEX($E$2:$E$266,SUMPRODUCT(($C$2:$C$266=$H$266)*($F$2:$F$266=3)*(ROW($C$2:$C$266)-ROW($C$2)+1)))),"")</f>
        <v/>
      </c>
      <c r="K272" s="33"/>
    </row>
    <row r="273" spans="8:11" ht="14.25" customHeight="1" x14ac:dyDescent="0.3">
      <c r="H273" s="37" t="e">
        <f>IF(SUMPRODUCT(($C$2:$C$266=$H$266)*($F$2:$F$266=4))=0,"",INDEX($A$2:$A$266,SUMPRODUCT(($C$2:$C$266=$H$266)*($F$2:$F$266=4)*(ROW($C$2:$C$266)-ROW($C$2)+1))))</f>
        <v>#DIV/0!</v>
      </c>
      <c r="I273" s="38" t="str">
        <f>IFERROR(IF(SUMPRODUCT(($C$2:$C$266=$H$266)*($F$2:$F$266=4))=0,"",INDEX($D$2:$D$266,SUMPRODUCT(($C$2:$C$266=$H$266)*($F$2:$F$266=4)*(ROW($C$2:$C$266)-ROW($C$2)+1)))),"")</f>
        <v/>
      </c>
      <c r="J273" s="38" t="str">
        <f>IFERROR(IF(SUMPRODUCT(($C$2:$C$266=$H$266)*($F$2:$F$266=4))=0,"",INDEX($E$2:$E$266,SUMPRODUCT(($C$2:$C$266=$H$266)*($F$2:$F$266=4)*(ROW($C$2:$C$266)-ROW($C$2)+1)))),"")</f>
        <v/>
      </c>
      <c r="K273" s="33"/>
    </row>
    <row r="274" spans="8:11" ht="14.25" customHeight="1" x14ac:dyDescent="0.3">
      <c r="H274" s="37" t="e">
        <f>IF(SUMPRODUCT(($C$2:$C$266=$H$266)*($F$2:$F$266=5))=0,"",INDEX($A$2:$A$266,SUMPRODUCT(($C$2:$C$266=$H$266)*($F$2:$F$266=5)*(ROW($C$2:$C$266)-ROW($C$2)+1))))</f>
        <v>#DIV/0!</v>
      </c>
      <c r="I274" s="38" t="str">
        <f>IFERROR(IF(SUMPRODUCT(($C$2:$C$266=$H$266)*($F$2:$F$266=5))=0,"",INDEX($D$2:$D$266,SUMPRODUCT(($C$2:$C$266=$H$266)*($F$2:$F$266=5)*(ROW($C$2:$C$266)-ROW($C$2)+1)))),"")</f>
        <v/>
      </c>
      <c r="J274" s="38" t="str">
        <f>IFERROR(IF(SUMPRODUCT(($C$2:$C$266=$H$266)*($F$2:$F$266=5))=0,"",INDEX($E$2:$E$266,SUMPRODUCT(($C$2:$C$266=$H$266)*($F$2:$F$266=5)*(ROW($C$2:$C$266)-ROW($C$2)+1)))),"")</f>
        <v/>
      </c>
      <c r="K274" s="33"/>
    </row>
    <row r="275" spans="8:11" ht="14.25" customHeight="1" x14ac:dyDescent="0.3">
      <c r="H275" s="37" t="e">
        <f>IF(SUMPRODUCT(($C$2:$C$266=$H$266)*($F$2:$F$266=6))=0,"",INDEX($A$2:$A$266,SUMPRODUCT(($C$2:$C$266=$H$266)*($F$2:$F$266=6)*(ROW($C$2:$C$266)-ROW($C$2)+1))))</f>
        <v>#DIV/0!</v>
      </c>
      <c r="I275" s="38" t="str">
        <f>IFERROR(IF(SUMPRODUCT(($C$2:$C$266=$H$266)*($F$2:$F$266=6))=0,"",INDEX($D$2:$D$266,SUMPRODUCT(($C$2:$C$266=$H$266)*($F$2:$F$266=6)*(ROW($C$2:$C$266)-ROW($C$2)+1)))),"")</f>
        <v/>
      </c>
      <c r="J275" s="38" t="str">
        <f>IFERROR(IF(SUMPRODUCT(($C$2:$C$266=$H$266)*($F$2:$F$266=6))=0,"",INDEX($E$2:$E$266,SUMPRODUCT(($C$2:$C$266=$H$266)*($F$2:$F$266=6)*(ROW($C$2:$C$266)-ROW($C$2)+1)))),"")</f>
        <v/>
      </c>
      <c r="K275" s="33"/>
    </row>
    <row r="276" spans="8:11" ht="14.25" customHeight="1" x14ac:dyDescent="0.3">
      <c r="H276" s="37" t="e">
        <f>IF(SUMPRODUCT(($C$2:$C$266=$H$266)*($F$2:$F$266=7))=0,"",INDEX($A$2:$A$266,SUMPRODUCT(($C$2:$C$266=$H$266)*($F$2:$F$266=7)*(ROW($C$2:$C$266)-ROW($C$2)+1))))</f>
        <v>#DIV/0!</v>
      </c>
      <c r="I276" s="38" t="str">
        <f>IFERROR(IF(SUMPRODUCT(($C$2:$C$266=$H$266)*($F$2:$F$266=7))=0,"",INDEX($D$2:$D$266,SUMPRODUCT(($C$2:$C$266=$H$266)*($F$2:$F$266=7)*(ROW($C$2:$C$266)-ROW($C$2)+1)))),"")</f>
        <v/>
      </c>
      <c r="J276" s="38" t="str">
        <f>IFERROR(IF(SUMPRODUCT(($C$2:$C$266=$H$266)*($F$2:$F$266=7))=0,"",INDEX($E$2:$E$266,SUMPRODUCT(($C$2:$C$266=$H$266)*($F$2:$F$266=7)*(ROW($C$2:$C$266)-ROW($C$2)+1)))),"")</f>
        <v/>
      </c>
      <c r="K276" s="33"/>
    </row>
    <row r="277" spans="8:11" ht="14.25" customHeight="1" x14ac:dyDescent="0.3">
      <c r="H277" s="37" t="e">
        <f>IF(SUMPRODUCT(($C$2:$C$266=$H$266)*($F$2:$F$266=8))=0,"",INDEX($A$2:$A$266,SUMPRODUCT(($C$2:$C$266=$H$266)*($F$2:$F$266=8)*(ROW($C$2:$C$266)-ROW($C$2)+1))))</f>
        <v>#DIV/0!</v>
      </c>
      <c r="I277" s="38" t="str">
        <f>IFERROR(IF(SUMPRODUCT(($C$2:$C$266=$H$266)*($F$2:$F$266=8))=0,"",INDEX($D$2:$D$266,SUMPRODUCT(($C$2:$C$266=$H$266)*($F$2:$F$266=8)*(ROW($C$2:$C$266)-ROW($C$2)+1)))),"")</f>
        <v/>
      </c>
      <c r="J277" s="38" t="str">
        <f>IFERROR(IF(SUMPRODUCT(($C$2:$C$266=$H$266)*($F$2:$F$266=8))=0,"",INDEX($E$2:$E$266,SUMPRODUCT(($C$2:$C$266=$H$266)*($F$2:$F$266=8)*(ROW($C$2:$C$266)-ROW($C$2)+1)))),"")</f>
        <v/>
      </c>
      <c r="K277" s="33"/>
    </row>
    <row r="278" spans="8:11" ht="14.25" customHeight="1" x14ac:dyDescent="0.3">
      <c r="H278" s="37" t="e">
        <f>IF(SUMPRODUCT(($C$2:$C$266=$H$266)*($F$2:$F$266=9))=0,"",INDEX($A$2:$A$266,SUMPRODUCT(($C$2:$C$266=$H$266)*($F$2:$F$266=9)*(ROW($C$2:$C$266)-ROW($C$2)+1))))</f>
        <v>#DIV/0!</v>
      </c>
      <c r="I278" s="38" t="str">
        <f>IFERROR(IF(SUMPRODUCT(($C$2:$C$266=$H$266)*($F$2:$F$266=9))=0,"",INDEX($D$2:$D$266,SUMPRODUCT(($C$2:$C$266=$H$266)*($F$2:$F$266=9)*(ROW($C$2:$C$266)-ROW($C$2)+1)))),"")</f>
        <v/>
      </c>
      <c r="J278" s="38" t="str">
        <f>IFERROR(IF(SUMPRODUCT(($C$2:$C$266=$H$266)*($F$2:$F$266=9))=0,"",INDEX($E$2:$E$266,SUMPRODUCT(($C$2:$C$266=$H$266)*($F$2:$F$266=9)*(ROW($C$2:$C$266)-ROW($C$2)+1)))),"")</f>
        <v/>
      </c>
      <c r="K278" s="33"/>
    </row>
    <row r="279" spans="8:11" ht="14.25" customHeight="1" x14ac:dyDescent="0.3">
      <c r="H279" s="37" t="e">
        <f>IF(SUMPRODUCT(($C$2:$C$266=$H$266)*($F$2:$F$266=10))=0,"",INDEX($A$2:$A$266,SUMPRODUCT(($C$2:$C$266=$H$266)*($F$2:$F$266=10)*(ROW($C$2:$C$266)-ROW($C$2)+1))))</f>
        <v>#DIV/0!</v>
      </c>
      <c r="I279" s="38" t="str">
        <f>IFERROR(IF(SUMPRODUCT(($C$2:$C$266=$H$266)*($F$2:$F$266=10))=0,"",INDEX($D$2:$D$266,SUMPRODUCT(($C$2:$C$266=$H$266)*($F$2:$F$266=10)*(ROW($C$2:$C$266)-ROW($C$2)+1)))),"")</f>
        <v/>
      </c>
      <c r="J279" s="38" t="str">
        <f>IFERROR(IF(SUMPRODUCT(($C$2:$C$266=$H$266)*($F$2:$F$266=10))=0,"",INDEX($E$2:$E$266,SUMPRODUCT(($C$2:$C$266=$H$266)*($F$2:$F$266=10)*(ROW($C$2:$C$266)-ROW($C$2)+1)))),"")</f>
        <v/>
      </c>
      <c r="K279" s="33"/>
    </row>
    <row r="280" spans="8:11" ht="14.25" customHeight="1" x14ac:dyDescent="0.3">
      <c r="H280" s="37" t="e">
        <f>IF(SUMPRODUCT(($C$2:$C$266=$H$266)*($F$2:$F$266=11))=0,"",INDEX($A$2:$A$266,SUMPRODUCT(($C$2:$C$266=$H$266)*($F$2:$F$266=11)*(ROW($C$2:$C$266)-ROW($C$2)+1))))</f>
        <v>#DIV/0!</v>
      </c>
      <c r="I280" s="38" t="str">
        <f>IFERROR(IF(SUMPRODUCT(($C$2:$C$266=$H$266)*($F$2:$F$266=11))=0,"",INDEX($D$2:$D$266,SUMPRODUCT(($C$2:$C$266=$H$266)*($F$2:$F$266=11)*(ROW($C$2:$C$266)-ROW($C$2)+1)))),"")</f>
        <v/>
      </c>
      <c r="J280" s="38" t="str">
        <f>IFERROR(IF(SUMPRODUCT(($C$2:$C$266=$H$266)*($F$2:$F$266=11))=0,"",INDEX($E$2:$E$266,SUMPRODUCT(($C$2:$C$266=$H$266)*($F$2:$F$266=11)*(ROW($C$2:$C$266)-ROW($C$2)+1)))),"")</f>
        <v/>
      </c>
      <c r="K280" s="33"/>
    </row>
    <row r="281" spans="8:11" ht="14.25" customHeight="1" x14ac:dyDescent="0.3">
      <c r="H281" s="37" t="e">
        <f>IF(SUMPRODUCT(($C$2:$C$266=$H$266)*($F$2:$F$266=12))=0,"",INDEX($A$2:$A$266,SUMPRODUCT(($C$2:$C$266=$H$266)*($F$2:$F$266=12)*(ROW($C$2:$C$266)-ROW($C$2)+1))))</f>
        <v>#DIV/0!</v>
      </c>
      <c r="I281" s="38" t="str">
        <f>IFERROR(IF(SUMPRODUCT(($C$2:$C$266=$H$266)*($F$2:$F$266=12))=0,"",INDEX($D$2:$D$266,SUMPRODUCT(($C$2:$C$266=$H$266)*($F$2:$F$266=12)*(ROW($C$2:$C$266)-ROW($C$2)+1)))),"")</f>
        <v/>
      </c>
      <c r="J281" s="38" t="str">
        <f>IFERROR(IF(SUMPRODUCT(($C$2:$C$266=$H$266)*($F$2:$F$266=12))=0,"",INDEX($E$2:$E$266,SUMPRODUCT(($C$2:$C$266=$H$266)*($F$2:$F$266=12)*(ROW($C$2:$C$266)-ROW($C$2)+1)))),"")</f>
        <v/>
      </c>
      <c r="K281" s="33"/>
    </row>
    <row r="282" spans="8:11" ht="14.25" customHeight="1" x14ac:dyDescent="0.3">
      <c r="H282" s="37" t="e">
        <f>IF(SUMPRODUCT(($C$2:$C$266=$H$266)*($F$2:$F$266=13))=0,"",INDEX($A$2:$A$266,SUMPRODUCT(($C$2:$C$266=$H$266)*($F$2:$F$266=13)*(ROW($C$2:$C$266)-ROW($C$2)+1))))</f>
        <v>#DIV/0!</v>
      </c>
      <c r="I282" s="38" t="str">
        <f>IFERROR(IF(SUMPRODUCT(($C$2:$C$266=$H$266)*($F$2:$F$266=13))=0,"",INDEX($D$2:$D$266,SUMPRODUCT(($C$2:$C$266=$H$266)*($F$2:$F$266=13)*(ROW($C$2:$C$266)-ROW($C$2)+1)))),"")</f>
        <v/>
      </c>
      <c r="J282" s="38" t="str">
        <f>IFERROR(IF(SUMPRODUCT(($C$2:$C$266=$H$266)*($F$2:$F$266=13))=0,"",INDEX($E$2:$E$266,SUMPRODUCT(($C$2:$C$266=$H$266)*($F$2:$F$266=13)*(ROW($C$2:$C$266)-ROW($C$2)+1)))),"")</f>
        <v/>
      </c>
      <c r="K282" s="33"/>
    </row>
    <row r="283" spans="8:11" ht="14.25" customHeight="1" x14ac:dyDescent="0.3">
      <c r="H283" s="37" t="e">
        <f>IF(SUMPRODUCT(($C$2:$C$266=$H$266)*($F$2:$F$266=14))=0,"",INDEX($A$2:$A$266,SUMPRODUCT(($C$2:$C$266=$H$266)*($F$2:$F$266=14)*(ROW($C$2:$C$266)-ROW($C$2)+1))))</f>
        <v>#DIV/0!</v>
      </c>
      <c r="I283" s="38" t="str">
        <f>IFERROR(IF(SUMPRODUCT(($C$2:$C$266=$H$266)*($F$2:$F$266=14))=0,"",INDEX($D$2:$D$266,SUMPRODUCT(($C$2:$C$266=$H$266)*($F$2:$F$266=14)*(ROW($C$2:$C$266)-ROW($C$2)+1)))),"")</f>
        <v/>
      </c>
      <c r="J283" s="38" t="str">
        <f>IFERROR(IF(SUMPRODUCT(($C$2:$C$266=$H$266)*($F$2:$F$266=14))=0,"",INDEX($E$2:$E$266,SUMPRODUCT(($C$2:$C$266=$H$266)*($F$2:$F$266=14)*(ROW($C$2:$C$266)-ROW($C$2)+1)))),"")</f>
        <v/>
      </c>
      <c r="K283" s="33"/>
    </row>
    <row r="284" spans="8:11" ht="14.25" customHeight="1" x14ac:dyDescent="0.3">
      <c r="H284" s="37" t="e">
        <f>IF(SUMPRODUCT(($C$2:$C$266=$H$266)*($F$2:$F$266=15))=0,"",INDEX($A$2:$A$266,SUMPRODUCT(($C$2:$C$266=$H$266)*($F$2:$F$266=15)*(ROW($C$2:$C$266)-ROW($C$2)+1))))</f>
        <v>#DIV/0!</v>
      </c>
      <c r="I284" s="38" t="str">
        <f>IFERROR(IF(SUMPRODUCT(($C$2:$C$266=$H$266)*($F$2:$F$266=15))=0,"",INDEX($D$2:$D$266,SUMPRODUCT(($C$2:$C$266=$H$266)*($F$2:$F$266=15)*(ROW($C$2:$C$266)-ROW($C$2)+1)))),"")</f>
        <v/>
      </c>
      <c r="J284" s="38" t="str">
        <f>IFERROR(IF(SUMPRODUCT(($C$2:$C$266=$H$266)*($F$2:$F$266=15))=0,"",INDEX($E$2:$E$266,SUMPRODUCT(($C$2:$C$266=$H$266)*($F$2:$F$266=15)*(ROW($C$2:$C$266)-ROW($C$2)+1)))),"")</f>
        <v/>
      </c>
      <c r="K284" s="33"/>
    </row>
    <row r="285" spans="8:11" ht="14.25" customHeight="1" x14ac:dyDescent="0.3">
      <c r="H285" s="37" t="e">
        <f>IF(SUMPRODUCT(($C$2:$C$266=$H$266)*($F$2:$F$266=16))=0,"",INDEX($A$2:$A$266,SUMPRODUCT(($C$2:$C$266=$H$266)*($F$2:$F$266=16)*(ROW($C$2:$C$266)-ROW($C$2)+1))))</f>
        <v>#DIV/0!</v>
      </c>
      <c r="I285" s="38" t="str">
        <f>IFERROR(IF(SUMPRODUCT(($C$2:$C$266=$H$266)*($F$2:$F$266=16))=0,"",INDEX($D$2:$D$266,SUMPRODUCT(($C$2:$C$266=$H$266)*($F$2:$F$266=16)*(ROW($C$2:$C$266)-ROW($C$2)+1)))),"")</f>
        <v/>
      </c>
      <c r="J285" s="38" t="str">
        <f>IFERROR(IF(SUMPRODUCT(($C$2:$C$266=$H$266)*($F$2:$F$266=16))=0,"",INDEX($E$2:$E$266,SUMPRODUCT(($C$2:$C$266=$H$266)*($F$2:$F$266=16)*(ROW($C$2:$C$266)-ROW($C$2)+1)))),"")</f>
        <v/>
      </c>
      <c r="K285" s="33"/>
    </row>
    <row r="286" spans="8:11" ht="14.25" customHeight="1" x14ac:dyDescent="0.3">
      <c r="H286" s="32"/>
      <c r="I286" s="32"/>
      <c r="J286" s="32"/>
      <c r="K286" s="33"/>
    </row>
    <row r="287" spans="8:11" ht="14.25" customHeight="1" x14ac:dyDescent="0.3">
      <c r="H287" s="32"/>
      <c r="I287" s="32"/>
      <c r="J287" s="32"/>
      <c r="K287" s="33"/>
    </row>
    <row r="288" spans="8:11" ht="14.25" customHeight="1" x14ac:dyDescent="0.3">
      <c r="H288" s="32"/>
      <c r="I288" s="32"/>
      <c r="J288" s="32"/>
      <c r="K288" s="33"/>
    </row>
    <row r="289" spans="8:11" ht="14.25" customHeight="1" x14ac:dyDescent="0.3">
      <c r="H289" s="32"/>
      <c r="I289" s="32"/>
      <c r="J289" s="32"/>
      <c r="K289" s="33"/>
    </row>
    <row r="290" spans="8:11" ht="14.25" customHeight="1" x14ac:dyDescent="0.3">
      <c r="H290" s="32"/>
      <c r="I290" s="32"/>
      <c r="J290" s="32"/>
      <c r="K290" s="33"/>
    </row>
    <row r="291" spans="8:11" ht="14.25" customHeight="1" x14ac:dyDescent="0.3">
      <c r="H291" s="32"/>
      <c r="I291" s="32"/>
      <c r="J291" s="32"/>
      <c r="K291" s="33"/>
    </row>
    <row r="292" spans="8:11" ht="14.25" customHeight="1" x14ac:dyDescent="0.3">
      <c r="H292" s="32"/>
      <c r="I292" s="32"/>
      <c r="J292" s="32"/>
      <c r="K292" s="33"/>
    </row>
    <row r="293" spans="8:11" ht="14.25" customHeight="1" x14ac:dyDescent="0.3">
      <c r="H293" s="32"/>
      <c r="I293" s="32"/>
      <c r="J293" s="32"/>
      <c r="K293" s="33"/>
    </row>
    <row r="294" spans="8:11" ht="14.25" customHeight="1" x14ac:dyDescent="0.3">
      <c r="H294" s="32"/>
      <c r="I294" s="32"/>
      <c r="J294" s="32"/>
      <c r="K294" s="33"/>
    </row>
    <row r="295" spans="8:11" ht="14.25" customHeight="1" x14ac:dyDescent="0.3">
      <c r="H295" s="32"/>
      <c r="I295" s="32"/>
      <c r="J295" s="32"/>
      <c r="K295" s="33"/>
    </row>
    <row r="296" spans="8:11" ht="14.25" customHeight="1" x14ac:dyDescent="0.3">
      <c r="H296" s="32"/>
      <c r="I296" s="32"/>
      <c r="J296" s="32"/>
      <c r="K296" s="33"/>
    </row>
    <row r="297" spans="8:11" ht="14.25" customHeight="1" x14ac:dyDescent="0.3">
      <c r="H297" s="32"/>
      <c r="I297" s="32"/>
      <c r="J297" s="32"/>
      <c r="K297" s="33"/>
    </row>
    <row r="298" spans="8:11" ht="14.25" customHeight="1" x14ac:dyDescent="0.3">
      <c r="H298" s="32"/>
      <c r="I298" s="32"/>
      <c r="J298" s="32"/>
      <c r="K298" s="33"/>
    </row>
    <row r="299" spans="8:11" ht="14.25" customHeight="1" x14ac:dyDescent="0.3">
      <c r="H299" s="32"/>
      <c r="I299" s="32"/>
      <c r="J299" s="32"/>
      <c r="K299" s="33"/>
    </row>
    <row r="300" spans="8:11" ht="14.25" customHeight="1" x14ac:dyDescent="0.3">
      <c r="H300" s="32"/>
      <c r="I300" s="32"/>
      <c r="J300" s="32"/>
      <c r="K300" s="33"/>
    </row>
    <row r="301" spans="8:11" ht="14.25" customHeight="1" x14ac:dyDescent="0.3">
      <c r="H301" s="33"/>
      <c r="I301" s="33"/>
      <c r="J301" s="33"/>
      <c r="K301" s="33"/>
    </row>
    <row r="302" spans="8:11" ht="14.25" customHeight="1" x14ac:dyDescent="0.3">
      <c r="H302" s="33"/>
      <c r="I302" s="33"/>
      <c r="J302" s="33"/>
      <c r="K302" s="33"/>
    </row>
    <row r="303" spans="8:11" ht="14.25" customHeight="1" x14ac:dyDescent="0.3">
      <c r="H303" s="33"/>
      <c r="I303" s="33"/>
      <c r="J303" s="33"/>
      <c r="K303" s="33"/>
    </row>
    <row r="304" spans="8:11" ht="14.25" customHeight="1" x14ac:dyDescent="0.3">
      <c r="H304" s="33"/>
      <c r="I304" s="33"/>
      <c r="J304" s="33"/>
      <c r="K304" s="33"/>
    </row>
    <row r="305" spans="8:11" ht="14.25" customHeight="1" x14ac:dyDescent="0.3">
      <c r="H305" s="33"/>
      <c r="I305" s="33"/>
      <c r="J305" s="33"/>
      <c r="K305" s="33"/>
    </row>
    <row r="306" spans="8:11" ht="14.25" customHeight="1" x14ac:dyDescent="0.3">
      <c r="H306" s="33"/>
      <c r="I306" s="33"/>
      <c r="J306" s="33"/>
      <c r="K306" s="33"/>
    </row>
    <row r="307" spans="8:11" ht="14.25" customHeight="1" x14ac:dyDescent="0.3">
      <c r="H307" s="33"/>
      <c r="I307" s="33"/>
      <c r="J307" s="33"/>
      <c r="K307" s="33"/>
    </row>
    <row r="308" spans="8:11" ht="14.25" customHeight="1" x14ac:dyDescent="0.3">
      <c r="H308" s="33"/>
      <c r="I308" s="33"/>
      <c r="J308" s="33"/>
      <c r="K308" s="33"/>
    </row>
    <row r="309" spans="8:11" ht="14.25" customHeight="1" x14ac:dyDescent="0.3">
      <c r="H309" s="33"/>
      <c r="I309" s="33"/>
      <c r="J309" s="33"/>
      <c r="K309" s="33"/>
    </row>
    <row r="310" spans="8:11" ht="14.25" customHeight="1" x14ac:dyDescent="0.3">
      <c r="H310" s="33"/>
      <c r="I310" s="33"/>
      <c r="J310" s="33"/>
      <c r="K310" s="33"/>
    </row>
    <row r="311" spans="8:11" ht="14.25" customHeight="1" x14ac:dyDescent="0.3">
      <c r="H311" s="33"/>
      <c r="I311" s="33"/>
      <c r="J311" s="33"/>
      <c r="K311" s="33"/>
    </row>
    <row r="312" spans="8:11" ht="14.25" customHeight="1" x14ac:dyDescent="0.3">
      <c r="H312" s="33"/>
      <c r="I312" s="33"/>
      <c r="J312" s="33"/>
      <c r="K312" s="33"/>
    </row>
    <row r="313" spans="8:11" ht="14.25" customHeight="1" x14ac:dyDescent="0.3">
      <c r="H313" s="33"/>
      <c r="I313" s="33"/>
      <c r="J313" s="33"/>
      <c r="K313" s="33"/>
    </row>
    <row r="314" spans="8:11" ht="14.25" customHeight="1" x14ac:dyDescent="0.3">
      <c r="H314" s="33"/>
      <c r="I314" s="33"/>
      <c r="J314" s="33"/>
      <c r="K314" s="33"/>
    </row>
    <row r="315" spans="8:11" ht="14.25" customHeight="1" x14ac:dyDescent="0.3">
      <c r="H315" s="33"/>
      <c r="I315" s="33"/>
      <c r="J315" s="33"/>
      <c r="K315" s="33"/>
    </row>
    <row r="316" spans="8:11" ht="14.25" customHeight="1" x14ac:dyDescent="0.3">
      <c r="H316" s="33"/>
      <c r="I316" s="33"/>
      <c r="J316" s="33"/>
      <c r="K316" s="33"/>
    </row>
    <row r="317" spans="8:11" ht="14.25" customHeight="1" x14ac:dyDescent="0.3">
      <c r="H317" s="33"/>
      <c r="I317" s="33"/>
      <c r="J317" s="33"/>
      <c r="K317" s="33"/>
    </row>
    <row r="318" spans="8:11" ht="14.25" customHeight="1" x14ac:dyDescent="0.3">
      <c r="H318" s="33"/>
      <c r="I318" s="33"/>
      <c r="J318" s="33"/>
      <c r="K318" s="33"/>
    </row>
    <row r="319" spans="8:11" ht="14.25" customHeight="1" x14ac:dyDescent="0.3">
      <c r="H319" s="33"/>
      <c r="I319" s="33"/>
      <c r="J319" s="33"/>
      <c r="K319" s="33"/>
    </row>
    <row r="320" spans="8:11" ht="14.25" customHeight="1" x14ac:dyDescent="0.3">
      <c r="H320" s="33"/>
      <c r="I320" s="33"/>
      <c r="J320" s="33"/>
      <c r="K320" s="33"/>
    </row>
    <row r="321" spans="8:11" ht="14.25" customHeight="1" x14ac:dyDescent="0.3">
      <c r="H321" s="33"/>
      <c r="I321" s="33"/>
      <c r="J321" s="33"/>
      <c r="K321" s="33"/>
    </row>
    <row r="322" spans="8:11" ht="14.25" customHeight="1" x14ac:dyDescent="0.3">
      <c r="H322" s="33"/>
      <c r="I322" s="33"/>
      <c r="J322" s="33"/>
      <c r="K322" s="33"/>
    </row>
    <row r="323" spans="8:11" ht="14.25" customHeight="1" x14ac:dyDescent="0.3">
      <c r="H323" s="33"/>
      <c r="I323" s="33"/>
      <c r="J323" s="33"/>
      <c r="K323" s="33"/>
    </row>
    <row r="324" spans="8:11" ht="14.25" customHeight="1" x14ac:dyDescent="0.3">
      <c r="H324" s="33"/>
      <c r="I324" s="33"/>
      <c r="J324" s="33"/>
      <c r="K324" s="33"/>
    </row>
    <row r="325" spans="8:11" ht="14.25" customHeight="1" x14ac:dyDescent="0.3">
      <c r="H325" s="33"/>
      <c r="I325" s="33"/>
      <c r="J325" s="33"/>
      <c r="K325" s="33"/>
    </row>
    <row r="326" spans="8:11" ht="14.25" customHeight="1" x14ac:dyDescent="0.3">
      <c r="H326" s="33"/>
      <c r="I326" s="33"/>
      <c r="J326" s="33"/>
      <c r="K326" s="33"/>
    </row>
    <row r="327" spans="8:11" ht="14.25" customHeight="1" x14ac:dyDescent="0.3">
      <c r="H327" s="33"/>
      <c r="I327" s="33"/>
      <c r="J327" s="33"/>
      <c r="K327" s="33"/>
    </row>
    <row r="328" spans="8:11" ht="14.25" customHeight="1" x14ac:dyDescent="0.3">
      <c r="H328" s="33"/>
      <c r="I328" s="33"/>
      <c r="J328" s="33"/>
      <c r="K328" s="33"/>
    </row>
    <row r="329" spans="8:11" ht="14.25" customHeight="1" x14ac:dyDescent="0.3">
      <c r="H329" s="33"/>
      <c r="I329" s="33"/>
      <c r="J329" s="33"/>
      <c r="K329" s="33"/>
    </row>
    <row r="330" spans="8:11" ht="14.25" customHeight="1" x14ac:dyDescent="0.3">
      <c r="H330" s="33"/>
      <c r="I330" s="33"/>
      <c r="J330" s="33"/>
      <c r="K330" s="33"/>
    </row>
    <row r="331" spans="8:11" ht="14.25" customHeight="1" x14ac:dyDescent="0.3">
      <c r="H331" s="33"/>
      <c r="I331" s="33"/>
      <c r="J331" s="33"/>
      <c r="K331" s="33"/>
    </row>
    <row r="332" spans="8:11" ht="14.25" customHeight="1" x14ac:dyDescent="0.3">
      <c r="H332" s="33"/>
      <c r="I332" s="33"/>
      <c r="J332" s="33"/>
      <c r="K332" s="33"/>
    </row>
    <row r="333" spans="8:11" ht="14.25" customHeight="1" x14ac:dyDescent="0.3">
      <c r="H333" s="33"/>
      <c r="I333" s="33"/>
      <c r="J333" s="33"/>
      <c r="K333" s="33"/>
    </row>
    <row r="334" spans="8:11" ht="14.25" customHeight="1" x14ac:dyDescent="0.3">
      <c r="H334" s="33"/>
      <c r="I334" s="33"/>
      <c r="J334" s="33"/>
      <c r="K334" s="33"/>
    </row>
    <row r="335" spans="8:11" ht="14.25" customHeight="1" x14ac:dyDescent="0.3">
      <c r="H335" s="33"/>
      <c r="I335" s="33"/>
      <c r="J335" s="33"/>
      <c r="K335" s="33"/>
    </row>
    <row r="336" spans="8:11" ht="14.25" customHeight="1" x14ac:dyDescent="0.3">
      <c r="H336" s="33"/>
      <c r="I336" s="33"/>
      <c r="J336" s="33"/>
      <c r="K336" s="33"/>
    </row>
    <row r="337" spans="8:11" ht="14.25" customHeight="1" x14ac:dyDescent="0.3">
      <c r="H337" s="33"/>
      <c r="I337" s="33"/>
      <c r="J337" s="33"/>
      <c r="K337" s="33"/>
    </row>
    <row r="338" spans="8:11" ht="14.25" customHeight="1" x14ac:dyDescent="0.3">
      <c r="H338" s="33"/>
      <c r="I338" s="33"/>
      <c r="J338" s="33"/>
      <c r="K338" s="33"/>
    </row>
    <row r="339" spans="8:11" ht="14.25" customHeight="1" x14ac:dyDescent="0.3">
      <c r="H339" s="33"/>
      <c r="I339" s="33"/>
      <c r="J339" s="33"/>
      <c r="K339" s="33"/>
    </row>
    <row r="340" spans="8:11" ht="14.25" customHeight="1" x14ac:dyDescent="0.3">
      <c r="H340" s="33"/>
      <c r="I340" s="33"/>
      <c r="J340" s="33"/>
      <c r="K340" s="33"/>
    </row>
    <row r="341" spans="8:11" ht="14.25" customHeight="1" x14ac:dyDescent="0.3">
      <c r="H341" s="33"/>
      <c r="I341" s="33"/>
      <c r="J341" s="33"/>
      <c r="K341" s="33"/>
    </row>
    <row r="342" spans="8:11" ht="14.25" customHeight="1" x14ac:dyDescent="0.3">
      <c r="H342" s="33"/>
      <c r="I342" s="33"/>
      <c r="J342" s="33"/>
      <c r="K342" s="33"/>
    </row>
    <row r="343" spans="8:11" ht="14.25" customHeight="1" x14ac:dyDescent="0.3">
      <c r="H343" s="33"/>
      <c r="I343" s="33"/>
      <c r="J343" s="33"/>
      <c r="K343" s="33"/>
    </row>
    <row r="344" spans="8:11" ht="14.25" customHeight="1" x14ac:dyDescent="0.3">
      <c r="H344" s="33"/>
      <c r="I344" s="33"/>
      <c r="J344" s="33"/>
      <c r="K344" s="33"/>
    </row>
    <row r="345" spans="8:11" ht="14.25" customHeight="1" x14ac:dyDescent="0.3">
      <c r="H345" s="33"/>
      <c r="I345" s="33"/>
      <c r="J345" s="33"/>
      <c r="K345" s="33"/>
    </row>
    <row r="346" spans="8:11" ht="14.25" customHeight="1" x14ac:dyDescent="0.3">
      <c r="H346" s="33"/>
      <c r="I346" s="33"/>
      <c r="J346" s="33"/>
      <c r="K346" s="33"/>
    </row>
    <row r="347" spans="8:11" ht="14.25" customHeight="1" x14ac:dyDescent="0.3">
      <c r="H347" s="33"/>
      <c r="I347" s="33"/>
      <c r="J347" s="33"/>
      <c r="K347" s="33"/>
    </row>
    <row r="348" spans="8:11" ht="14.25" customHeight="1" x14ac:dyDescent="0.3">
      <c r="H348" s="33"/>
      <c r="I348" s="33"/>
      <c r="J348" s="33"/>
      <c r="K348" s="33"/>
    </row>
    <row r="349" spans="8:11" ht="14.25" customHeight="1" x14ac:dyDescent="0.3">
      <c r="H349" s="33"/>
      <c r="I349" s="33"/>
      <c r="J349" s="33"/>
      <c r="K349" s="33"/>
    </row>
    <row r="350" spans="8:11" ht="14.25" customHeight="1" x14ac:dyDescent="0.3">
      <c r="H350" s="33"/>
      <c r="I350" s="33"/>
      <c r="J350" s="33"/>
      <c r="K350" s="33"/>
    </row>
    <row r="351" spans="8:11" ht="14.25" customHeight="1" x14ac:dyDescent="0.3">
      <c r="H351" s="33"/>
      <c r="I351" s="33"/>
      <c r="J351" s="33"/>
      <c r="K351" s="33"/>
    </row>
    <row r="352" spans="8:11" ht="14.25" customHeight="1" x14ac:dyDescent="0.3">
      <c r="H352" s="33"/>
      <c r="I352" s="33"/>
      <c r="J352" s="33"/>
      <c r="K352" s="33"/>
    </row>
    <row r="353" spans="8:11" ht="14.25" customHeight="1" x14ac:dyDescent="0.3">
      <c r="H353" s="33"/>
      <c r="I353" s="33"/>
      <c r="J353" s="33"/>
      <c r="K353" s="33"/>
    </row>
    <row r="354" spans="8:11" ht="14.25" customHeight="1" x14ac:dyDescent="0.3">
      <c r="H354" s="33"/>
      <c r="I354" s="33"/>
      <c r="J354" s="33"/>
      <c r="K354" s="33"/>
    </row>
    <row r="355" spans="8:11" ht="14.25" customHeight="1" x14ac:dyDescent="0.3">
      <c r="H355" s="33"/>
      <c r="I355" s="33"/>
      <c r="J355" s="33"/>
      <c r="K355" s="33"/>
    </row>
    <row r="356" spans="8:11" ht="14.25" customHeight="1" x14ac:dyDescent="0.3">
      <c r="H356" s="33"/>
      <c r="I356" s="33"/>
      <c r="J356" s="33"/>
      <c r="K356" s="33"/>
    </row>
    <row r="357" spans="8:11" ht="14.25" customHeight="1" x14ac:dyDescent="0.3">
      <c r="H357" s="33"/>
      <c r="I357" s="33"/>
      <c r="J357" s="33"/>
      <c r="K357" s="33"/>
    </row>
    <row r="358" spans="8:11" ht="14.25" customHeight="1" x14ac:dyDescent="0.3">
      <c r="H358" s="33"/>
      <c r="I358" s="33"/>
      <c r="J358" s="33"/>
      <c r="K358" s="33"/>
    </row>
    <row r="359" spans="8:11" ht="14.25" customHeight="1" x14ac:dyDescent="0.3">
      <c r="H359" s="33"/>
      <c r="I359" s="33"/>
      <c r="J359" s="33"/>
      <c r="K359" s="33"/>
    </row>
    <row r="360" spans="8:11" ht="14.25" customHeight="1" x14ac:dyDescent="0.3">
      <c r="H360" s="33"/>
      <c r="I360" s="33"/>
      <c r="J360" s="33"/>
      <c r="K360" s="33"/>
    </row>
    <row r="361" spans="8:11" ht="14.25" customHeight="1" x14ac:dyDescent="0.3">
      <c r="H361" s="33"/>
      <c r="I361" s="33"/>
      <c r="J361" s="33"/>
      <c r="K361" s="33"/>
    </row>
    <row r="362" spans="8:11" ht="14.25" customHeight="1" x14ac:dyDescent="0.3">
      <c r="H362" s="33"/>
      <c r="I362" s="33"/>
      <c r="J362" s="33"/>
      <c r="K362" s="33"/>
    </row>
    <row r="363" spans="8:11" ht="14.25" customHeight="1" x14ac:dyDescent="0.3">
      <c r="H363" s="33"/>
      <c r="I363" s="33"/>
      <c r="J363" s="33"/>
      <c r="K363" s="33"/>
    </row>
    <row r="364" spans="8:11" ht="14.25" customHeight="1" x14ac:dyDescent="0.3">
      <c r="H364" s="33"/>
      <c r="I364" s="33"/>
      <c r="J364" s="33"/>
      <c r="K364" s="33"/>
    </row>
    <row r="365" spans="8:11" ht="14.25" customHeight="1" x14ac:dyDescent="0.3">
      <c r="H365" s="33"/>
      <c r="I365" s="33"/>
      <c r="J365" s="33"/>
      <c r="K365" s="33"/>
    </row>
    <row r="366" spans="8:11" ht="14.25" customHeight="1" x14ac:dyDescent="0.3">
      <c r="H366" s="33"/>
      <c r="I366" s="33"/>
      <c r="J366" s="33"/>
      <c r="K366" s="33"/>
    </row>
    <row r="367" spans="8:11" ht="14.25" customHeight="1" x14ac:dyDescent="0.3">
      <c r="H367" s="33"/>
      <c r="I367" s="33"/>
      <c r="J367" s="33"/>
      <c r="K367" s="33"/>
    </row>
    <row r="368" spans="8:11" ht="14.25" customHeight="1" x14ac:dyDescent="0.3">
      <c r="H368" s="33"/>
      <c r="I368" s="33"/>
      <c r="J368" s="33"/>
      <c r="K368" s="33"/>
    </row>
    <row r="369" spans="8:11" ht="14.25" customHeight="1" x14ac:dyDescent="0.3">
      <c r="H369" s="33"/>
      <c r="I369" s="33"/>
      <c r="J369" s="33"/>
      <c r="K369" s="33"/>
    </row>
    <row r="370" spans="8:11" ht="14.25" customHeight="1" x14ac:dyDescent="0.3">
      <c r="H370" s="33"/>
      <c r="I370" s="33"/>
      <c r="J370" s="33"/>
      <c r="K370" s="33"/>
    </row>
    <row r="371" spans="8:11" ht="14.25" customHeight="1" x14ac:dyDescent="0.3">
      <c r="H371" s="33"/>
      <c r="I371" s="33"/>
      <c r="J371" s="33"/>
      <c r="K371" s="33"/>
    </row>
    <row r="372" spans="8:11" ht="14.25" customHeight="1" x14ac:dyDescent="0.3">
      <c r="H372" s="33"/>
      <c r="I372" s="33"/>
      <c r="J372" s="33"/>
      <c r="K372" s="33"/>
    </row>
    <row r="373" spans="8:11" ht="14.25" customHeight="1" x14ac:dyDescent="0.3">
      <c r="H373" s="33"/>
      <c r="I373" s="33"/>
      <c r="J373" s="33"/>
      <c r="K373" s="33"/>
    </row>
    <row r="374" spans="8:11" ht="14.25" customHeight="1" x14ac:dyDescent="0.3">
      <c r="H374" s="33"/>
      <c r="I374" s="33"/>
      <c r="J374" s="33"/>
      <c r="K374" s="33"/>
    </row>
    <row r="375" spans="8:11" ht="14.25" customHeight="1" x14ac:dyDescent="0.3">
      <c r="H375" s="33"/>
      <c r="I375" s="33"/>
      <c r="J375" s="33"/>
      <c r="K375" s="33"/>
    </row>
    <row r="376" spans="8:11" ht="14.25" customHeight="1" x14ac:dyDescent="0.3">
      <c r="H376" s="33"/>
      <c r="I376" s="33"/>
      <c r="J376" s="33"/>
      <c r="K376" s="33"/>
    </row>
    <row r="377" spans="8:11" ht="14.25" customHeight="1" x14ac:dyDescent="0.3">
      <c r="H377" s="33"/>
      <c r="I377" s="33"/>
      <c r="J377" s="33"/>
      <c r="K377" s="33"/>
    </row>
    <row r="378" spans="8:11" ht="14.25" customHeight="1" x14ac:dyDescent="0.3">
      <c r="H378" s="33"/>
      <c r="I378" s="33"/>
      <c r="J378" s="33"/>
      <c r="K378" s="33"/>
    </row>
    <row r="379" spans="8:11" ht="14.25" customHeight="1" x14ac:dyDescent="0.3">
      <c r="H379" s="33"/>
      <c r="I379" s="33"/>
      <c r="J379" s="33"/>
      <c r="K379" s="33"/>
    </row>
    <row r="380" spans="8:11" ht="14.25" customHeight="1" x14ac:dyDescent="0.3">
      <c r="H380" s="33"/>
      <c r="I380" s="33"/>
      <c r="J380" s="33"/>
      <c r="K380" s="33"/>
    </row>
    <row r="381" spans="8:11" ht="14.25" customHeight="1" x14ac:dyDescent="0.3">
      <c r="H381" s="33"/>
      <c r="I381" s="33"/>
      <c r="J381" s="33"/>
      <c r="K381" s="33"/>
    </row>
    <row r="382" spans="8:11" ht="14.25" customHeight="1" x14ac:dyDescent="0.3">
      <c r="H382" s="33"/>
      <c r="I382" s="33"/>
      <c r="J382" s="33"/>
      <c r="K382" s="33"/>
    </row>
    <row r="383" spans="8:11" ht="14.25" customHeight="1" x14ac:dyDescent="0.3">
      <c r="H383" s="33"/>
      <c r="I383" s="33"/>
      <c r="J383" s="33"/>
      <c r="K383" s="33"/>
    </row>
    <row r="384" spans="8:11" ht="14.25" customHeight="1" x14ac:dyDescent="0.3">
      <c r="H384" s="33"/>
      <c r="I384" s="33"/>
      <c r="J384" s="33"/>
      <c r="K384" s="33"/>
    </row>
    <row r="385" spans="8:11" ht="14.25" customHeight="1" x14ac:dyDescent="0.3">
      <c r="H385" s="33"/>
      <c r="I385" s="33"/>
      <c r="J385" s="33"/>
      <c r="K385" s="33"/>
    </row>
    <row r="386" spans="8:11" ht="14.25" customHeight="1" x14ac:dyDescent="0.3">
      <c r="H386" s="33"/>
      <c r="I386" s="33"/>
      <c r="J386" s="33"/>
      <c r="K386" s="33"/>
    </row>
    <row r="387" spans="8:11" ht="14.25" customHeight="1" x14ac:dyDescent="0.3">
      <c r="H387" s="33"/>
      <c r="I387" s="33"/>
      <c r="J387" s="33"/>
      <c r="K387" s="33"/>
    </row>
    <row r="388" spans="8:11" ht="14.25" customHeight="1" x14ac:dyDescent="0.3">
      <c r="H388" s="33"/>
      <c r="I388" s="33"/>
      <c r="J388" s="33"/>
      <c r="K388" s="33"/>
    </row>
    <row r="389" spans="8:11" ht="14.25" customHeight="1" x14ac:dyDescent="0.3">
      <c r="H389" s="33"/>
      <c r="I389" s="33"/>
      <c r="J389" s="33"/>
      <c r="K389" s="33"/>
    </row>
    <row r="390" spans="8:11" ht="14.25" customHeight="1" x14ac:dyDescent="0.3">
      <c r="H390" s="33"/>
      <c r="I390" s="33"/>
      <c r="J390" s="33"/>
      <c r="K390" s="33"/>
    </row>
    <row r="391" spans="8:11" ht="14.25" customHeight="1" x14ac:dyDescent="0.3">
      <c r="H391" s="33"/>
      <c r="I391" s="33"/>
      <c r="J391" s="33"/>
      <c r="K391" s="33"/>
    </row>
    <row r="392" spans="8:11" ht="14.25" customHeight="1" x14ac:dyDescent="0.3">
      <c r="H392" s="33"/>
      <c r="I392" s="33"/>
      <c r="J392" s="33"/>
      <c r="K392" s="33"/>
    </row>
    <row r="393" spans="8:11" ht="14.25" customHeight="1" x14ac:dyDescent="0.3">
      <c r="H393" s="33"/>
      <c r="I393" s="33"/>
      <c r="J393" s="33"/>
      <c r="K393" s="33"/>
    </row>
    <row r="394" spans="8:11" ht="14.25" customHeight="1" x14ac:dyDescent="0.3">
      <c r="H394" s="33"/>
      <c r="I394" s="33"/>
      <c r="J394" s="33"/>
      <c r="K394" s="33"/>
    </row>
    <row r="395" spans="8:11" ht="14.25" customHeight="1" x14ac:dyDescent="0.3">
      <c r="H395" s="33"/>
      <c r="I395" s="33"/>
      <c r="J395" s="33"/>
      <c r="K395" s="33"/>
    </row>
    <row r="396" spans="8:11" ht="14.25" customHeight="1" x14ac:dyDescent="0.3">
      <c r="H396" s="33"/>
      <c r="I396" s="33"/>
      <c r="J396" s="33"/>
      <c r="K396" s="33"/>
    </row>
    <row r="397" spans="8:11" ht="14.25" customHeight="1" x14ac:dyDescent="0.3">
      <c r="H397" s="33"/>
      <c r="I397" s="33"/>
      <c r="J397" s="33"/>
      <c r="K397" s="33"/>
    </row>
    <row r="398" spans="8:11" ht="14.25" customHeight="1" x14ac:dyDescent="0.3">
      <c r="H398" s="33"/>
      <c r="I398" s="33"/>
      <c r="J398" s="33"/>
      <c r="K398" s="33"/>
    </row>
    <row r="399" spans="8:11" ht="14.25" customHeight="1" x14ac:dyDescent="0.3">
      <c r="H399" s="33"/>
      <c r="I399" s="33"/>
      <c r="J399" s="33"/>
      <c r="K399" s="33"/>
    </row>
    <row r="400" spans="8:11" ht="14.25" customHeight="1" x14ac:dyDescent="0.3">
      <c r="H400" s="33"/>
      <c r="I400" s="33"/>
      <c r="J400" s="33"/>
      <c r="K400" s="33"/>
    </row>
  </sheetData>
  <sheetProtection algorithmName="SHA-512" hashValue="AxkDeXmtNACsF6EBby5vkheLs4+a59R3u0mNyBliTxs+cMlCvDPs+2m9gtU8ubysMTbY6xHlwCKmk5rilC+IAg==" saltValue="N0T/Mz/FTMKBrCVjVZ8qbQ==" spinCount="100000" sheet="1" objects="1" scenarios="1" formatCells="0" formatColumns="0" formatRows="0" insertColumns="0" insertRows="0" insertHyperlinks="0" deleteColumns="0" deleteRows="0" sort="0" autoFilter="0" pivotTables="0"/>
  <mergeCells count="16">
    <mergeCell ref="C248:E248"/>
    <mergeCell ref="C153:E153"/>
    <mergeCell ref="C172:E172"/>
    <mergeCell ref="C191:E191"/>
    <mergeCell ref="C210:E210"/>
    <mergeCell ref="C229:E229"/>
    <mergeCell ref="C58:E58"/>
    <mergeCell ref="C77:E77"/>
    <mergeCell ref="C96:E96"/>
    <mergeCell ref="C115:E115"/>
    <mergeCell ref="C134:E134"/>
    <mergeCell ref="C2:E2"/>
    <mergeCell ref="H2:K2"/>
    <mergeCell ref="C20:E20"/>
    <mergeCell ref="H23:J24"/>
    <mergeCell ref="C39:E39"/>
  </mergeCells>
  <dataValidations count="1">
    <dataValidation type="list" allowBlank="1" sqref="H4:H18 C11:C17 H19 C30:C36 C49:C55 C68:C74 C87:C93 C106:C112 C125:C131 C144:C150 C163:C169 C182:C188 C201:C207 C220:C226 C239:C245 C258:C264" xr:uid="{00000000-0002-0000-0000-000000000000}">
      <formula1>$H$4:$H$19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0"/>
  <sheetViews>
    <sheetView showGridLines="0" topLeftCell="B169" zoomScale="115" zoomScaleNormal="115" workbookViewId="0">
      <selection activeCell="G182" sqref="G182"/>
    </sheetView>
  </sheetViews>
  <sheetFormatPr defaultColWidth="8.6640625" defaultRowHeight="14.4" x14ac:dyDescent="0.3"/>
  <cols>
    <col min="1" max="1" width="1.88671875" hidden="1" customWidth="1"/>
    <col min="2" max="2" width="1.88671875" customWidth="1"/>
    <col min="3" max="3" width="21.33203125" customWidth="1"/>
    <col min="4" max="4" width="15.109375" customWidth="1"/>
    <col min="5" max="5" width="24" customWidth="1"/>
    <col min="6" max="6" width="2.33203125" hidden="1" customWidth="1"/>
    <col min="7" max="7" width="18.88671875" customWidth="1"/>
    <col min="8" max="8" width="23.88671875" customWidth="1"/>
    <col min="9" max="9" width="16.33203125" customWidth="1"/>
    <col min="10" max="11" width="16.44140625" customWidth="1"/>
  </cols>
  <sheetData>
    <row r="1" spans="1:11" ht="15" customHeight="1" x14ac:dyDescent="0.3"/>
    <row r="2" spans="1:11" ht="18.75" customHeight="1" x14ac:dyDescent="0.3">
      <c r="C2" s="4">
        <v>46216</v>
      </c>
      <c r="D2" s="4"/>
      <c r="E2" s="4"/>
      <c r="H2" s="3" t="s">
        <v>0</v>
      </c>
      <c r="I2" s="3"/>
      <c r="J2" s="3"/>
      <c r="K2" s="3"/>
    </row>
    <row r="3" spans="1:11" ht="15" customHeight="1" x14ac:dyDescent="0.3">
      <c r="C3" s="5"/>
      <c r="D3" s="6"/>
      <c r="E3" s="7"/>
      <c r="H3" s="8" t="s">
        <v>1</v>
      </c>
      <c r="I3" s="9" t="s">
        <v>2</v>
      </c>
      <c r="J3" s="9" t="s">
        <v>3</v>
      </c>
      <c r="K3" s="9" t="s">
        <v>4</v>
      </c>
    </row>
    <row r="4" spans="1:11" ht="14.25" customHeight="1" x14ac:dyDescent="0.3">
      <c r="C4" s="10" t="s">
        <v>5</v>
      </c>
      <c r="D4" s="11">
        <v>143.30000000000001</v>
      </c>
      <c r="E4" s="12"/>
      <c r="H4" s="13" t="s">
        <v>6</v>
      </c>
      <c r="I4" s="14">
        <f t="shared" ref="I4:I19" si="0">IFERROR(SUMIF($C$2:$C$266,H4,$E$2:$E$266),0)</f>
        <v>273.60658088303228</v>
      </c>
      <c r="J4" s="14">
        <f t="shared" ref="J4:J19" si="1">IFERROR(SUMIF($C$2:$C$266,H4,$D$2:$D$266),0)</f>
        <v>25.810000000000002</v>
      </c>
      <c r="K4" s="14">
        <f t="shared" ref="K4:K19" si="2">COUNTIF($C$2:$C$266,H4)</f>
        <v>5</v>
      </c>
    </row>
    <row r="5" spans="1:11" ht="14.25" customHeight="1" x14ac:dyDescent="0.3">
      <c r="C5" s="10" t="s">
        <v>7</v>
      </c>
      <c r="D5" s="15"/>
      <c r="E5" s="16"/>
      <c r="H5" s="13" t="s">
        <v>8</v>
      </c>
      <c r="I5" s="14">
        <f t="shared" si="0"/>
        <v>0</v>
      </c>
      <c r="J5" s="14">
        <f t="shared" si="1"/>
        <v>0</v>
      </c>
      <c r="K5" s="14">
        <f t="shared" si="2"/>
        <v>0</v>
      </c>
    </row>
    <row r="6" spans="1:11" ht="14.25" customHeight="1" x14ac:dyDescent="0.3">
      <c r="C6" s="10" t="s">
        <v>9</v>
      </c>
      <c r="D6" s="10"/>
      <c r="E6" s="12"/>
      <c r="H6" s="13" t="s">
        <v>10</v>
      </c>
      <c r="I6" s="14">
        <f t="shared" si="0"/>
        <v>0</v>
      </c>
      <c r="J6" s="14">
        <f t="shared" si="1"/>
        <v>0</v>
      </c>
      <c r="K6" s="14">
        <f t="shared" si="2"/>
        <v>0</v>
      </c>
    </row>
    <row r="7" spans="1:11" ht="14.25" customHeight="1" x14ac:dyDescent="0.3">
      <c r="C7" s="10" t="s">
        <v>2</v>
      </c>
      <c r="D7" s="17">
        <f>SUM(D4:D6)</f>
        <v>143.30000000000001</v>
      </c>
      <c r="E7" s="12"/>
      <c r="H7" s="13" t="s">
        <v>11</v>
      </c>
      <c r="I7" s="14">
        <f t="shared" si="0"/>
        <v>0</v>
      </c>
      <c r="J7" s="14">
        <f t="shared" si="1"/>
        <v>0</v>
      </c>
      <c r="K7" s="14">
        <f t="shared" si="2"/>
        <v>0</v>
      </c>
    </row>
    <row r="8" spans="1:11" ht="14.25" customHeight="1" x14ac:dyDescent="0.3">
      <c r="C8" s="10" t="s">
        <v>3</v>
      </c>
      <c r="D8" s="10">
        <f>SUM(D11:D17)</f>
        <v>12.620000000000001</v>
      </c>
      <c r="E8" s="12"/>
      <c r="H8" s="13" t="s">
        <v>12</v>
      </c>
      <c r="I8" s="14">
        <f t="shared" si="0"/>
        <v>495.28782516412531</v>
      </c>
      <c r="J8" s="14">
        <f t="shared" si="1"/>
        <v>46.609999999999992</v>
      </c>
      <c r="K8" s="14">
        <f t="shared" si="2"/>
        <v>8</v>
      </c>
    </row>
    <row r="9" spans="1:11" ht="16.5" customHeight="1" x14ac:dyDescent="0.3">
      <c r="C9" s="10" t="s">
        <v>13</v>
      </c>
      <c r="D9" s="17">
        <f>D7/D8</f>
        <v>11.354992076069731</v>
      </c>
      <c r="E9" s="12"/>
      <c r="H9" s="13" t="s">
        <v>14</v>
      </c>
      <c r="I9" s="14">
        <f t="shared" si="0"/>
        <v>476.93326979708223</v>
      </c>
      <c r="J9" s="14">
        <f t="shared" si="1"/>
        <v>36.319999999999993</v>
      </c>
      <c r="K9" s="14">
        <f t="shared" si="2"/>
        <v>7</v>
      </c>
    </row>
    <row r="10" spans="1:11" ht="15" customHeight="1" x14ac:dyDescent="0.3">
      <c r="C10" s="18" t="s">
        <v>1</v>
      </c>
      <c r="D10" s="19" t="s">
        <v>15</v>
      </c>
      <c r="E10" s="20" t="s">
        <v>16</v>
      </c>
      <c r="H10" s="13" t="s">
        <v>17</v>
      </c>
      <c r="I10" s="14">
        <f t="shared" si="0"/>
        <v>0</v>
      </c>
      <c r="J10" s="14">
        <f t="shared" si="1"/>
        <v>0</v>
      </c>
      <c r="K10" s="14">
        <f t="shared" si="2"/>
        <v>0</v>
      </c>
    </row>
    <row r="11" spans="1:11" ht="14.25" customHeight="1" x14ac:dyDescent="0.3">
      <c r="A11" s="21">
        <f t="shared" ref="A11:A17" si="3">$C$2</f>
        <v>46216</v>
      </c>
      <c r="B11" s="21"/>
      <c r="C11" s="22" t="s">
        <v>6</v>
      </c>
      <c r="D11" s="23">
        <v>5.24</v>
      </c>
      <c r="E11" s="24">
        <f t="shared" ref="E11:E17" si="4">D11*D$9</f>
        <v>59.500158478605393</v>
      </c>
      <c r="F11">
        <f>IF($C11="","",COUNTIF($C$2:$C11,$C11))</f>
        <v>1</v>
      </c>
      <c r="H11" s="13" t="s">
        <v>18</v>
      </c>
      <c r="I11" s="14">
        <f t="shared" si="0"/>
        <v>547.04860115957752</v>
      </c>
      <c r="J11" s="14">
        <f t="shared" si="1"/>
        <v>40.449999999999996</v>
      </c>
      <c r="K11" s="14">
        <f t="shared" si="2"/>
        <v>7</v>
      </c>
    </row>
    <row r="12" spans="1:11" ht="14.25" customHeight="1" x14ac:dyDescent="0.3">
      <c r="A12" s="21">
        <f t="shared" si="3"/>
        <v>46216</v>
      </c>
      <c r="B12" s="21"/>
      <c r="C12" s="22" t="s">
        <v>14</v>
      </c>
      <c r="D12" s="23">
        <v>7.38</v>
      </c>
      <c r="E12" s="24">
        <f t="shared" si="4"/>
        <v>83.799841521394612</v>
      </c>
      <c r="F12">
        <f>IF($C12="","",COUNTIF($C$2:$C12,$C12))</f>
        <v>1</v>
      </c>
      <c r="H12" s="13" t="s">
        <v>19</v>
      </c>
      <c r="I12" s="14">
        <f t="shared" si="0"/>
        <v>213.50251473595063</v>
      </c>
      <c r="J12" s="14">
        <f t="shared" si="1"/>
        <v>23.45</v>
      </c>
      <c r="K12" s="14">
        <f t="shared" si="2"/>
        <v>4</v>
      </c>
    </row>
    <row r="13" spans="1:11" ht="14.25" customHeight="1" x14ac:dyDescent="0.3">
      <c r="A13" s="21">
        <f t="shared" si="3"/>
        <v>46216</v>
      </c>
      <c r="B13" s="21"/>
      <c r="C13" s="22"/>
      <c r="D13" s="23"/>
      <c r="E13" s="24">
        <f t="shared" si="4"/>
        <v>0</v>
      </c>
      <c r="F13" t="str">
        <f>IF($C13="","",COUNTIF($C$2:$C13,$C13))</f>
        <v/>
      </c>
      <c r="H13" s="13" t="s">
        <v>20</v>
      </c>
      <c r="I13" s="14">
        <f t="shared" si="0"/>
        <v>0</v>
      </c>
      <c r="J13" s="14">
        <f t="shared" si="1"/>
        <v>0</v>
      </c>
      <c r="K13" s="14">
        <f t="shared" si="2"/>
        <v>0</v>
      </c>
    </row>
    <row r="14" spans="1:11" ht="14.25" customHeight="1" x14ac:dyDescent="0.3">
      <c r="A14" s="21">
        <f t="shared" si="3"/>
        <v>46216</v>
      </c>
      <c r="B14" s="21"/>
      <c r="C14" s="22"/>
      <c r="D14" s="23"/>
      <c r="E14" s="24">
        <f t="shared" si="4"/>
        <v>0</v>
      </c>
      <c r="F14" t="str">
        <f>IF($C14="","",COUNTIF($C$2:$C14,$C14))</f>
        <v/>
      </c>
      <c r="H14" s="13" t="s">
        <v>21</v>
      </c>
      <c r="I14" s="14">
        <f t="shared" si="0"/>
        <v>546.11253492778667</v>
      </c>
      <c r="J14" s="14">
        <f t="shared" si="1"/>
        <v>42.01</v>
      </c>
      <c r="K14" s="14">
        <f t="shared" si="2"/>
        <v>7</v>
      </c>
    </row>
    <row r="15" spans="1:11" ht="14.25" customHeight="1" x14ac:dyDescent="0.3">
      <c r="A15" s="21">
        <f t="shared" si="3"/>
        <v>46216</v>
      </c>
      <c r="B15" s="21"/>
      <c r="C15" s="22"/>
      <c r="D15" s="23"/>
      <c r="E15" s="24">
        <f t="shared" si="4"/>
        <v>0</v>
      </c>
      <c r="F15" t="str">
        <f>IF($C15="","",COUNTIF($C$2:$C15,$C15))</f>
        <v/>
      </c>
      <c r="H15" s="13" t="s">
        <v>22</v>
      </c>
      <c r="I15" s="14">
        <f t="shared" si="0"/>
        <v>270.51867333244559</v>
      </c>
      <c r="J15" s="14">
        <f t="shared" si="1"/>
        <v>20.939999999999998</v>
      </c>
      <c r="K15" s="14">
        <f t="shared" si="2"/>
        <v>4</v>
      </c>
    </row>
    <row r="16" spans="1:11" ht="14.25" customHeight="1" x14ac:dyDescent="0.3">
      <c r="A16" s="21">
        <f t="shared" si="3"/>
        <v>46216</v>
      </c>
      <c r="B16" s="21"/>
      <c r="C16" s="22"/>
      <c r="D16" s="23"/>
      <c r="E16" s="24">
        <f t="shared" si="4"/>
        <v>0</v>
      </c>
      <c r="F16" t="str">
        <f>IF($C16="","",COUNTIF($C$2:$C16,$C16))</f>
        <v/>
      </c>
      <c r="H16" s="13" t="s">
        <v>23</v>
      </c>
      <c r="I16" s="14">
        <f t="shared" si="0"/>
        <v>0</v>
      </c>
      <c r="J16" s="14">
        <f t="shared" si="1"/>
        <v>0</v>
      </c>
      <c r="K16" s="14">
        <f t="shared" si="2"/>
        <v>0</v>
      </c>
    </row>
    <row r="17" spans="1:11" ht="14.25" customHeight="1" x14ac:dyDescent="0.3">
      <c r="A17" s="21">
        <f t="shared" si="3"/>
        <v>46216</v>
      </c>
      <c r="B17" s="21"/>
      <c r="C17" s="22"/>
      <c r="D17" s="23"/>
      <c r="E17" s="24">
        <f t="shared" si="4"/>
        <v>0</v>
      </c>
      <c r="F17" t="str">
        <f>IF($C17="","",COUNTIF($C$2:$C17,$C17))</f>
        <v/>
      </c>
      <c r="H17" s="13"/>
      <c r="I17" s="14">
        <f t="shared" si="0"/>
        <v>0</v>
      </c>
      <c r="J17" s="14">
        <f t="shared" si="1"/>
        <v>0</v>
      </c>
      <c r="K17" s="14">
        <f t="shared" si="2"/>
        <v>0</v>
      </c>
    </row>
    <row r="18" spans="1:11" ht="15" customHeight="1" x14ac:dyDescent="0.3">
      <c r="C18" s="25" t="s">
        <v>24</v>
      </c>
      <c r="D18" s="26"/>
      <c r="E18" s="27">
        <f>SUM(E11:E17)</f>
        <v>143.30000000000001</v>
      </c>
      <c r="H18" s="13"/>
      <c r="I18" s="14">
        <f t="shared" si="0"/>
        <v>0</v>
      </c>
      <c r="J18" s="14">
        <f t="shared" si="1"/>
        <v>0</v>
      </c>
      <c r="K18" s="14">
        <f t="shared" si="2"/>
        <v>0</v>
      </c>
    </row>
    <row r="19" spans="1:11" ht="15" customHeight="1" x14ac:dyDescent="0.3">
      <c r="H19" s="13"/>
      <c r="I19" s="14">
        <f t="shared" si="0"/>
        <v>0</v>
      </c>
      <c r="J19" s="14">
        <f t="shared" si="1"/>
        <v>0</v>
      </c>
      <c r="K19" s="14">
        <f t="shared" si="2"/>
        <v>0</v>
      </c>
    </row>
    <row r="20" spans="1:11" ht="15" customHeight="1" x14ac:dyDescent="0.3">
      <c r="C20" s="4">
        <v>46217</v>
      </c>
      <c r="D20" s="4"/>
      <c r="E20" s="4"/>
      <c r="H20" s="14"/>
      <c r="I20" s="14"/>
      <c r="J20" s="14"/>
      <c r="K20" s="14"/>
    </row>
    <row r="21" spans="1:11" ht="15" customHeight="1" x14ac:dyDescent="0.3">
      <c r="C21" s="28"/>
      <c r="E21" s="29"/>
      <c r="H21" s="30" t="s">
        <v>2</v>
      </c>
      <c r="I21" s="31">
        <f>SUM(I4:I19)</f>
        <v>2823.01</v>
      </c>
      <c r="J21" s="31">
        <f>SUM(J4:J19)</f>
        <v>235.58999999999995</v>
      </c>
      <c r="K21" s="14"/>
    </row>
    <row r="22" spans="1:11" ht="14.25" customHeight="1" x14ac:dyDescent="0.3">
      <c r="C22" s="10" t="s">
        <v>5</v>
      </c>
      <c r="D22" s="11">
        <v>123.18</v>
      </c>
      <c r="E22" s="12"/>
      <c r="H22" s="33"/>
      <c r="I22" s="33"/>
      <c r="J22" s="33"/>
      <c r="K22" s="33"/>
    </row>
    <row r="23" spans="1:11" ht="14.25" customHeight="1" x14ac:dyDescent="0.3">
      <c r="C23" s="10" t="s">
        <v>7</v>
      </c>
      <c r="D23" s="15"/>
      <c r="E23" s="16"/>
      <c r="H23" s="1" t="s">
        <v>25</v>
      </c>
      <c r="I23" s="1"/>
      <c r="J23" s="1"/>
      <c r="K23" s="33"/>
    </row>
    <row r="24" spans="1:11" ht="14.25" customHeight="1" x14ac:dyDescent="0.3">
      <c r="C24" s="10" t="s">
        <v>9</v>
      </c>
      <c r="D24" s="10"/>
      <c r="E24" s="12"/>
      <c r="H24" s="1"/>
      <c r="I24" s="1"/>
      <c r="J24" s="1"/>
      <c r="K24" s="33"/>
    </row>
    <row r="25" spans="1:11" ht="14.25" customHeight="1" x14ac:dyDescent="0.3">
      <c r="C25" s="10" t="s">
        <v>2</v>
      </c>
      <c r="D25" s="17">
        <f>SUM(D22:D24)</f>
        <v>123.18</v>
      </c>
      <c r="E25" s="12"/>
      <c r="H25" s="14"/>
      <c r="I25" s="14"/>
      <c r="J25" s="14"/>
      <c r="K25" s="33"/>
    </row>
    <row r="26" spans="1:11" ht="14.25" customHeight="1" x14ac:dyDescent="0.3">
      <c r="C26" s="10" t="s">
        <v>3</v>
      </c>
      <c r="D26" s="10">
        <f>SUM(D30:D36)</f>
        <v>18.88</v>
      </c>
      <c r="E26" s="12"/>
      <c r="H26" s="34" t="str">
        <f>H4</f>
        <v>Cynthia Rosales Perez</v>
      </c>
      <c r="I26" s="14"/>
      <c r="J26" s="14"/>
      <c r="K26" s="33"/>
    </row>
    <row r="27" spans="1:11" ht="14.25" customHeight="1" x14ac:dyDescent="0.3">
      <c r="C27" s="10" t="s">
        <v>13</v>
      </c>
      <c r="D27" s="17">
        <f>D25/D26</f>
        <v>6.5243644067796618</v>
      </c>
      <c r="E27" s="12"/>
      <c r="H27" s="35" t="s">
        <v>26</v>
      </c>
      <c r="I27" s="32">
        <f>IFERROR(SUMIF($C$2:$C$266,H26,$D$2:$D$266),0)</f>
        <v>25.810000000000002</v>
      </c>
      <c r="J27" s="14"/>
      <c r="K27" s="33"/>
    </row>
    <row r="28" spans="1:11" ht="14.25" customHeight="1" x14ac:dyDescent="0.3">
      <c r="C28" s="12"/>
      <c r="D28" s="36"/>
      <c r="E28" s="12"/>
      <c r="H28" s="35" t="s">
        <v>27</v>
      </c>
      <c r="I28" s="32">
        <f>IFERROR(SUMIF($C$2:$C$266,H26,$E$2:$E$266),0)</f>
        <v>273.60658088303228</v>
      </c>
      <c r="J28" s="14"/>
      <c r="K28" s="33"/>
    </row>
    <row r="29" spans="1:11" ht="15" customHeight="1" x14ac:dyDescent="0.3">
      <c r="C29" s="18" t="s">
        <v>1</v>
      </c>
      <c r="D29" s="19" t="s">
        <v>15</v>
      </c>
      <c r="E29" s="20" t="s">
        <v>16</v>
      </c>
      <c r="H29" s="18" t="s">
        <v>28</v>
      </c>
      <c r="I29" s="20" t="s">
        <v>15</v>
      </c>
      <c r="J29" s="20" t="s">
        <v>16</v>
      </c>
      <c r="K29" s="33"/>
    </row>
    <row r="30" spans="1:11" ht="14.25" customHeight="1" x14ac:dyDescent="0.3">
      <c r="A30" s="21">
        <f t="shared" ref="A30:A36" si="5">$C$20</f>
        <v>46217</v>
      </c>
      <c r="B30" s="21"/>
      <c r="C30" s="22" t="s">
        <v>6</v>
      </c>
      <c r="D30" s="23">
        <v>5.41</v>
      </c>
      <c r="E30" s="24">
        <f t="shared" ref="E30:E36" si="6">D30*$D$27</f>
        <v>35.29681144067797</v>
      </c>
      <c r="F30">
        <f>IF($C30="","",COUNTIF($C$2:$C30,$C30))</f>
        <v>2</v>
      </c>
      <c r="H30" s="37">
        <f>IF(SUMPRODUCT(($C$2:$C$266=$H$26)*($F$2:$F$266=1))=0,"No entries yet",INDEX($A$2:$A$266,SUMPRODUCT(($C$2:$C$266=$H$26)*($F$2:$F$266=1)*(ROW($C$2:$C$266)-ROW($C$2)+1))))</f>
        <v>46216</v>
      </c>
      <c r="I30" s="38">
        <f>IFERROR(IF(SUMPRODUCT(($C$2:$C$266=$H$26)*($F$2:$F$266=1))=0,"",INDEX($D$2:$D$266,SUMPRODUCT(($C$2:$C$266=$H$26)*($F$2:$F$266=1)*(ROW($C$2:$C$266)-ROW($C$2)+1)))),"")</f>
        <v>5.24</v>
      </c>
      <c r="J30" s="38">
        <f>IFERROR(IF(SUMPRODUCT(($C$2:$C$266=$H$26)*($F$2:$F$266=1))=0,"",INDEX($E$2:$E$266,SUMPRODUCT(($C$2:$C$266=$H$26)*($F$2:$F$266=1)*(ROW($C$2:$C$266)-ROW($C$2)+1)))),"")</f>
        <v>59.500158478605393</v>
      </c>
      <c r="K30" s="33"/>
    </row>
    <row r="31" spans="1:11" ht="14.25" customHeight="1" x14ac:dyDescent="0.3">
      <c r="A31" s="21">
        <f t="shared" si="5"/>
        <v>46217</v>
      </c>
      <c r="B31" s="21"/>
      <c r="C31" s="22" t="s">
        <v>12</v>
      </c>
      <c r="D31" s="23">
        <v>6</v>
      </c>
      <c r="E31" s="24">
        <f t="shared" si="6"/>
        <v>39.146186440677972</v>
      </c>
      <c r="F31">
        <f>IF($C31="","",COUNTIF($C$2:$C31,$C31))</f>
        <v>1</v>
      </c>
      <c r="H31" s="37">
        <f>IF(SUMPRODUCT(($C$2:$C$266=$H$26)*($F$2:$F$266=2))=0,"",INDEX($A$2:$A$266,SUMPRODUCT(($C$2:$C$266=$H$26)*($F$2:$F$266=2)*(ROW($C$2:$C$266)-ROW($C$2)+1))))</f>
        <v>46217</v>
      </c>
      <c r="I31" s="38">
        <f>IFERROR(IF(SUMPRODUCT(($C$2:$C$266=$H$26)*($F$2:$F$266=2))=0,"",INDEX($D$2:$D$266,SUMPRODUCT(($C$2:$C$266=$H$26)*($F$2:$F$266=2)*(ROW($C$2:$C$266)-ROW($C$2)+1)))),"")</f>
        <v>5.41</v>
      </c>
      <c r="J31" s="38">
        <f>IFERROR(IF(SUMPRODUCT(($C$2:$C$266=$H$26)*($F$2:$F$266=2))=0,"",INDEX($E$2:$E$266,SUMPRODUCT(($C$2:$C$266=$H$26)*($F$2:$F$266=2)*(ROW($C$2:$C$266)-ROW($C$2)+1)))),"")</f>
        <v>35.29681144067797</v>
      </c>
      <c r="K31" s="33"/>
    </row>
    <row r="32" spans="1:11" ht="14.25" customHeight="1" x14ac:dyDescent="0.3">
      <c r="A32" s="21">
        <f t="shared" si="5"/>
        <v>46217</v>
      </c>
      <c r="B32" s="21"/>
      <c r="C32" s="22" t="s">
        <v>19</v>
      </c>
      <c r="D32" s="23">
        <v>7.47</v>
      </c>
      <c r="E32" s="24">
        <f t="shared" si="6"/>
        <v>48.737002118644071</v>
      </c>
      <c r="F32">
        <f>IF($C32="","",COUNTIF($C$2:$C32,$C32))</f>
        <v>1</v>
      </c>
      <c r="H32" s="37">
        <f>IF(SUMPRODUCT(($C$2:$C$266=$H$26)*($F$2:$F$266=3))=0,"",INDEX($A$2:$A$266,SUMPRODUCT(($C$2:$C$266=$H$26)*($F$2:$F$266=3)*(ROW($C$2:$C$266)-ROW($C$2)+1))))</f>
        <v>46225</v>
      </c>
      <c r="I32" s="38">
        <f>IFERROR(IF(SUMPRODUCT(($C$2:$C$266=$H$26)*($F$2:$F$266=3))=0,"",INDEX($D$2:$D$266,SUMPRODUCT(($C$2:$C$266=$H$26)*($F$2:$F$266=3)*(ROW($C$2:$C$266)-ROW($C$2)+1)))),"")</f>
        <v>5</v>
      </c>
      <c r="J32" s="38">
        <f>IFERROR(IF(SUMPRODUCT(($C$2:$C$266=$H$26)*($F$2:$F$266=3))=0,"",INDEX($E$2:$E$266,SUMPRODUCT(($C$2:$C$266=$H$26)*($F$2:$F$266=3)*(ROW($C$2:$C$266)-ROW($C$2)+1)))),"")</f>
        <v>61.32294429708223</v>
      </c>
      <c r="K32" s="33"/>
    </row>
    <row r="33" spans="1:11" ht="14.25" customHeight="1" x14ac:dyDescent="0.3">
      <c r="A33" s="21">
        <f t="shared" si="5"/>
        <v>46217</v>
      </c>
      <c r="B33" s="21"/>
      <c r="C33" s="22"/>
      <c r="D33" s="23"/>
      <c r="E33" s="24">
        <f t="shared" si="6"/>
        <v>0</v>
      </c>
      <c r="F33" t="str">
        <f>IF($C33="","",COUNTIF($C$2:$C33,$C33))</f>
        <v/>
      </c>
      <c r="H33" s="37">
        <f>IF(SUMPRODUCT(($C$2:$C$266=$H$26)*($F$2:$F$266=4))=0,"",INDEX($A$2:$A$266,SUMPRODUCT(($C$2:$C$266=$H$26)*($F$2:$F$266=4)*(ROW($C$2:$C$266)-ROW($C$2)+1))))</f>
        <v>46226</v>
      </c>
      <c r="I33" s="38">
        <f>IFERROR(IF(SUMPRODUCT(($C$2:$C$266=$H$26)*($F$2:$F$266=4))=0,"",INDEX($D$2:$D$266,SUMPRODUCT(($C$2:$C$266=$H$26)*($F$2:$F$266=4)*(ROW($C$2:$C$266)-ROW($C$2)+1)))),"")</f>
        <v>5.08</v>
      </c>
      <c r="J33" s="38">
        <f>IFERROR(IF(SUMPRODUCT(($C$2:$C$266=$H$26)*($F$2:$F$266=4))=0,"",INDEX($E$2:$E$266,SUMPRODUCT(($C$2:$C$266=$H$26)*($F$2:$F$266=4)*(ROW($C$2:$C$266)-ROW($C$2)+1)))),"")</f>
        <v>53.370000000000005</v>
      </c>
      <c r="K33" s="33"/>
    </row>
    <row r="34" spans="1:11" ht="14.25" customHeight="1" x14ac:dyDescent="0.3">
      <c r="A34" s="21">
        <f t="shared" si="5"/>
        <v>46217</v>
      </c>
      <c r="B34" s="21"/>
      <c r="C34" s="22"/>
      <c r="D34" s="23"/>
      <c r="E34" s="24">
        <f t="shared" si="6"/>
        <v>0</v>
      </c>
      <c r="F34" t="str">
        <f>IF($C34="","",COUNTIF($C$2:$C34,$C34))</f>
        <v/>
      </c>
      <c r="H34" s="37">
        <f>IF(SUMPRODUCT(($C$2:$C$266=$H$26)*($F$2:$F$266=5))=0,"",INDEX($A$2:$A$266,SUMPRODUCT(($C$2:$C$266=$H$26)*($F$2:$F$266=5)*(ROW($C$2:$C$266)-ROW($C$2)+1))))</f>
        <v>46227</v>
      </c>
      <c r="I34" s="38">
        <f>IFERROR(IF(SUMPRODUCT(($C$2:$C$266=$H$26)*($F$2:$F$266=5))=0,"",INDEX($D$2:$D$266,SUMPRODUCT(($C$2:$C$266=$H$26)*($F$2:$F$266=5)*(ROW($C$2:$C$266)-ROW($C$2)+1)))),"")</f>
        <v>5.08</v>
      </c>
      <c r="J34" s="38">
        <f>IFERROR(IF(SUMPRODUCT(($C$2:$C$266=$H$26)*($F$2:$F$266=5))=0,"",INDEX($E$2:$E$266,SUMPRODUCT(($C$2:$C$266=$H$26)*($F$2:$F$266=5)*(ROW($C$2:$C$266)-ROW($C$2)+1)))),"")</f>
        <v>64.11666666666666</v>
      </c>
      <c r="K34" s="33"/>
    </row>
    <row r="35" spans="1:11" ht="14.25" customHeight="1" x14ac:dyDescent="0.3">
      <c r="A35" s="21">
        <f t="shared" si="5"/>
        <v>46217</v>
      </c>
      <c r="B35" s="21"/>
      <c r="C35" s="22"/>
      <c r="D35" s="23"/>
      <c r="E35" s="24">
        <f t="shared" si="6"/>
        <v>0</v>
      </c>
      <c r="F35" t="str">
        <f>IF($C35="","",COUNTIF($C$2:$C35,$C35))</f>
        <v/>
      </c>
      <c r="H35" s="37" t="str">
        <f>IF(SUMPRODUCT(($C$2:$C$266=$H$26)*($F$2:$F$266=6))=0,"",INDEX($A$2:$A$266,SUMPRODUCT(($C$2:$C$266=$H$26)*($F$2:$F$266=6)*(ROW($C$2:$C$266)-ROW($C$2)+1))))</f>
        <v/>
      </c>
      <c r="I35" s="38" t="str">
        <f>IFERROR(IF(SUMPRODUCT(($C$2:$C$266=$H$26)*($F$2:$F$266=6))=0,"",INDEX($D$2:$D$266,SUMPRODUCT(($C$2:$C$266=$H$26)*($F$2:$F$266=6)*(ROW($C$2:$C$266)-ROW($C$2)+1)))),"")</f>
        <v/>
      </c>
      <c r="J35" s="38" t="str">
        <f>IFERROR(IF(SUMPRODUCT(($C$2:$C$266=$H$26)*($F$2:$F$266=6))=0,"",INDEX($E$2:$E$266,SUMPRODUCT(($C$2:$C$266=$H$26)*($F$2:$F$266=6)*(ROW($C$2:$C$266)-ROW($C$2)+1)))),"")</f>
        <v/>
      </c>
      <c r="K35" s="33"/>
    </row>
    <row r="36" spans="1:11" ht="14.25" customHeight="1" x14ac:dyDescent="0.3">
      <c r="A36" s="21">
        <f t="shared" si="5"/>
        <v>46217</v>
      </c>
      <c r="B36" s="21"/>
      <c r="C36" s="22"/>
      <c r="D36" s="23"/>
      <c r="E36" s="24">
        <f t="shared" si="6"/>
        <v>0</v>
      </c>
      <c r="F36" t="str">
        <f>IF($C36="","",COUNTIF($C$2:$C36,$C36))</f>
        <v/>
      </c>
      <c r="H36" s="37" t="str">
        <f>IF(SUMPRODUCT(($C$2:$C$266=$H$26)*($F$2:$F$266=7))=0,"",INDEX($A$2:$A$266,SUMPRODUCT(($C$2:$C$266=$H$26)*($F$2:$F$266=7)*(ROW($C$2:$C$266)-ROW($C$2)+1))))</f>
        <v/>
      </c>
      <c r="I36" s="38" t="str">
        <f>IFERROR(IF(SUMPRODUCT(($C$2:$C$266=$H$26)*($F$2:$F$266=7))=0,"",INDEX($D$2:$D$266,SUMPRODUCT(($C$2:$C$266=$H$26)*($F$2:$F$266=7)*(ROW($C$2:$C$266)-ROW($C$2)+1)))),"")</f>
        <v/>
      </c>
      <c r="J36" s="38" t="str">
        <f>IFERROR(IF(SUMPRODUCT(($C$2:$C$266=$H$26)*($F$2:$F$266=7))=0,"",INDEX($E$2:$E$266,SUMPRODUCT(($C$2:$C$266=$H$26)*($F$2:$F$266=7)*(ROW($C$2:$C$266)-ROW($C$2)+1)))),"")</f>
        <v/>
      </c>
      <c r="K36" s="33"/>
    </row>
    <row r="37" spans="1:11" ht="15" customHeight="1" x14ac:dyDescent="0.3">
      <c r="C37" s="25" t="s">
        <v>24</v>
      </c>
      <c r="D37" s="26"/>
      <c r="E37" s="27">
        <f>SUM(E30:E36)</f>
        <v>123.18000000000002</v>
      </c>
      <c r="H37" s="37" t="str">
        <f>IF(SUMPRODUCT(($C$2:$C$266=$H$26)*($F$2:$F$266=8))=0,"",INDEX($A$2:$A$266,SUMPRODUCT(($C$2:$C$266=$H$26)*($F$2:$F$266=8)*(ROW($C$2:$C$266)-ROW($C$2)+1))))</f>
        <v/>
      </c>
      <c r="I37" s="38" t="str">
        <f>IFERROR(IF(SUMPRODUCT(($C$2:$C$266=$H$26)*($F$2:$F$266=8))=0,"",INDEX($D$2:$D$266,SUMPRODUCT(($C$2:$C$266=$H$26)*($F$2:$F$266=8)*(ROW($C$2:$C$266)-ROW($C$2)+1)))),"")</f>
        <v/>
      </c>
      <c r="J37" s="38" t="str">
        <f>IFERROR(IF(SUMPRODUCT(($C$2:$C$266=$H$26)*($F$2:$F$266=8))=0,"",INDEX($E$2:$E$266,SUMPRODUCT(($C$2:$C$266=$H$26)*($F$2:$F$266=8)*(ROW($C$2:$C$266)-ROW($C$2)+1)))),"")</f>
        <v/>
      </c>
      <c r="K37" s="33"/>
    </row>
    <row r="38" spans="1:11" ht="15" customHeight="1" x14ac:dyDescent="0.3">
      <c r="H38" s="37" t="str">
        <f>IF(SUMPRODUCT(($C$2:$C$266=$H$26)*($F$2:$F$266=9))=0,"",INDEX($A$2:$A$266,SUMPRODUCT(($C$2:$C$266=$H$26)*($F$2:$F$266=9)*(ROW($C$2:$C$266)-ROW($C$2)+1))))</f>
        <v/>
      </c>
      <c r="I38" s="38" t="str">
        <f>IFERROR(IF(SUMPRODUCT(($C$2:$C$266=$H$26)*($F$2:$F$266=9))=0,"",INDEX($D$2:$D$266,SUMPRODUCT(($C$2:$C$266=$H$26)*($F$2:$F$266=9)*(ROW($C$2:$C$266)-ROW($C$2)+1)))),"")</f>
        <v/>
      </c>
      <c r="J38" s="38" t="str">
        <f>IFERROR(IF(SUMPRODUCT(($C$2:$C$266=$H$26)*($F$2:$F$266=9))=0,"",INDEX($E$2:$E$266,SUMPRODUCT(($C$2:$C$266=$H$26)*($F$2:$F$266=9)*(ROW($C$2:$C$266)-ROW($C$2)+1)))),"")</f>
        <v/>
      </c>
      <c r="K38" s="33"/>
    </row>
    <row r="39" spans="1:11" ht="15" customHeight="1" x14ac:dyDescent="0.3">
      <c r="C39" s="4">
        <v>46218</v>
      </c>
      <c r="D39" s="4"/>
      <c r="E39" s="4"/>
      <c r="H39" s="37" t="str">
        <f>IF(SUMPRODUCT(($C$2:$C$266=$H$26)*($F$2:$F$266=10))=0,"",INDEX($A$2:$A$266,SUMPRODUCT(($C$2:$C$266=$H$26)*($F$2:$F$266=10)*(ROW($C$2:$C$266)-ROW($C$2)+1))))</f>
        <v/>
      </c>
      <c r="I39" s="38" t="str">
        <f>IFERROR(IF(SUMPRODUCT(($C$2:$C$266=$H$26)*($F$2:$F$266=10))=0,"",INDEX($D$2:$D$266,SUMPRODUCT(($C$2:$C$266=$H$26)*($F$2:$F$266=10)*(ROW($C$2:$C$266)-ROW($C$2)+1)))),"")</f>
        <v/>
      </c>
      <c r="J39" s="38" t="str">
        <f>IFERROR(IF(SUMPRODUCT(($C$2:$C$266=$H$26)*($F$2:$F$266=10))=0,"",INDEX($E$2:$E$266,SUMPRODUCT(($C$2:$C$266=$H$26)*($F$2:$F$266=10)*(ROW($C$2:$C$266)-ROW($C$2)+1)))),"")</f>
        <v/>
      </c>
      <c r="K39" s="33"/>
    </row>
    <row r="40" spans="1:11" ht="15" customHeight="1" x14ac:dyDescent="0.3">
      <c r="C40" s="28"/>
      <c r="E40" s="29"/>
      <c r="H40" s="37" t="str">
        <f>IF(SUMPRODUCT(($C$2:$C$266=$H$26)*($F$2:$F$266=11))=0,"",INDEX($A$2:$A$266,SUMPRODUCT(($C$2:$C$266=$H$26)*($F$2:$F$266=11)*(ROW($C$2:$C$266)-ROW($C$2)+1))))</f>
        <v/>
      </c>
      <c r="I40" s="38" t="str">
        <f>IFERROR(IF(SUMPRODUCT(($C$2:$C$266=$H$26)*($F$2:$F$266=11))=0,"",INDEX($D$2:$D$266,SUMPRODUCT(($C$2:$C$266=$H$26)*($F$2:$F$266=11)*(ROW($C$2:$C$266)-ROW($C$2)+1)))),"")</f>
        <v/>
      </c>
      <c r="J40" s="38" t="str">
        <f>IFERROR(IF(SUMPRODUCT(($C$2:$C$266=$H$26)*($F$2:$F$266=11))=0,"",INDEX($E$2:$E$266,SUMPRODUCT(($C$2:$C$266=$H$26)*($F$2:$F$266=11)*(ROW($C$2:$C$266)-ROW($C$2)+1)))),"")</f>
        <v/>
      </c>
      <c r="K40" s="33"/>
    </row>
    <row r="41" spans="1:11" ht="14.25" customHeight="1" x14ac:dyDescent="0.3">
      <c r="C41" s="10" t="s">
        <v>5</v>
      </c>
      <c r="D41" s="11">
        <v>212.8</v>
      </c>
      <c r="E41" s="12"/>
      <c r="H41" s="37" t="str">
        <f>IF(SUMPRODUCT(($C$2:$C$266=$H$26)*($F$2:$F$266=12))=0,"",INDEX($A$2:$A$266,SUMPRODUCT(($C$2:$C$266=$H$26)*($F$2:$F$266=12)*(ROW($C$2:$C$266)-ROW($C$2)+1))))</f>
        <v/>
      </c>
      <c r="I41" s="38" t="str">
        <f>IFERROR(IF(SUMPRODUCT(($C$2:$C$266=$H$26)*($F$2:$F$266=12))=0,"",INDEX($D$2:$D$266,SUMPRODUCT(($C$2:$C$266=$H$26)*($F$2:$F$266=12)*(ROW($C$2:$C$266)-ROW($C$2)+1)))),"")</f>
        <v/>
      </c>
      <c r="J41" s="38" t="str">
        <f>IFERROR(IF(SUMPRODUCT(($C$2:$C$266=$H$26)*($F$2:$F$266=12))=0,"",INDEX($E$2:$E$266,SUMPRODUCT(($C$2:$C$266=$H$26)*($F$2:$F$266=12)*(ROW($C$2:$C$266)-ROW($C$2)+1)))),"")</f>
        <v/>
      </c>
      <c r="K41" s="33"/>
    </row>
    <row r="42" spans="1:11" ht="14.25" customHeight="1" x14ac:dyDescent="0.3">
      <c r="C42" s="10" t="s">
        <v>7</v>
      </c>
      <c r="D42" s="15"/>
      <c r="E42" s="16"/>
      <c r="H42" s="37" t="str">
        <f>IF(SUMPRODUCT(($C$2:$C$266=$H$26)*($F$2:$F$266=13))=0,"",INDEX($A$2:$A$266,SUMPRODUCT(($C$2:$C$266=$H$26)*($F$2:$F$266=13)*(ROW($C$2:$C$266)-ROW($C$2)+1))))</f>
        <v/>
      </c>
      <c r="I42" s="38" t="str">
        <f>IFERROR(IF(SUMPRODUCT(($C$2:$C$266=$H$26)*($F$2:$F$266=13))=0,"",INDEX($D$2:$D$266,SUMPRODUCT(($C$2:$C$266=$H$26)*($F$2:$F$266=13)*(ROW($C$2:$C$266)-ROW($C$2)+1)))),"")</f>
        <v/>
      </c>
      <c r="J42" s="38" t="str">
        <f>IFERROR(IF(SUMPRODUCT(($C$2:$C$266=$H$26)*($F$2:$F$266=13))=0,"",INDEX($E$2:$E$266,SUMPRODUCT(($C$2:$C$266=$H$26)*($F$2:$F$266=13)*(ROW($C$2:$C$266)-ROW($C$2)+1)))),"")</f>
        <v/>
      </c>
      <c r="K42" s="33"/>
    </row>
    <row r="43" spans="1:11" ht="14.25" customHeight="1" x14ac:dyDescent="0.3">
      <c r="C43" s="10" t="s">
        <v>9</v>
      </c>
      <c r="D43" s="10"/>
      <c r="E43" s="12"/>
      <c r="H43" s="37" t="str">
        <f>IF(SUMPRODUCT(($C$2:$C$266=$H$26)*($F$2:$F$266=14))=0,"",INDEX($A$2:$A$266,SUMPRODUCT(($C$2:$C$266=$H$26)*($F$2:$F$266=14)*(ROW($C$2:$C$266)-ROW($C$2)+1))))</f>
        <v/>
      </c>
      <c r="I43" s="38" t="str">
        <f>IFERROR(IF(SUMPRODUCT(($C$2:$C$266=$H$26)*($F$2:$F$266=14))=0,"",INDEX($D$2:$D$266,SUMPRODUCT(($C$2:$C$266=$H$26)*($F$2:$F$266=14)*(ROW($C$2:$C$266)-ROW($C$2)+1)))),"")</f>
        <v/>
      </c>
      <c r="J43" s="38" t="str">
        <f>IFERROR(IF(SUMPRODUCT(($C$2:$C$266=$H$26)*($F$2:$F$266=14))=0,"",INDEX($E$2:$E$266,SUMPRODUCT(($C$2:$C$266=$H$26)*($F$2:$F$266=14)*(ROW($C$2:$C$266)-ROW($C$2)+1)))),"")</f>
        <v/>
      </c>
      <c r="K43" s="33"/>
    </row>
    <row r="44" spans="1:11" ht="14.25" customHeight="1" x14ac:dyDescent="0.3">
      <c r="C44" s="10" t="s">
        <v>2</v>
      </c>
      <c r="D44" s="17">
        <f>SUM(D41:D43)</f>
        <v>212.8</v>
      </c>
      <c r="E44" s="12"/>
      <c r="H44" s="37" t="str">
        <f>IF(SUMPRODUCT(($C$2:$C$266=$H$26)*($F$2:$F$266=15))=0,"",INDEX($A$2:$A$266,SUMPRODUCT(($C$2:$C$266=$H$26)*($F$2:$F$266=15)*(ROW($C$2:$C$266)-ROW($C$2)+1))))</f>
        <v/>
      </c>
      <c r="I44" s="38" t="str">
        <f>IFERROR(IF(SUMPRODUCT(($C$2:$C$266=$H$26)*($F$2:$F$266=15))=0,"",INDEX($D$2:$D$266,SUMPRODUCT(($C$2:$C$266=$H$26)*($F$2:$F$266=15)*(ROW($C$2:$C$266)-ROW($C$2)+1)))),"")</f>
        <v/>
      </c>
      <c r="J44" s="38" t="str">
        <f>IFERROR(IF(SUMPRODUCT(($C$2:$C$266=$H$26)*($F$2:$F$266=15))=0,"",INDEX($E$2:$E$266,SUMPRODUCT(($C$2:$C$266=$H$26)*($F$2:$F$266=15)*(ROW($C$2:$C$266)-ROW($C$2)+1)))),"")</f>
        <v/>
      </c>
      <c r="K44" s="33"/>
    </row>
    <row r="45" spans="1:11" ht="14.25" customHeight="1" x14ac:dyDescent="0.3">
      <c r="C45" s="10" t="s">
        <v>3</v>
      </c>
      <c r="D45" s="10">
        <f>SUM(D49:D55)</f>
        <v>13.04</v>
      </c>
      <c r="E45" s="12"/>
      <c r="H45" s="37" t="str">
        <f>IF(SUMPRODUCT(($C$2:$C$266=$H$26)*($F$2:$F$266=16))=0,"",INDEX($A$2:$A$266,SUMPRODUCT(($C$2:$C$266=$H$26)*($F$2:$F$266=16)*(ROW($C$2:$C$266)-ROW($C$2)+1))))</f>
        <v/>
      </c>
      <c r="I45" s="38" t="str">
        <f>IFERROR(IF(SUMPRODUCT(($C$2:$C$266=$H$26)*($F$2:$F$266=16))=0,"",INDEX($D$2:$D$266,SUMPRODUCT(($C$2:$C$266=$H$26)*($F$2:$F$266=16)*(ROW($C$2:$C$266)-ROW($C$2)+1)))),"")</f>
        <v/>
      </c>
      <c r="J45" s="38" t="str">
        <f>IFERROR(IF(SUMPRODUCT(($C$2:$C$266=$H$26)*($F$2:$F$266=16))=0,"",INDEX($E$2:$E$266,SUMPRODUCT(($C$2:$C$266=$H$26)*($F$2:$F$266=16)*(ROW($C$2:$C$266)-ROW($C$2)+1)))),"")</f>
        <v/>
      </c>
      <c r="K45" s="33"/>
    </row>
    <row r="46" spans="1:11" ht="14.25" customHeight="1" x14ac:dyDescent="0.3">
      <c r="C46" s="10" t="s">
        <v>13</v>
      </c>
      <c r="D46" s="17">
        <f>D44/D45</f>
        <v>16.319018404907979</v>
      </c>
      <c r="E46" s="12"/>
      <c r="H46" s="34" t="str">
        <f>H6</f>
        <v>Lauren Sanders</v>
      </c>
      <c r="I46" s="14"/>
      <c r="J46" s="14"/>
      <c r="K46" s="33"/>
    </row>
    <row r="47" spans="1:11" ht="14.25" customHeight="1" x14ac:dyDescent="0.3">
      <c r="C47" s="12"/>
      <c r="D47" s="36"/>
      <c r="E47" s="12"/>
      <c r="H47" s="35" t="s">
        <v>26</v>
      </c>
      <c r="I47" s="32">
        <f>IFERROR(SUMIF($C$2:$C$266,H46,$D$2:$D$266),0)</f>
        <v>0</v>
      </c>
      <c r="J47" s="14"/>
      <c r="K47" s="33"/>
    </row>
    <row r="48" spans="1:11" ht="15" customHeight="1" x14ac:dyDescent="0.3">
      <c r="C48" s="18" t="s">
        <v>1</v>
      </c>
      <c r="D48" s="19" t="s">
        <v>15</v>
      </c>
      <c r="E48" s="20" t="s">
        <v>16</v>
      </c>
      <c r="H48" s="35" t="s">
        <v>27</v>
      </c>
      <c r="I48" s="32">
        <f>IFERROR(SUMIF($C$2:$C$266,H46,$E$2:$E$266),0)</f>
        <v>0</v>
      </c>
      <c r="J48" s="14"/>
      <c r="K48" s="33"/>
    </row>
    <row r="49" spans="1:11" ht="14.25" customHeight="1" x14ac:dyDescent="0.3">
      <c r="A49" s="21">
        <f t="shared" ref="A49:A55" si="7">$C$39</f>
        <v>46218</v>
      </c>
      <c r="B49" s="21"/>
      <c r="C49" s="22" t="s">
        <v>22</v>
      </c>
      <c r="D49" s="23">
        <v>5.58</v>
      </c>
      <c r="E49" s="24">
        <f t="shared" ref="E49:E55" si="8">D49*$D$46</f>
        <v>91.060122699386525</v>
      </c>
      <c r="F49" s="24">
        <f>IF($C49="","",COUNTIF($C$2:$C49,$C49))</f>
        <v>1</v>
      </c>
      <c r="H49" s="18" t="s">
        <v>28</v>
      </c>
      <c r="I49" s="20" t="s">
        <v>15</v>
      </c>
      <c r="J49" s="20" t="s">
        <v>16</v>
      </c>
      <c r="K49" s="33"/>
    </row>
    <row r="50" spans="1:11" ht="14.25" customHeight="1" x14ac:dyDescent="0.3">
      <c r="A50" s="21">
        <f t="shared" si="7"/>
        <v>46218</v>
      </c>
      <c r="B50" s="21"/>
      <c r="C50" s="22" t="s">
        <v>18</v>
      </c>
      <c r="D50" s="23">
        <v>7.46</v>
      </c>
      <c r="E50" s="24">
        <f t="shared" si="8"/>
        <v>121.73987730061353</v>
      </c>
      <c r="F50">
        <f>IF($C50="","",COUNTIF($C$2:$C50,$C50))</f>
        <v>1</v>
      </c>
      <c r="H50" s="37" t="str">
        <f>IF(SUMPRODUCT(($C$2:$C$266=$H$46)*($F$2:$F$266=1))=0,"No entries yet",INDEX($A$2:$A$266,SUMPRODUCT(($C$2:$C$266=$H$46)*($F$2:$F$266=1)*(ROW($C$2:$C$266)-ROW($C$2)+1))))</f>
        <v>No entries yet</v>
      </c>
      <c r="I50" s="38" t="str">
        <f>IFERROR(IF(SUMPRODUCT(($C$2:$C$266=$H$46)*($F$2:$F$266=1))=0,"",INDEX($D$2:$D$266,SUMPRODUCT(($C$2:$C$266=$H$46)*($F$2:$F$266=1)*(ROW($C$2:$C$266)-ROW($C$2)+1)))),"")</f>
        <v/>
      </c>
      <c r="J50" s="38" t="str">
        <f>IFERROR(IF(SUMPRODUCT(($C$2:$C$266=$H$46)*($F$2:$F$266=1))=0,"",INDEX($E$2:$E$266,SUMPRODUCT(($C$2:$C$266=$H$46)*($F$2:$F$266=1)*(ROW($C$2:$C$266)-ROW($C$2)+1)))),"")</f>
        <v/>
      </c>
      <c r="K50" s="33"/>
    </row>
    <row r="51" spans="1:11" ht="14.25" customHeight="1" x14ac:dyDescent="0.3">
      <c r="A51" s="21">
        <f t="shared" si="7"/>
        <v>46218</v>
      </c>
      <c r="B51" s="21"/>
      <c r="C51" s="22"/>
      <c r="D51" s="23"/>
      <c r="E51" s="24">
        <f t="shared" si="8"/>
        <v>0</v>
      </c>
      <c r="F51" t="str">
        <f>IF($C51="","",COUNTIF($C$2:$C51,$C51))</f>
        <v/>
      </c>
      <c r="H51" s="37" t="str">
        <f>IF(SUMPRODUCT(($C$2:$C$266=$H$46)*($F$2:$F$266=2))=0,"",INDEX($A$2:$A$266,SUMPRODUCT(($C$2:$C$266=$H$46)*($F$2:$F$266=2)*(ROW($C$2:$C$266)-ROW($C$2)+1))))</f>
        <v/>
      </c>
      <c r="I51" s="38" t="str">
        <f>IFERROR(IF(SUMPRODUCT(($C$2:$C$266=$H$46)*($F$2:$F$266=2))=0,"",INDEX($D$2:$D$266,SUMPRODUCT(($C$2:$C$266=$H$46)*($F$2:$F$266=2)*(ROW($C$2:$C$266)-ROW($C$2)+1)))),"")</f>
        <v/>
      </c>
      <c r="J51" s="38" t="str">
        <f>IFERROR(IF(SUMPRODUCT(($C$2:$C$266=$H$46)*($F$2:$F$266=2))=0,"",INDEX($E$2:$E$266,SUMPRODUCT(($C$2:$C$266=$H$46)*($F$2:$F$266=2)*(ROW($C$2:$C$266)-ROW($C$2)+1)))),"")</f>
        <v/>
      </c>
      <c r="K51" s="33"/>
    </row>
    <row r="52" spans="1:11" ht="14.25" customHeight="1" x14ac:dyDescent="0.3">
      <c r="A52" s="21">
        <f t="shared" si="7"/>
        <v>46218</v>
      </c>
      <c r="B52" s="21"/>
      <c r="C52" s="22"/>
      <c r="D52" s="23"/>
      <c r="E52" s="24">
        <f t="shared" si="8"/>
        <v>0</v>
      </c>
      <c r="F52" t="str">
        <f>IF($C52="","",COUNTIF($C$2:$C52,$C52))</f>
        <v/>
      </c>
      <c r="H52" s="37" t="str">
        <f>IF(SUMPRODUCT(($C$2:$C$266=$H$46)*($F$2:$F$266=3))=0,"",INDEX($A$2:$A$266,SUMPRODUCT(($C$2:$C$266=$H$46)*($F$2:$F$266=3)*(ROW($C$2:$C$266)-ROW($C$2)+1))))</f>
        <v/>
      </c>
      <c r="I52" s="38" t="str">
        <f>IFERROR(IF(SUMPRODUCT(($C$2:$C$266=$H$46)*($F$2:$F$266=3))=0,"",INDEX($D$2:$D$266,SUMPRODUCT(($C$2:$C$266=$H$46)*($F$2:$F$266=3)*(ROW($C$2:$C$266)-ROW($C$2)+1)))),"")</f>
        <v/>
      </c>
      <c r="J52" s="38" t="str">
        <f>IFERROR(IF(SUMPRODUCT(($C$2:$C$266=$H$46)*($F$2:$F$266=3))=0,"",INDEX($E$2:$E$266,SUMPRODUCT(($C$2:$C$266=$H$46)*($F$2:$F$266=3)*(ROW($C$2:$C$266)-ROW($C$2)+1)))),"")</f>
        <v/>
      </c>
      <c r="K52" s="33"/>
    </row>
    <row r="53" spans="1:11" ht="14.25" customHeight="1" x14ac:dyDescent="0.3">
      <c r="A53" s="21">
        <f t="shared" si="7"/>
        <v>46218</v>
      </c>
      <c r="B53" s="21"/>
      <c r="C53" s="22"/>
      <c r="D53" s="23"/>
      <c r="E53" s="24">
        <f t="shared" si="8"/>
        <v>0</v>
      </c>
      <c r="F53" t="str">
        <f>IF($C53="","",COUNTIF($C$2:$C53,$C53))</f>
        <v/>
      </c>
      <c r="H53" s="37" t="str">
        <f>IF(SUMPRODUCT(($C$2:$C$266=$H$46)*($F$2:$F$266=4))=0,"",INDEX($A$2:$A$266,SUMPRODUCT(($C$2:$C$266=$H$46)*($F$2:$F$266=4)*(ROW($C$2:$C$266)-ROW($C$2)+1))))</f>
        <v/>
      </c>
      <c r="I53" s="38" t="str">
        <f>IFERROR(IF(SUMPRODUCT(($C$2:$C$266=$H$46)*($F$2:$F$266=4))=0,"",INDEX($D$2:$D$266,SUMPRODUCT(($C$2:$C$266=$H$46)*($F$2:$F$266=4)*(ROW($C$2:$C$266)-ROW($C$2)+1)))),"")</f>
        <v/>
      </c>
      <c r="J53" s="38" t="str">
        <f>IFERROR(IF(SUMPRODUCT(($C$2:$C$266=$H$46)*($F$2:$F$266=4))=0,"",INDEX($E$2:$E$266,SUMPRODUCT(($C$2:$C$266=$H$46)*($F$2:$F$266=4)*(ROW($C$2:$C$266)-ROW($C$2)+1)))),"")</f>
        <v/>
      </c>
      <c r="K53" s="33"/>
    </row>
    <row r="54" spans="1:11" ht="14.25" customHeight="1" x14ac:dyDescent="0.3">
      <c r="A54" s="21">
        <f t="shared" si="7"/>
        <v>46218</v>
      </c>
      <c r="B54" s="21"/>
      <c r="C54" s="22"/>
      <c r="D54" s="23"/>
      <c r="E54" s="24">
        <f t="shared" si="8"/>
        <v>0</v>
      </c>
      <c r="F54" t="str">
        <f>IF($C54="","",COUNTIF($C$2:$C54,$C54))</f>
        <v/>
      </c>
      <c r="H54" s="37" t="str">
        <f>IF(SUMPRODUCT(($C$2:$C$266=$H$46)*($F$2:$F$266=5))=0,"",INDEX($A$2:$A$266,SUMPRODUCT(($C$2:$C$266=$H$46)*($F$2:$F$266=5)*(ROW($C$2:$C$266)-ROW($C$2)+1))))</f>
        <v/>
      </c>
      <c r="I54" s="38" t="str">
        <f>IFERROR(IF(SUMPRODUCT(($C$2:$C$266=$H$46)*($F$2:$F$266=5))=0,"",INDEX($D$2:$D$266,SUMPRODUCT(($C$2:$C$266=$H$46)*($F$2:$F$266=5)*(ROW($C$2:$C$266)-ROW($C$2)+1)))),"")</f>
        <v/>
      </c>
      <c r="J54" s="38" t="str">
        <f>IFERROR(IF(SUMPRODUCT(($C$2:$C$266=$H$46)*($F$2:$F$266=5))=0,"",INDEX($E$2:$E$266,SUMPRODUCT(($C$2:$C$266=$H$46)*($F$2:$F$266=5)*(ROW($C$2:$C$266)-ROW($C$2)+1)))),"")</f>
        <v/>
      </c>
      <c r="K54" s="33"/>
    </row>
    <row r="55" spans="1:11" ht="14.25" customHeight="1" x14ac:dyDescent="0.3">
      <c r="A55" s="21">
        <f t="shared" si="7"/>
        <v>46218</v>
      </c>
      <c r="B55" s="21"/>
      <c r="C55" s="22"/>
      <c r="D55" s="23"/>
      <c r="E55" s="24">
        <f t="shared" si="8"/>
        <v>0</v>
      </c>
      <c r="F55" t="str">
        <f>IF($C55="","",COUNTIF($C$2:$C55,$C55))</f>
        <v/>
      </c>
      <c r="H55" s="37" t="str">
        <f>IF(SUMPRODUCT(($C$2:$C$266=$H$46)*($F$2:$F$266=6))=0,"",INDEX($A$2:$A$266,SUMPRODUCT(($C$2:$C$266=$H$46)*($F$2:$F$266=6)*(ROW($C$2:$C$266)-ROW($C$2)+1))))</f>
        <v/>
      </c>
      <c r="I55" s="38" t="str">
        <f>IFERROR(IF(SUMPRODUCT(($C$2:$C$266=$H$46)*($F$2:$F$266=6))=0,"",INDEX($D$2:$D$266,SUMPRODUCT(($C$2:$C$266=$H$46)*($F$2:$F$266=6)*(ROW($C$2:$C$266)-ROW($C$2)+1)))),"")</f>
        <v/>
      </c>
      <c r="J55" s="38" t="str">
        <f>IFERROR(IF(SUMPRODUCT(($C$2:$C$266=$H$46)*($F$2:$F$266=6))=0,"",INDEX($E$2:$E$266,SUMPRODUCT(($C$2:$C$266=$H$46)*($F$2:$F$266=6)*(ROW($C$2:$C$266)-ROW($C$2)+1)))),"")</f>
        <v/>
      </c>
      <c r="K55" s="33"/>
    </row>
    <row r="56" spans="1:11" ht="15" customHeight="1" x14ac:dyDescent="0.3">
      <c r="C56" s="25" t="s">
        <v>24</v>
      </c>
      <c r="D56" s="26"/>
      <c r="E56" s="27">
        <f>SUM(E49:E55)</f>
        <v>212.80000000000007</v>
      </c>
      <c r="H56" s="37" t="str">
        <f>IF(SUMPRODUCT(($C$2:$C$266=$H$46)*($F$2:$F$266=7))=0,"",INDEX($A$2:$A$266,SUMPRODUCT(($C$2:$C$266=$H$46)*($F$2:$F$266=7)*(ROW($C$2:$C$266)-ROW($C$2)+1))))</f>
        <v/>
      </c>
      <c r="I56" s="38" t="str">
        <f>IFERROR(IF(SUMPRODUCT(($C$2:$C$266=$H$46)*($F$2:$F$266=7))=0,"",INDEX($D$2:$D$266,SUMPRODUCT(($C$2:$C$266=$H$46)*($F$2:$F$266=7)*(ROW($C$2:$C$266)-ROW($C$2)+1)))),"")</f>
        <v/>
      </c>
      <c r="J56" s="38" t="str">
        <f>IFERROR(IF(SUMPRODUCT(($C$2:$C$266=$H$46)*($F$2:$F$266=7))=0,"",INDEX($E$2:$E$266,SUMPRODUCT(($C$2:$C$266=$H$46)*($F$2:$F$266=7)*(ROW($C$2:$C$266)-ROW($C$2)+1)))),"")</f>
        <v/>
      </c>
      <c r="K56" s="33"/>
    </row>
    <row r="57" spans="1:11" ht="15" customHeight="1" x14ac:dyDescent="0.3">
      <c r="H57" s="37" t="str">
        <f>IF(SUMPRODUCT(($C$2:$C$266=$H$46)*($F$2:$F$266=8))=0,"",INDEX($A$2:$A$266,SUMPRODUCT(($C$2:$C$266=$H$46)*($F$2:$F$266=8)*(ROW($C$2:$C$266)-ROW($C$2)+1))))</f>
        <v/>
      </c>
      <c r="I57" s="38" t="str">
        <f>IFERROR(IF(SUMPRODUCT(($C$2:$C$266=$H$46)*($F$2:$F$266=8))=0,"",INDEX($D$2:$D$266,SUMPRODUCT(($C$2:$C$266=$H$46)*($F$2:$F$266=8)*(ROW($C$2:$C$266)-ROW($C$2)+1)))),"")</f>
        <v/>
      </c>
      <c r="J57" s="38" t="str">
        <f>IFERROR(IF(SUMPRODUCT(($C$2:$C$266=$H$46)*($F$2:$F$266=8))=0,"",INDEX($E$2:$E$266,SUMPRODUCT(($C$2:$C$266=$H$46)*($F$2:$F$266=8)*(ROW($C$2:$C$266)-ROW($C$2)+1)))),"")</f>
        <v/>
      </c>
      <c r="K57" s="33"/>
    </row>
    <row r="58" spans="1:11" ht="15" customHeight="1" x14ac:dyDescent="0.3">
      <c r="C58" s="4">
        <v>46219</v>
      </c>
      <c r="D58" s="4"/>
      <c r="E58" s="4"/>
      <c r="H58" s="37" t="str">
        <f>IF(SUMPRODUCT(($C$2:$C$266=$H$46)*($F$2:$F$266=9))=0,"",INDEX($A$2:$A$266,SUMPRODUCT(($C$2:$C$266=$H$46)*($F$2:$F$266=9)*(ROW($C$2:$C$266)-ROW($C$2)+1))))</f>
        <v/>
      </c>
      <c r="I58" s="38" t="str">
        <f>IFERROR(IF(SUMPRODUCT(($C$2:$C$266=$H$46)*($F$2:$F$266=9))=0,"",INDEX($D$2:$D$266,SUMPRODUCT(($C$2:$C$266=$H$46)*($F$2:$F$266=9)*(ROW($C$2:$C$266)-ROW($C$2)+1)))),"")</f>
        <v/>
      </c>
      <c r="J58" s="38" t="str">
        <f>IFERROR(IF(SUMPRODUCT(($C$2:$C$266=$H$46)*($F$2:$F$266=9))=0,"",INDEX($E$2:$E$266,SUMPRODUCT(($C$2:$C$266=$H$46)*($F$2:$F$266=9)*(ROW($C$2:$C$266)-ROW($C$2)+1)))),"")</f>
        <v/>
      </c>
      <c r="K58" s="33"/>
    </row>
    <row r="59" spans="1:11" ht="15" customHeight="1" x14ac:dyDescent="0.3">
      <c r="C59" s="28"/>
      <c r="E59" s="29"/>
      <c r="H59" s="37" t="str">
        <f>IF(SUMPRODUCT(($C$2:$C$266=$H$46)*($F$2:$F$266=10))=0,"",INDEX($A$2:$A$266,SUMPRODUCT(($C$2:$C$266=$H$46)*($F$2:$F$266=10)*(ROW($C$2:$C$266)-ROW($C$2)+1))))</f>
        <v/>
      </c>
      <c r="I59" s="38" t="str">
        <f>IFERROR(IF(SUMPRODUCT(($C$2:$C$266=$H$46)*($F$2:$F$266=10))=0,"",INDEX($D$2:$D$266,SUMPRODUCT(($C$2:$C$266=$H$46)*($F$2:$F$266=10)*(ROW($C$2:$C$266)-ROW($C$2)+1)))),"")</f>
        <v/>
      </c>
      <c r="J59" s="38" t="str">
        <f>IFERROR(IF(SUMPRODUCT(($C$2:$C$266=$H$46)*($F$2:$F$266=10))=0,"",INDEX($E$2:$E$266,SUMPRODUCT(($C$2:$C$266=$H$46)*($F$2:$F$266=10)*(ROW($C$2:$C$266)-ROW($C$2)+1)))),"")</f>
        <v/>
      </c>
      <c r="K59" s="33"/>
    </row>
    <row r="60" spans="1:11" ht="14.25" customHeight="1" x14ac:dyDescent="0.3">
      <c r="C60" s="10" t="s">
        <v>5</v>
      </c>
      <c r="D60" s="11">
        <v>146.41999999999999</v>
      </c>
      <c r="E60" s="12"/>
      <c r="H60" s="37" t="str">
        <f>IF(SUMPRODUCT(($C$2:$C$266=$H$46)*($F$2:$F$266=11))=0,"",INDEX($A$2:$A$266,SUMPRODUCT(($C$2:$C$266=$H$46)*($F$2:$F$266=11)*(ROW($C$2:$C$266)-ROW($C$2)+1))))</f>
        <v/>
      </c>
      <c r="I60" s="38" t="str">
        <f>IFERROR(IF(SUMPRODUCT(($C$2:$C$266=$H$46)*($F$2:$F$266=11))=0,"",INDEX($D$2:$D$266,SUMPRODUCT(($C$2:$C$266=$H$46)*($F$2:$F$266=11)*(ROW($C$2:$C$266)-ROW($C$2)+1)))),"")</f>
        <v/>
      </c>
      <c r="J60" s="38" t="str">
        <f>IFERROR(IF(SUMPRODUCT(($C$2:$C$266=$H$46)*($F$2:$F$266=11))=0,"",INDEX($E$2:$E$266,SUMPRODUCT(($C$2:$C$266=$H$46)*($F$2:$F$266=11)*(ROW($C$2:$C$266)-ROW($C$2)+1)))),"")</f>
        <v/>
      </c>
      <c r="K60" s="33"/>
    </row>
    <row r="61" spans="1:11" ht="14.25" customHeight="1" x14ac:dyDescent="0.3">
      <c r="C61" s="10" t="s">
        <v>7</v>
      </c>
      <c r="D61" s="15"/>
      <c r="E61" s="16"/>
      <c r="H61" s="37" t="str">
        <f>IF(SUMPRODUCT(($C$2:$C$266=$H$46)*($F$2:$F$266=12))=0,"",INDEX($A$2:$A$266,SUMPRODUCT(($C$2:$C$266=$H$46)*($F$2:$F$266=12)*(ROW($C$2:$C$266)-ROW($C$2)+1))))</f>
        <v/>
      </c>
      <c r="I61" s="38" t="str">
        <f>IFERROR(IF(SUMPRODUCT(($C$2:$C$266=$H$46)*($F$2:$F$266=12))=0,"",INDEX($D$2:$D$266,SUMPRODUCT(($C$2:$C$266=$H$46)*($F$2:$F$266=12)*(ROW($C$2:$C$266)-ROW($C$2)+1)))),"")</f>
        <v/>
      </c>
      <c r="J61" s="38" t="str">
        <f>IFERROR(IF(SUMPRODUCT(($C$2:$C$266=$H$46)*($F$2:$F$266=12))=0,"",INDEX($E$2:$E$266,SUMPRODUCT(($C$2:$C$266=$H$46)*($F$2:$F$266=12)*(ROW($C$2:$C$266)-ROW($C$2)+1)))),"")</f>
        <v/>
      </c>
      <c r="K61" s="33"/>
    </row>
    <row r="62" spans="1:11" ht="14.25" customHeight="1" x14ac:dyDescent="0.3">
      <c r="C62" s="10" t="s">
        <v>9</v>
      </c>
      <c r="D62" s="10"/>
      <c r="E62" s="12"/>
      <c r="H62" s="37" t="str">
        <f>IF(SUMPRODUCT(($C$2:$C$266=$H$46)*($F$2:$F$266=13))=0,"",INDEX($A$2:$A$266,SUMPRODUCT(($C$2:$C$266=$H$46)*($F$2:$F$266=13)*(ROW($C$2:$C$266)-ROW($C$2)+1))))</f>
        <v/>
      </c>
      <c r="I62" s="38" t="str">
        <f>IFERROR(IF(SUMPRODUCT(($C$2:$C$266=$H$46)*($F$2:$F$266=13))=0,"",INDEX($D$2:$D$266,SUMPRODUCT(($C$2:$C$266=$H$46)*($F$2:$F$266=13)*(ROW($C$2:$C$266)-ROW($C$2)+1)))),"")</f>
        <v/>
      </c>
      <c r="J62" s="38" t="str">
        <f>IFERROR(IF(SUMPRODUCT(($C$2:$C$266=$H$46)*($F$2:$F$266=13))=0,"",INDEX($E$2:$E$266,SUMPRODUCT(($C$2:$C$266=$H$46)*($F$2:$F$266=13)*(ROW($C$2:$C$266)-ROW($C$2)+1)))),"")</f>
        <v/>
      </c>
      <c r="K62" s="33"/>
    </row>
    <row r="63" spans="1:11" ht="14.25" customHeight="1" x14ac:dyDescent="0.3">
      <c r="C63" s="10" t="s">
        <v>2</v>
      </c>
      <c r="D63" s="17">
        <f>SUM(D60:D62)</f>
        <v>146.41999999999999</v>
      </c>
      <c r="E63" s="12"/>
      <c r="H63" s="37" t="str">
        <f>IF(SUMPRODUCT(($C$2:$C$266=$H$46)*($F$2:$F$266=14))=0,"",INDEX($A$2:$A$266,SUMPRODUCT(($C$2:$C$266=$H$46)*($F$2:$F$266=14)*(ROW($C$2:$C$266)-ROW($C$2)+1))))</f>
        <v/>
      </c>
      <c r="I63" s="38" t="str">
        <f>IFERROR(IF(SUMPRODUCT(($C$2:$C$266=$H$46)*($F$2:$F$266=14))=0,"",INDEX($D$2:$D$266,SUMPRODUCT(($C$2:$C$266=$H$46)*($F$2:$F$266=14)*(ROW($C$2:$C$266)-ROW($C$2)+1)))),"")</f>
        <v/>
      </c>
      <c r="J63" s="38" t="str">
        <f>IFERROR(IF(SUMPRODUCT(($C$2:$C$266=$H$46)*($F$2:$F$266=14))=0,"",INDEX($E$2:$E$266,SUMPRODUCT(($C$2:$C$266=$H$46)*($F$2:$F$266=14)*(ROW($C$2:$C$266)-ROW($C$2)+1)))),"")</f>
        <v/>
      </c>
      <c r="K63" s="33"/>
    </row>
    <row r="64" spans="1:11" ht="14.25" customHeight="1" x14ac:dyDescent="0.3">
      <c r="C64" s="10" t="s">
        <v>3</v>
      </c>
      <c r="D64" s="10">
        <f>SUM(D68:D74)</f>
        <v>13.49</v>
      </c>
      <c r="E64" s="12"/>
      <c r="H64" s="37" t="str">
        <f>IF(SUMPRODUCT(($C$2:$C$266=$H$46)*($F$2:$F$266=15))=0,"",INDEX($A$2:$A$266,SUMPRODUCT(($C$2:$C$266=$H$46)*($F$2:$F$266=15)*(ROW($C$2:$C$266)-ROW($C$2)+1))))</f>
        <v/>
      </c>
      <c r="I64" s="38" t="str">
        <f>IFERROR(IF(SUMPRODUCT(($C$2:$C$266=$H$46)*($F$2:$F$266=15))=0,"",INDEX($D$2:$D$266,SUMPRODUCT(($C$2:$C$266=$H$46)*($F$2:$F$266=15)*(ROW($C$2:$C$266)-ROW($C$2)+1)))),"")</f>
        <v/>
      </c>
      <c r="J64" s="38" t="str">
        <f>IFERROR(IF(SUMPRODUCT(($C$2:$C$266=$H$46)*($F$2:$F$266=15))=0,"",INDEX($E$2:$E$266,SUMPRODUCT(($C$2:$C$266=$H$46)*($F$2:$F$266=15)*(ROW($C$2:$C$266)-ROW($C$2)+1)))),"")</f>
        <v/>
      </c>
      <c r="K64" s="33"/>
    </row>
    <row r="65" spans="1:11" ht="14.25" customHeight="1" x14ac:dyDescent="0.3">
      <c r="C65" s="10" t="s">
        <v>13</v>
      </c>
      <c r="D65" s="17">
        <f>D63/D64</f>
        <v>10.853965900667159</v>
      </c>
      <c r="E65" s="12"/>
      <c r="H65" s="37" t="str">
        <f>IF(SUMPRODUCT(($C$2:$C$266=$H$46)*($F$2:$F$266=16))=0,"",INDEX($A$2:$A$266,SUMPRODUCT(($C$2:$C$266=$H$46)*($F$2:$F$266=16)*(ROW($C$2:$C$266)-ROW($C$2)+1))))</f>
        <v/>
      </c>
      <c r="I65" s="38" t="str">
        <f>IFERROR(IF(SUMPRODUCT(($C$2:$C$266=$H$46)*($F$2:$F$266=16))=0,"",INDEX($D$2:$D$266,SUMPRODUCT(($C$2:$C$266=$H$46)*($F$2:$F$266=16)*(ROW($C$2:$C$266)-ROW($C$2)+1)))),"")</f>
        <v/>
      </c>
      <c r="J65" s="38" t="str">
        <f>IFERROR(IF(SUMPRODUCT(($C$2:$C$266=$H$46)*($F$2:$F$266=16))=0,"",INDEX($E$2:$E$266,SUMPRODUCT(($C$2:$C$266=$H$46)*($F$2:$F$266=16)*(ROW($C$2:$C$266)-ROW($C$2)+1)))),"")</f>
        <v/>
      </c>
      <c r="K65" s="33"/>
    </row>
    <row r="66" spans="1:11" ht="14.25" customHeight="1" x14ac:dyDescent="0.3">
      <c r="C66" s="12"/>
      <c r="D66" s="36"/>
      <c r="E66" s="12"/>
      <c r="H66" s="34" t="str">
        <f>H7</f>
        <v>Maya Snyder</v>
      </c>
      <c r="I66" s="14"/>
      <c r="J66" s="14"/>
      <c r="K66" s="33"/>
    </row>
    <row r="67" spans="1:11" ht="15" customHeight="1" x14ac:dyDescent="0.3">
      <c r="C67" s="18" t="s">
        <v>1</v>
      </c>
      <c r="D67" s="19" t="s">
        <v>15</v>
      </c>
      <c r="E67" s="20" t="s">
        <v>16</v>
      </c>
      <c r="H67" s="35" t="s">
        <v>26</v>
      </c>
      <c r="I67" s="32">
        <f>IFERROR(SUMIF($C$2:$C$266,H66,$D$2:$D$266),0)</f>
        <v>0</v>
      </c>
      <c r="J67" s="14"/>
      <c r="K67" s="33"/>
    </row>
    <row r="68" spans="1:11" ht="14.25" customHeight="1" x14ac:dyDescent="0.3">
      <c r="A68" s="21">
        <f t="shared" ref="A68:A74" si="9">$C$58</f>
        <v>46219</v>
      </c>
      <c r="B68" s="21"/>
      <c r="C68" s="22" t="s">
        <v>18</v>
      </c>
      <c r="D68" s="23">
        <v>7.49</v>
      </c>
      <c r="E68" s="24">
        <f t="shared" ref="E68:E74" si="10">D68*$D$65</f>
        <v>81.296204595997025</v>
      </c>
      <c r="F68">
        <f>IF($C68="","",COUNTIF($C$2:$C68,$C68))</f>
        <v>2</v>
      </c>
      <c r="H68" s="35" t="s">
        <v>27</v>
      </c>
      <c r="I68" s="32">
        <f>IFERROR(SUMIF($C$2:$C$266,H66,$E$2:$E$266),0)</f>
        <v>0</v>
      </c>
      <c r="J68" s="14"/>
      <c r="K68" s="33"/>
    </row>
    <row r="69" spans="1:11" ht="14.25" customHeight="1" x14ac:dyDescent="0.3">
      <c r="A69" s="21">
        <f t="shared" si="9"/>
        <v>46219</v>
      </c>
      <c r="B69" s="21"/>
      <c r="C69" s="22" t="s">
        <v>21</v>
      </c>
      <c r="D69" s="23">
        <v>6</v>
      </c>
      <c r="E69" s="24">
        <f t="shared" si="10"/>
        <v>65.123795404002948</v>
      </c>
      <c r="F69">
        <f>IF($C69="","",COUNTIF($C$2:$C69,$C69))</f>
        <v>1</v>
      </c>
      <c r="H69" s="18" t="s">
        <v>28</v>
      </c>
      <c r="I69" s="20" t="s">
        <v>15</v>
      </c>
      <c r="J69" s="20" t="s">
        <v>16</v>
      </c>
      <c r="K69" s="33"/>
    </row>
    <row r="70" spans="1:11" ht="14.25" customHeight="1" x14ac:dyDescent="0.3">
      <c r="A70" s="21">
        <f t="shared" si="9"/>
        <v>46219</v>
      </c>
      <c r="B70" s="21"/>
      <c r="C70" s="22"/>
      <c r="D70" s="23"/>
      <c r="E70" s="24">
        <f t="shared" si="10"/>
        <v>0</v>
      </c>
      <c r="F70" t="str">
        <f>IF($C70="","",COUNTIF($C$2:$C70,$C70))</f>
        <v/>
      </c>
      <c r="H70" s="37" t="str">
        <f>IF(SUMPRODUCT(($C$2:$C$266=$H$66)*($F$2:$F$266=1))=0,"No entries yet",INDEX($A$2:$A$266,SUMPRODUCT(($C$2:$C$266=$H$66)*($F$2:$F$266=1)*(ROW($C$2:$C$266)-ROW($C$2)+1))))</f>
        <v>No entries yet</v>
      </c>
      <c r="I70" s="38" t="str">
        <f>IFERROR(IF(SUMPRODUCT(($C$2:$C$266=$H$66)*($F$2:$F$266=1))=0,"",INDEX($D$2:$D$266,SUMPRODUCT(($C$2:$C$266=$H$66)*($F$2:$F$266=1)*(ROW($C$2:$C$266)-ROW($C$2)+1)))),"")</f>
        <v/>
      </c>
      <c r="J70" s="38" t="str">
        <f>IFERROR(IF(SUMPRODUCT(($C$2:$C$266=$H$66)*($F$2:$F$266=1))=0,"",INDEX($E$2:$E$266,SUMPRODUCT(($C$2:$C$266=$H$66)*($F$2:$F$266=1)*(ROW($C$2:$C$266)-ROW($C$2)+1)))),"")</f>
        <v/>
      </c>
      <c r="K70" s="33"/>
    </row>
    <row r="71" spans="1:11" ht="14.25" customHeight="1" x14ac:dyDescent="0.3">
      <c r="A71" s="21">
        <f t="shared" si="9"/>
        <v>46219</v>
      </c>
      <c r="B71" s="21"/>
      <c r="C71" s="22"/>
      <c r="D71" s="23"/>
      <c r="E71" s="24">
        <f t="shared" si="10"/>
        <v>0</v>
      </c>
      <c r="F71" t="str">
        <f>IF($C71="","",COUNTIF($C$2:$C71,$C71))</f>
        <v/>
      </c>
      <c r="H71" s="37" t="str">
        <f>IF(SUMPRODUCT(($C$2:$C$266=$H$66)*($F$2:$F$266=2))=0,"",INDEX($A$2:$A$266,SUMPRODUCT(($C$2:$C$266=$H$66)*($F$2:$F$266=2)*(ROW($C$2:$C$266)-ROW($C$2)+1))))</f>
        <v/>
      </c>
      <c r="I71" s="38" t="str">
        <f>IFERROR(IF(SUMPRODUCT(($C$2:$C$266=$H$66)*($F$2:$F$266=2))=0,"",INDEX($D$2:$D$266,SUMPRODUCT(($C$2:$C$266=$H$66)*($F$2:$F$266=2)*(ROW($C$2:$C$266)-ROW($C$2)+1)))),"")</f>
        <v/>
      </c>
      <c r="J71" s="38" t="str">
        <f>IFERROR(IF(SUMPRODUCT(($C$2:$C$266=$H$66)*($F$2:$F$266=2))=0,"",INDEX($E$2:$E$266,SUMPRODUCT(($C$2:$C$266=$H$66)*($F$2:$F$266=2)*(ROW($C$2:$C$266)-ROW($C$2)+1)))),"")</f>
        <v/>
      </c>
      <c r="K71" s="33"/>
    </row>
    <row r="72" spans="1:11" ht="14.25" customHeight="1" x14ac:dyDescent="0.3">
      <c r="A72" s="21">
        <f t="shared" si="9"/>
        <v>46219</v>
      </c>
      <c r="B72" s="21"/>
      <c r="C72" s="22"/>
      <c r="D72" s="23"/>
      <c r="E72" s="24">
        <f t="shared" si="10"/>
        <v>0</v>
      </c>
      <c r="F72" t="str">
        <f>IF($C72="","",COUNTIF($C$2:$C72,$C72))</f>
        <v/>
      </c>
      <c r="H72" s="37" t="str">
        <f>IF(SUMPRODUCT(($C$2:$C$266=$H$66)*($F$2:$F$266=3))=0,"",INDEX($A$2:$A$266,SUMPRODUCT(($C$2:$C$266=$H$66)*($F$2:$F$266=3)*(ROW($C$2:$C$266)-ROW($C$2)+1))))</f>
        <v/>
      </c>
      <c r="I72" s="38" t="str">
        <f>IFERROR(IF(SUMPRODUCT(($C$2:$C$266=$H$66)*($F$2:$F$266=3))=0,"",INDEX($D$2:$D$266,SUMPRODUCT(($C$2:$C$266=$H$66)*($F$2:$F$266=3)*(ROW($C$2:$C$266)-ROW($C$2)+1)))),"")</f>
        <v/>
      </c>
      <c r="J72" s="38" t="str">
        <f>IFERROR(IF(SUMPRODUCT(($C$2:$C$266=$H$66)*($F$2:$F$266=3))=0,"",INDEX($E$2:$E$266,SUMPRODUCT(($C$2:$C$266=$H$66)*($F$2:$F$266=3)*(ROW($C$2:$C$266)-ROW($C$2)+1)))),"")</f>
        <v/>
      </c>
      <c r="K72" s="33"/>
    </row>
    <row r="73" spans="1:11" ht="14.25" customHeight="1" x14ac:dyDescent="0.3">
      <c r="A73" s="21">
        <f t="shared" si="9"/>
        <v>46219</v>
      </c>
      <c r="B73" s="21"/>
      <c r="C73" s="22"/>
      <c r="D73" s="23"/>
      <c r="E73" s="24">
        <f t="shared" si="10"/>
        <v>0</v>
      </c>
      <c r="F73" t="str">
        <f>IF($C73="","",COUNTIF($C$2:$C73,$C73))</f>
        <v/>
      </c>
      <c r="H73" s="37" t="str">
        <f>IF(SUMPRODUCT(($C$2:$C$266=$H$66)*($F$2:$F$266=4))=0,"",INDEX($A$2:$A$266,SUMPRODUCT(($C$2:$C$266=$H$66)*($F$2:$F$266=4)*(ROW($C$2:$C$266)-ROW($C$2)+1))))</f>
        <v/>
      </c>
      <c r="I73" s="38" t="str">
        <f>IFERROR(IF(SUMPRODUCT(($C$2:$C$266=$H$66)*($F$2:$F$266=4))=0,"",INDEX($D$2:$D$266,SUMPRODUCT(($C$2:$C$266=$H$66)*($F$2:$F$266=4)*(ROW($C$2:$C$266)-ROW($C$2)+1)))),"")</f>
        <v/>
      </c>
      <c r="J73" s="38" t="str">
        <f>IFERROR(IF(SUMPRODUCT(($C$2:$C$266=$H$66)*($F$2:$F$266=4))=0,"",INDEX($E$2:$E$266,SUMPRODUCT(($C$2:$C$266=$H$66)*($F$2:$F$266=4)*(ROW($C$2:$C$266)-ROW($C$2)+1)))),"")</f>
        <v/>
      </c>
      <c r="K73" s="33"/>
    </row>
    <row r="74" spans="1:11" ht="14.25" customHeight="1" x14ac:dyDescent="0.3">
      <c r="A74" s="21">
        <f t="shared" si="9"/>
        <v>46219</v>
      </c>
      <c r="B74" s="21"/>
      <c r="C74" s="22"/>
      <c r="D74" s="23"/>
      <c r="E74" s="24">
        <f t="shared" si="10"/>
        <v>0</v>
      </c>
      <c r="F74" t="str">
        <f>IF($C74="","",COUNTIF($C$2:$C74,$C74))</f>
        <v/>
      </c>
      <c r="H74" s="37" t="str">
        <f>IF(SUMPRODUCT(($C$2:$C$266=$H$66)*($F$2:$F$266=5))=0,"",INDEX($A$2:$A$266,SUMPRODUCT(($C$2:$C$266=$H$66)*($F$2:$F$266=5)*(ROW($C$2:$C$266)-ROW($C$2)+1))))</f>
        <v/>
      </c>
      <c r="I74" s="38" t="str">
        <f>IFERROR(IF(SUMPRODUCT(($C$2:$C$266=$H$66)*($F$2:$F$266=5))=0,"",INDEX($D$2:$D$266,SUMPRODUCT(($C$2:$C$266=$H$66)*($F$2:$F$266=5)*(ROW($C$2:$C$266)-ROW($C$2)+1)))),"")</f>
        <v/>
      </c>
      <c r="J74" s="38" t="str">
        <f>IFERROR(IF(SUMPRODUCT(($C$2:$C$266=$H$66)*($F$2:$F$266=5))=0,"",INDEX($E$2:$E$266,SUMPRODUCT(($C$2:$C$266=$H$66)*($F$2:$F$266=5)*(ROW($C$2:$C$266)-ROW($C$2)+1)))),"")</f>
        <v/>
      </c>
      <c r="K74" s="33"/>
    </row>
    <row r="75" spans="1:11" ht="15" customHeight="1" x14ac:dyDescent="0.3">
      <c r="C75" s="25" t="s">
        <v>24</v>
      </c>
      <c r="D75" s="26"/>
      <c r="E75" s="27">
        <f>SUM(E68:E74)</f>
        <v>146.41999999999996</v>
      </c>
      <c r="H75" s="37" t="str">
        <f>IF(SUMPRODUCT(($C$2:$C$266=$H$66)*($F$2:$F$266=6))=0,"",INDEX($A$2:$A$266,SUMPRODUCT(($C$2:$C$266=$H$66)*($F$2:$F$266=6)*(ROW($C$2:$C$266)-ROW($C$2)+1))))</f>
        <v/>
      </c>
      <c r="I75" s="38" t="str">
        <f>IFERROR(IF(SUMPRODUCT(($C$2:$C$266=$H$66)*($F$2:$F$266=6))=0,"",INDEX($D$2:$D$266,SUMPRODUCT(($C$2:$C$266=$H$66)*($F$2:$F$266=6)*(ROW($C$2:$C$266)-ROW($C$2)+1)))),"")</f>
        <v/>
      </c>
      <c r="J75" s="38" t="str">
        <f>IFERROR(IF(SUMPRODUCT(($C$2:$C$266=$H$66)*($F$2:$F$266=6))=0,"",INDEX($E$2:$E$266,SUMPRODUCT(($C$2:$C$266=$H$66)*($F$2:$F$266=6)*(ROW($C$2:$C$266)-ROW($C$2)+1)))),"")</f>
        <v/>
      </c>
      <c r="K75" s="33"/>
    </row>
    <row r="76" spans="1:11" ht="15" customHeight="1" x14ac:dyDescent="0.3">
      <c r="H76" s="37" t="str">
        <f>IF(SUMPRODUCT(($C$2:$C$266=$H$66)*($F$2:$F$266=7))=0,"",INDEX($A$2:$A$266,SUMPRODUCT(($C$2:$C$266=$H$66)*($F$2:$F$266=7)*(ROW($C$2:$C$266)-ROW($C$2)+1))))</f>
        <v/>
      </c>
      <c r="I76" s="38" t="str">
        <f>IFERROR(IF(SUMPRODUCT(($C$2:$C$266=$H$66)*($F$2:$F$266=7))=0,"",INDEX($D$2:$D$266,SUMPRODUCT(($C$2:$C$266=$H$66)*($F$2:$F$266=7)*(ROW($C$2:$C$266)-ROW($C$2)+1)))),"")</f>
        <v/>
      </c>
      <c r="J76" s="38" t="str">
        <f>IFERROR(IF(SUMPRODUCT(($C$2:$C$266=$H$66)*($F$2:$F$266=7))=0,"",INDEX($E$2:$E$266,SUMPRODUCT(($C$2:$C$266=$H$66)*($F$2:$F$266=7)*(ROW($C$2:$C$266)-ROW($C$2)+1)))),"")</f>
        <v/>
      </c>
      <c r="K76" s="33"/>
    </row>
    <row r="77" spans="1:11" ht="15" customHeight="1" x14ac:dyDescent="0.3">
      <c r="C77" s="4">
        <v>46220</v>
      </c>
      <c r="D77" s="4"/>
      <c r="E77" s="4"/>
      <c r="H77" s="37" t="str">
        <f>IF(SUMPRODUCT(($C$2:$C$266=$H$66)*($F$2:$F$266=8))=0,"",INDEX($A$2:$A$266,SUMPRODUCT(($C$2:$C$266=$H$66)*($F$2:$F$266=8)*(ROW($C$2:$C$266)-ROW($C$2)+1))))</f>
        <v/>
      </c>
      <c r="I77" s="38" t="str">
        <f>IFERROR(IF(SUMPRODUCT(($C$2:$C$266=$H$66)*($F$2:$F$266=8))=0,"",INDEX($D$2:$D$266,SUMPRODUCT(($C$2:$C$266=$H$66)*($F$2:$F$266=8)*(ROW($C$2:$C$266)-ROW($C$2)+1)))),"")</f>
        <v/>
      </c>
      <c r="J77" s="38" t="str">
        <f>IFERROR(IF(SUMPRODUCT(($C$2:$C$266=$H$66)*($F$2:$F$266=8))=0,"",INDEX($E$2:$E$266,SUMPRODUCT(($C$2:$C$266=$H$66)*($F$2:$F$266=8)*(ROW($C$2:$C$266)-ROW($C$2)+1)))),"")</f>
        <v/>
      </c>
      <c r="K77" s="33"/>
    </row>
    <row r="78" spans="1:11" ht="15" customHeight="1" x14ac:dyDescent="0.3">
      <c r="C78" s="28"/>
      <c r="E78" s="29"/>
      <c r="H78" s="37" t="str">
        <f>IF(SUMPRODUCT(($C$2:$C$266=$H$66)*($F$2:$F$266=9))=0,"",INDEX($A$2:$A$266,SUMPRODUCT(($C$2:$C$266=$H$66)*($F$2:$F$266=9)*(ROW($C$2:$C$266)-ROW($C$2)+1))))</f>
        <v/>
      </c>
      <c r="I78" s="38" t="str">
        <f>IFERROR(IF(SUMPRODUCT(($C$2:$C$266=$H$66)*($F$2:$F$266=9))=0,"",INDEX($D$2:$D$266,SUMPRODUCT(($C$2:$C$266=$H$66)*($F$2:$F$266=9)*(ROW($C$2:$C$266)-ROW($C$2)+1)))),"")</f>
        <v/>
      </c>
      <c r="J78" s="38" t="str">
        <f>IFERROR(IF(SUMPRODUCT(($C$2:$C$266=$H$66)*($F$2:$F$266=9))=0,"",INDEX($E$2:$E$266,SUMPRODUCT(($C$2:$C$266=$H$66)*($F$2:$F$266=9)*(ROW($C$2:$C$266)-ROW($C$2)+1)))),"")</f>
        <v/>
      </c>
      <c r="K78" s="33"/>
    </row>
    <row r="79" spans="1:11" ht="14.25" customHeight="1" x14ac:dyDescent="0.3">
      <c r="C79" s="10" t="s">
        <v>5</v>
      </c>
      <c r="D79" s="11">
        <v>209.75</v>
      </c>
      <c r="E79" s="12"/>
      <c r="H79" s="37" t="str">
        <f>IF(SUMPRODUCT(($C$2:$C$266=$H$66)*($F$2:$F$266=10))=0,"",INDEX($A$2:$A$266,SUMPRODUCT(($C$2:$C$266=$H$66)*($F$2:$F$266=10)*(ROW($C$2:$C$266)-ROW($C$2)+1))))</f>
        <v/>
      </c>
      <c r="I79" s="38" t="str">
        <f>IFERROR(IF(SUMPRODUCT(($C$2:$C$266=$H$66)*($F$2:$F$266=10))=0,"",INDEX($D$2:$D$266,SUMPRODUCT(($C$2:$C$266=$H$66)*($F$2:$F$266=10)*(ROW($C$2:$C$266)-ROW($C$2)+1)))),"")</f>
        <v/>
      </c>
      <c r="J79" s="38" t="str">
        <f>IFERROR(IF(SUMPRODUCT(($C$2:$C$266=$H$66)*($F$2:$F$266=10))=0,"",INDEX($E$2:$E$266,SUMPRODUCT(($C$2:$C$266=$H$66)*($F$2:$F$266=10)*(ROW($C$2:$C$266)-ROW($C$2)+1)))),"")</f>
        <v/>
      </c>
      <c r="K79" s="33"/>
    </row>
    <row r="80" spans="1:11" ht="14.25" customHeight="1" x14ac:dyDescent="0.3">
      <c r="C80" s="10" t="s">
        <v>7</v>
      </c>
      <c r="D80" s="15"/>
      <c r="E80" s="16"/>
      <c r="H80" s="37" t="str">
        <f>IF(SUMPRODUCT(($C$2:$C$266=$H$66)*($F$2:$F$266=11))=0,"",INDEX($A$2:$A$266,SUMPRODUCT(($C$2:$C$266=$H$66)*($F$2:$F$266=11)*(ROW($C$2:$C$266)-ROW($C$2)+1))))</f>
        <v/>
      </c>
      <c r="I80" s="38" t="str">
        <f>IFERROR(IF(SUMPRODUCT(($C$2:$C$266=$H$66)*($F$2:$F$266=11))=0,"",INDEX($D$2:$D$266,SUMPRODUCT(($C$2:$C$266=$H$66)*($F$2:$F$266=11)*(ROW($C$2:$C$266)-ROW($C$2)+1)))),"")</f>
        <v/>
      </c>
      <c r="J80" s="38" t="str">
        <f>IFERROR(IF(SUMPRODUCT(($C$2:$C$266=$H$66)*($F$2:$F$266=11))=0,"",INDEX($E$2:$E$266,SUMPRODUCT(($C$2:$C$266=$H$66)*($F$2:$F$266=11)*(ROW($C$2:$C$266)-ROW($C$2)+1)))),"")</f>
        <v/>
      </c>
      <c r="K80" s="33"/>
    </row>
    <row r="81" spans="1:11" ht="14.25" customHeight="1" x14ac:dyDescent="0.3">
      <c r="C81" s="10" t="s">
        <v>9</v>
      </c>
      <c r="D81" s="10"/>
      <c r="E81" s="12"/>
      <c r="H81" s="37" t="str">
        <f>IF(SUMPRODUCT(($C$2:$C$266=$H$66)*($F$2:$F$266=12))=0,"",INDEX($A$2:$A$266,SUMPRODUCT(($C$2:$C$266=$H$66)*($F$2:$F$266=12)*(ROW($C$2:$C$266)-ROW($C$2)+1))))</f>
        <v/>
      </c>
      <c r="I81" s="38" t="str">
        <f>IFERROR(IF(SUMPRODUCT(($C$2:$C$266=$H$66)*($F$2:$F$266=12))=0,"",INDEX($D$2:$D$266,SUMPRODUCT(($C$2:$C$266=$H$66)*($F$2:$F$266=12)*(ROW($C$2:$C$266)-ROW($C$2)+1)))),"")</f>
        <v/>
      </c>
      <c r="J81" s="38" t="str">
        <f>IFERROR(IF(SUMPRODUCT(($C$2:$C$266=$H$66)*($F$2:$F$266=12))=0,"",INDEX($E$2:$E$266,SUMPRODUCT(($C$2:$C$266=$H$66)*($F$2:$F$266=12)*(ROW($C$2:$C$266)-ROW($C$2)+1)))),"")</f>
        <v/>
      </c>
      <c r="K81" s="33"/>
    </row>
    <row r="82" spans="1:11" ht="14.25" customHeight="1" x14ac:dyDescent="0.3">
      <c r="C82" s="10" t="s">
        <v>2</v>
      </c>
      <c r="D82" s="17">
        <f>SUM(D79:D81)</f>
        <v>209.75</v>
      </c>
      <c r="E82" s="12"/>
      <c r="H82" s="37" t="str">
        <f>IF(SUMPRODUCT(($C$2:$C$266=$H$66)*($F$2:$F$266=13))=0,"",INDEX($A$2:$A$266,SUMPRODUCT(($C$2:$C$266=$H$66)*($F$2:$F$266=13)*(ROW($C$2:$C$266)-ROW($C$2)+1))))</f>
        <v/>
      </c>
      <c r="I82" s="38" t="str">
        <f>IFERROR(IF(SUMPRODUCT(($C$2:$C$266=$H$66)*($F$2:$F$266=13))=0,"",INDEX($D$2:$D$266,SUMPRODUCT(($C$2:$C$266=$H$66)*($F$2:$F$266=13)*(ROW($C$2:$C$266)-ROW($C$2)+1)))),"")</f>
        <v/>
      </c>
      <c r="J82" s="38" t="str">
        <f>IFERROR(IF(SUMPRODUCT(($C$2:$C$266=$H$66)*($F$2:$F$266=13))=0,"",INDEX($E$2:$E$266,SUMPRODUCT(($C$2:$C$266=$H$66)*($F$2:$F$266=13)*(ROW($C$2:$C$266)-ROW($C$2)+1)))),"")</f>
        <v/>
      </c>
      <c r="K82" s="33"/>
    </row>
    <row r="83" spans="1:11" ht="14.25" customHeight="1" x14ac:dyDescent="0.3">
      <c r="C83" s="10" t="s">
        <v>3</v>
      </c>
      <c r="D83" s="10">
        <f>SUM(D87:D93)</f>
        <v>18.009999999999998</v>
      </c>
      <c r="E83" s="12"/>
      <c r="H83" s="37" t="str">
        <f>IF(SUMPRODUCT(($C$2:$C$266=$H$66)*($F$2:$F$266=14))=0,"",INDEX($A$2:$A$266,SUMPRODUCT(($C$2:$C$266=$H$66)*($F$2:$F$266=14)*(ROW($C$2:$C$266)-ROW($C$2)+1))))</f>
        <v/>
      </c>
      <c r="I83" s="38" t="str">
        <f>IFERROR(IF(SUMPRODUCT(($C$2:$C$266=$H$66)*($F$2:$F$266=14))=0,"",INDEX($D$2:$D$266,SUMPRODUCT(($C$2:$C$266=$H$66)*($F$2:$F$266=14)*(ROW($C$2:$C$266)-ROW($C$2)+1)))),"")</f>
        <v/>
      </c>
      <c r="J83" s="38" t="str">
        <f>IFERROR(IF(SUMPRODUCT(($C$2:$C$266=$H$66)*($F$2:$F$266=14))=0,"",INDEX($E$2:$E$266,SUMPRODUCT(($C$2:$C$266=$H$66)*($F$2:$F$266=14)*(ROW($C$2:$C$266)-ROW($C$2)+1)))),"")</f>
        <v/>
      </c>
      <c r="K83" s="33"/>
    </row>
    <row r="84" spans="1:11" ht="14.25" customHeight="1" x14ac:dyDescent="0.3">
      <c r="C84" s="10" t="s">
        <v>13</v>
      </c>
      <c r="D84" s="17">
        <f>D82/D83</f>
        <v>11.646307606885065</v>
      </c>
      <c r="E84" s="12"/>
      <c r="H84" s="37" t="str">
        <f>IF(SUMPRODUCT(($C$2:$C$266=$H$66)*($F$2:$F$266=15))=0,"",INDEX($A$2:$A$266,SUMPRODUCT(($C$2:$C$266=$H$66)*($F$2:$F$266=15)*(ROW($C$2:$C$266)-ROW($C$2)+1))))</f>
        <v/>
      </c>
      <c r="I84" s="38" t="str">
        <f>IFERROR(IF(SUMPRODUCT(($C$2:$C$266=$H$66)*($F$2:$F$266=15))=0,"",INDEX($D$2:$D$266,SUMPRODUCT(($C$2:$C$266=$H$66)*($F$2:$F$266=15)*(ROW($C$2:$C$266)-ROW($C$2)+1)))),"")</f>
        <v/>
      </c>
      <c r="J84" s="38" t="str">
        <f>IFERROR(IF(SUMPRODUCT(($C$2:$C$266=$H$66)*($F$2:$F$266=15))=0,"",INDEX($E$2:$E$266,SUMPRODUCT(($C$2:$C$266=$H$66)*($F$2:$F$266=15)*(ROW($C$2:$C$266)-ROW($C$2)+1)))),"")</f>
        <v/>
      </c>
      <c r="K84" s="33"/>
    </row>
    <row r="85" spans="1:11" ht="14.25" customHeight="1" x14ac:dyDescent="0.3">
      <c r="C85" s="12"/>
      <c r="D85" s="36"/>
      <c r="E85" s="12"/>
      <c r="H85" s="37" t="str">
        <f>IF(SUMPRODUCT(($C$2:$C$266=$H$66)*($F$2:$F$266=16))=0,"",INDEX($A$2:$A$266,SUMPRODUCT(($C$2:$C$266=$H$66)*($F$2:$F$266=16)*(ROW($C$2:$C$266)-ROW($C$2)+1))))</f>
        <v/>
      </c>
      <c r="I85" s="38" t="str">
        <f>IFERROR(IF(SUMPRODUCT(($C$2:$C$266=$H$66)*($F$2:$F$266=16))=0,"",INDEX($D$2:$D$266,SUMPRODUCT(($C$2:$C$266=$H$66)*($F$2:$F$266=16)*(ROW($C$2:$C$266)-ROW($C$2)+1)))),"")</f>
        <v/>
      </c>
      <c r="J85" s="38" t="str">
        <f>IFERROR(IF(SUMPRODUCT(($C$2:$C$266=$H$66)*($F$2:$F$266=16))=0,"",INDEX($E$2:$E$266,SUMPRODUCT(($C$2:$C$266=$H$66)*($F$2:$F$266=16)*(ROW($C$2:$C$266)-ROW($C$2)+1)))),"")</f>
        <v/>
      </c>
      <c r="K85" s="33"/>
    </row>
    <row r="86" spans="1:11" ht="15" customHeight="1" x14ac:dyDescent="0.3">
      <c r="C86" s="18" t="s">
        <v>1</v>
      </c>
      <c r="D86" s="20" t="s">
        <v>15</v>
      </c>
      <c r="E86" s="20" t="s">
        <v>16</v>
      </c>
      <c r="H86" s="34" t="str">
        <f>H8</f>
        <v>Meckenzie Anderson</v>
      </c>
      <c r="I86" s="14"/>
      <c r="J86" s="14"/>
      <c r="K86" s="33"/>
    </row>
    <row r="87" spans="1:11" ht="14.25" customHeight="1" x14ac:dyDescent="0.3">
      <c r="A87" s="21">
        <f t="shared" ref="A87:A93" si="11">$C$77</f>
        <v>46220</v>
      </c>
      <c r="B87" s="21"/>
      <c r="C87" s="22" t="s">
        <v>14</v>
      </c>
      <c r="D87" s="23">
        <v>4.5</v>
      </c>
      <c r="E87" s="24">
        <f t="shared" ref="E87:E93" si="12">D87*$D$84</f>
        <v>52.40838423098279</v>
      </c>
      <c r="F87">
        <f>IF($C87="","",COUNTIF($C$2:$C87,$C87))</f>
        <v>2</v>
      </c>
      <c r="H87" s="35" t="s">
        <v>26</v>
      </c>
      <c r="I87" s="32">
        <f>IFERROR(SUMIF($C$2:$C$266,H86,$D$2:$D$266),0)</f>
        <v>46.609999999999992</v>
      </c>
      <c r="J87" s="14"/>
      <c r="K87" s="33"/>
    </row>
    <row r="88" spans="1:11" ht="14.25" customHeight="1" x14ac:dyDescent="0.3">
      <c r="A88" s="21">
        <f t="shared" si="11"/>
        <v>46220</v>
      </c>
      <c r="B88" s="21"/>
      <c r="C88" s="22" t="s">
        <v>12</v>
      </c>
      <c r="D88" s="23">
        <v>7.51</v>
      </c>
      <c r="E88" s="24">
        <f t="shared" si="12"/>
        <v>87.463770127706837</v>
      </c>
      <c r="F88">
        <f>IF($C88="","",COUNTIF($C$2:$C88,$C88))</f>
        <v>2</v>
      </c>
      <c r="H88" s="35" t="s">
        <v>27</v>
      </c>
      <c r="I88" s="32">
        <f>IFERROR(SUMIF($C$2:$C$266,H86,$E$2:$E$266),0)</f>
        <v>495.28782516412531</v>
      </c>
      <c r="J88" s="14"/>
      <c r="K88" s="33"/>
    </row>
    <row r="89" spans="1:11" ht="14.25" customHeight="1" x14ac:dyDescent="0.3">
      <c r="A89" s="21">
        <f t="shared" si="11"/>
        <v>46220</v>
      </c>
      <c r="B89" s="21"/>
      <c r="C89" s="22" t="s">
        <v>21</v>
      </c>
      <c r="D89" s="23">
        <v>6</v>
      </c>
      <c r="E89" s="24">
        <f t="shared" si="12"/>
        <v>69.877845641310387</v>
      </c>
      <c r="F89">
        <f>IF($C89="","",COUNTIF($C$2:$C89,$C89))</f>
        <v>2</v>
      </c>
      <c r="H89" s="18" t="s">
        <v>28</v>
      </c>
      <c r="I89" s="20" t="s">
        <v>15</v>
      </c>
      <c r="J89" s="20" t="s">
        <v>16</v>
      </c>
      <c r="K89" s="33"/>
    </row>
    <row r="90" spans="1:11" ht="14.25" customHeight="1" x14ac:dyDescent="0.3">
      <c r="A90" s="21">
        <f t="shared" si="11"/>
        <v>46220</v>
      </c>
      <c r="B90" s="21"/>
      <c r="C90" s="22"/>
      <c r="D90" s="23"/>
      <c r="E90" s="24">
        <f t="shared" si="12"/>
        <v>0</v>
      </c>
      <c r="F90" t="str">
        <f>IF($C90="","",COUNTIF($C$2:$C90,$C90))</f>
        <v/>
      </c>
      <c r="H90" s="37">
        <f>IF(SUMPRODUCT(($C$2:$C$266=$H$86)*($F$2:$F$266=1))=0,"No entries yet",INDEX($A$2:$A$266,SUMPRODUCT(($C$2:$C$266=$H$86)*($F$2:$F$266=1)*(ROW($C$2:$C$266)-ROW($C$2)+1))))</f>
        <v>46217</v>
      </c>
      <c r="I90" s="38">
        <f>IFERROR(IF(SUMPRODUCT(($C$2:$C$266=$H$86)*($F$2:$F$266=1))=0,"",INDEX($D$2:$D$266,SUMPRODUCT(($C$2:$C$266=$H$86)*($F$2:$F$266=1)*(ROW($C$2:$C$266)-ROW($C$2)+1)))),"")</f>
        <v>6</v>
      </c>
      <c r="J90" s="38">
        <f>IFERROR(IF(SUMPRODUCT(($C$2:$C$266=$H$86)*($F$2:$F$266=1))=0,"",INDEX($E$2:$E$266,SUMPRODUCT(($C$2:$C$266=$H$86)*($F$2:$F$266=1)*(ROW($C$2:$C$266)-ROW($C$2)+1)))),"")</f>
        <v>39.146186440677972</v>
      </c>
      <c r="K90" s="33"/>
    </row>
    <row r="91" spans="1:11" ht="14.25" customHeight="1" x14ac:dyDescent="0.3">
      <c r="A91" s="21">
        <f t="shared" si="11"/>
        <v>46220</v>
      </c>
      <c r="B91" s="21"/>
      <c r="C91" s="22"/>
      <c r="D91" s="23"/>
      <c r="E91" s="24">
        <f t="shared" si="12"/>
        <v>0</v>
      </c>
      <c r="F91" t="str">
        <f>IF($C91="","",COUNTIF($C$2:$C91,$C91))</f>
        <v/>
      </c>
      <c r="H91" s="37">
        <f>IF(SUMPRODUCT(($C$2:$C$266=$H$86)*($F$2:$F$266=2))=0,"",INDEX($A$2:$A$266,SUMPRODUCT(($C$2:$C$266=$H$86)*($F$2:$F$266=2)*(ROW($C$2:$C$266)-ROW($C$2)+1))))</f>
        <v>46220</v>
      </c>
      <c r="I91" s="38">
        <f>IFERROR(IF(SUMPRODUCT(($C$2:$C$266=$H$86)*($F$2:$F$266=2))=0,"",INDEX($D$2:$D$266,SUMPRODUCT(($C$2:$C$266=$H$86)*($F$2:$F$266=2)*(ROW($C$2:$C$266)-ROW($C$2)+1)))),"")</f>
        <v>7.51</v>
      </c>
      <c r="J91" s="38">
        <f>IFERROR(IF(SUMPRODUCT(($C$2:$C$266=$H$86)*($F$2:$F$266=2))=0,"",INDEX($E$2:$E$266,SUMPRODUCT(($C$2:$C$266=$H$86)*($F$2:$F$266=2)*(ROW($C$2:$C$266)-ROW($C$2)+1)))),"")</f>
        <v>87.463770127706837</v>
      </c>
      <c r="K91" s="33"/>
    </row>
    <row r="92" spans="1:11" ht="14.25" customHeight="1" x14ac:dyDescent="0.3">
      <c r="A92" s="21">
        <f t="shared" si="11"/>
        <v>46220</v>
      </c>
      <c r="B92" s="21"/>
      <c r="C92" s="22"/>
      <c r="D92" s="23"/>
      <c r="E92" s="24">
        <f t="shared" si="12"/>
        <v>0</v>
      </c>
      <c r="F92" t="str">
        <f>IF($C92="","",COUNTIF($C$2:$C92,$C92))</f>
        <v/>
      </c>
      <c r="H92" s="37">
        <f>IF(SUMPRODUCT(($C$2:$C$266=$H$86)*($F$2:$F$266=3))=0,"",INDEX($A$2:$A$266,SUMPRODUCT(($C$2:$C$266=$H$86)*($F$2:$F$266=3)*(ROW($C$2:$C$266)-ROW($C$2)+1))))</f>
        <v>46222</v>
      </c>
      <c r="I92" s="38">
        <f>IFERROR(IF(SUMPRODUCT(($C$2:$C$266=$H$86)*($F$2:$F$266=3))=0,"",INDEX($D$2:$D$266,SUMPRODUCT(($C$2:$C$266=$H$86)*($F$2:$F$266=3)*(ROW($C$2:$C$266)-ROW($C$2)+1)))),"")</f>
        <v>5</v>
      </c>
      <c r="J92" s="38">
        <f>IFERROR(IF(SUMPRODUCT(($C$2:$C$266=$H$86)*($F$2:$F$266=3))=0,"",INDEX($E$2:$E$266,SUMPRODUCT(($C$2:$C$266=$H$86)*($F$2:$F$266=3)*(ROW($C$2:$C$266)-ROW($C$2)+1)))),"")</f>
        <v>50.775939177101968</v>
      </c>
      <c r="K92" s="33"/>
    </row>
    <row r="93" spans="1:11" ht="14.25" customHeight="1" x14ac:dyDescent="0.3">
      <c r="A93" s="21">
        <f t="shared" si="11"/>
        <v>46220</v>
      </c>
      <c r="B93" s="21"/>
      <c r="C93" s="22"/>
      <c r="D93" s="23"/>
      <c r="E93" s="24">
        <f t="shared" si="12"/>
        <v>0</v>
      </c>
      <c r="F93" t="str">
        <f>IF($C93="","",COUNTIF($C$2:$C93,$C93))</f>
        <v/>
      </c>
      <c r="H93" s="37">
        <f>IF(SUMPRODUCT(($C$2:$C$266=$H$86)*($F$2:$F$266=4))=0,"",INDEX($A$2:$A$266,SUMPRODUCT(($C$2:$C$266=$H$86)*($F$2:$F$266=4)*(ROW($C$2:$C$266)-ROW($C$2)+1))))</f>
        <v>46223</v>
      </c>
      <c r="I93" s="38">
        <f>IFERROR(IF(SUMPRODUCT(($C$2:$C$266=$H$86)*($F$2:$F$266=4))=0,"",INDEX($D$2:$D$266,SUMPRODUCT(($C$2:$C$266=$H$86)*($F$2:$F$266=4)*(ROW($C$2:$C$266)-ROW($C$2)+1)))),"")</f>
        <v>4.93</v>
      </c>
      <c r="J93" s="38">
        <f>IFERROR(IF(SUMPRODUCT(($C$2:$C$266=$H$86)*($F$2:$F$266=4))=0,"",INDEX($E$2:$E$266,SUMPRODUCT(($C$2:$C$266=$H$86)*($F$2:$F$266=4)*(ROW($C$2:$C$266)-ROW($C$2)+1)))),"")</f>
        <v>58.627416058394161</v>
      </c>
      <c r="K93" s="33"/>
    </row>
    <row r="94" spans="1:11" ht="15" customHeight="1" x14ac:dyDescent="0.3">
      <c r="C94" s="25" t="s">
        <v>24</v>
      </c>
      <c r="D94" s="26"/>
      <c r="E94" s="27">
        <f>SUM(E87:E93)</f>
        <v>209.75</v>
      </c>
      <c r="H94" s="37">
        <f>IF(SUMPRODUCT(($C$2:$C$266=$H$86)*($F$2:$F$266=5))=0,"",INDEX($A$2:$A$266,SUMPRODUCT(($C$2:$C$266=$H$86)*($F$2:$F$266=5)*(ROW($C$2:$C$266)-ROW($C$2)+1))))</f>
        <v>46225</v>
      </c>
      <c r="I94" s="38">
        <f>IFERROR(IF(SUMPRODUCT(($C$2:$C$266=$H$86)*($F$2:$F$266=5))=0,"",INDEX($D$2:$D$266,SUMPRODUCT(($C$2:$C$266=$H$86)*($F$2:$F$266=5)*(ROW($C$2:$C$266)-ROW($C$2)+1)))),"")</f>
        <v>6</v>
      </c>
      <c r="J94" s="38">
        <f>IFERROR(IF(SUMPRODUCT(($C$2:$C$266=$H$86)*($F$2:$F$266=5))=0,"",INDEX($E$2:$E$266,SUMPRODUCT(($C$2:$C$266=$H$86)*($F$2:$F$266=5)*(ROW($C$2:$C$266)-ROW($C$2)+1)))),"")</f>
        <v>73.587533156498665</v>
      </c>
      <c r="K94" s="33"/>
    </row>
    <row r="95" spans="1:11" ht="15" customHeight="1" x14ac:dyDescent="0.3">
      <c r="H95" s="37">
        <f>IF(SUMPRODUCT(($C$2:$C$266=$H$86)*($F$2:$F$266=6))=0,"",INDEX($A$2:$A$266,SUMPRODUCT(($C$2:$C$266=$H$86)*($F$2:$F$266=6)*(ROW($C$2:$C$266)-ROW($C$2)+1))))</f>
        <v>46226</v>
      </c>
      <c r="I95" s="38">
        <f>IFERROR(IF(SUMPRODUCT(($C$2:$C$266=$H$86)*($F$2:$F$266=6))=0,"",INDEX($D$2:$D$266,SUMPRODUCT(($C$2:$C$266=$H$86)*($F$2:$F$266=6)*(ROW($C$2:$C$266)-ROW($C$2)+1)))),"")</f>
        <v>6.08</v>
      </c>
      <c r="J95" s="38">
        <f>IFERROR(IF(SUMPRODUCT(($C$2:$C$266=$H$86)*($F$2:$F$266=6))=0,"",INDEX($E$2:$E$266,SUMPRODUCT(($C$2:$C$266=$H$86)*($F$2:$F$266=6)*(ROW($C$2:$C$266)-ROW($C$2)+1)))),"")</f>
        <v>63.875905511811027</v>
      </c>
      <c r="K95" s="33"/>
    </row>
    <row r="96" spans="1:11" ht="15" customHeight="1" x14ac:dyDescent="0.3">
      <c r="C96" s="4">
        <v>46221</v>
      </c>
      <c r="D96" s="4"/>
      <c r="E96" s="4"/>
      <c r="H96" s="37">
        <f>IF(SUMPRODUCT(($C$2:$C$266=$H$86)*($F$2:$F$266=7))=0,"",INDEX($A$2:$A$266,SUMPRODUCT(($C$2:$C$266=$H$86)*($F$2:$F$266=7)*(ROW($C$2:$C$266)-ROW($C$2)+1))))</f>
        <v>46227</v>
      </c>
      <c r="I96" s="38">
        <f>IFERROR(IF(SUMPRODUCT(($C$2:$C$266=$H$86)*($F$2:$F$266=7))=0,"",INDEX($D$2:$D$266,SUMPRODUCT(($C$2:$C$266=$H$86)*($F$2:$F$266=7)*(ROW($C$2:$C$266)-ROW($C$2)+1)))),"")</f>
        <v>6.08</v>
      </c>
      <c r="J96" s="38">
        <f>IFERROR(IF(SUMPRODUCT(($C$2:$C$266=$H$86)*($F$2:$F$266=7))=0,"",INDEX($E$2:$E$266,SUMPRODUCT(($C$2:$C$266=$H$86)*($F$2:$F$266=7)*(ROW($C$2:$C$266)-ROW($C$2)+1)))),"")</f>
        <v>76.738057742782146</v>
      </c>
      <c r="K96" s="33"/>
    </row>
    <row r="97" spans="1:11" ht="15" customHeight="1" x14ac:dyDescent="0.3">
      <c r="C97" s="28"/>
      <c r="E97" s="29"/>
      <c r="H97" s="37">
        <f>IF(SUMPRODUCT(($C$2:$C$266=$H$86)*($F$2:$F$266=8))=0,"",INDEX($A$2:$A$266,SUMPRODUCT(($C$2:$C$266=$H$86)*($F$2:$F$266=8)*(ROW($C$2:$C$266)-ROW($C$2)+1))))</f>
        <v>46229</v>
      </c>
      <c r="I97" s="38">
        <f>IFERROR(IF(SUMPRODUCT(($C$2:$C$266=$H$86)*($F$2:$F$266=8))=0,"",INDEX($D$2:$D$266,SUMPRODUCT(($C$2:$C$266=$H$86)*($F$2:$F$266=8)*(ROW($C$2:$C$266)-ROW($C$2)+1)))),"")</f>
        <v>5.01</v>
      </c>
      <c r="J97" s="38">
        <f>IFERROR(IF(SUMPRODUCT(($C$2:$C$266=$H$86)*($F$2:$F$266=8))=0,"",INDEX($E$2:$E$266,SUMPRODUCT(($C$2:$C$266=$H$86)*($F$2:$F$266=8)*(ROW($C$2:$C$266)-ROW($C$2)+1)))),"")</f>
        <v>45.073016949152546</v>
      </c>
      <c r="K97" s="33"/>
    </row>
    <row r="98" spans="1:11" ht="14.25" customHeight="1" x14ac:dyDescent="0.3">
      <c r="C98" s="10" t="s">
        <v>5</v>
      </c>
      <c r="D98" s="11">
        <v>272.08</v>
      </c>
      <c r="E98" s="12"/>
      <c r="H98" s="37" t="str">
        <f>IF(SUMPRODUCT(($C$2:$C$266=$H$86)*($F$2:$F$266=9))=0,"",INDEX($A$2:$A$266,SUMPRODUCT(($C$2:$C$266=$H$86)*($F$2:$F$266=9)*(ROW($C$2:$C$266)-ROW($C$2)+1))))</f>
        <v/>
      </c>
      <c r="I98" s="38" t="str">
        <f>IFERROR(IF(SUMPRODUCT(($C$2:$C$266=$H$86)*($F$2:$F$266=9))=0,"",INDEX($D$2:$D$266,SUMPRODUCT(($C$2:$C$266=$H$86)*($F$2:$F$266=9)*(ROW($C$2:$C$266)-ROW($C$2)+1)))),"")</f>
        <v/>
      </c>
      <c r="J98" s="38" t="str">
        <f>IFERROR(IF(SUMPRODUCT(($C$2:$C$266=$H$86)*($F$2:$F$266=9))=0,"",INDEX($E$2:$E$266,SUMPRODUCT(($C$2:$C$266=$H$86)*($F$2:$F$266=9)*(ROW($C$2:$C$266)-ROW($C$2)+1)))),"")</f>
        <v/>
      </c>
      <c r="K98" s="33"/>
    </row>
    <row r="99" spans="1:11" ht="14.25" customHeight="1" x14ac:dyDescent="0.3">
      <c r="C99" s="10" t="s">
        <v>7</v>
      </c>
      <c r="D99" s="15"/>
      <c r="E99" s="16"/>
      <c r="H99" s="37" t="str">
        <f>IF(SUMPRODUCT(($C$2:$C$266=$H$86)*($F$2:$F$266=10))=0,"",INDEX($A$2:$A$266,SUMPRODUCT(($C$2:$C$266=$H$86)*($F$2:$F$266=10)*(ROW($C$2:$C$266)-ROW($C$2)+1))))</f>
        <v/>
      </c>
      <c r="I99" s="38" t="str">
        <f>IFERROR(IF(SUMPRODUCT(($C$2:$C$266=$H$86)*($F$2:$F$266=10))=0,"",INDEX($D$2:$D$266,SUMPRODUCT(($C$2:$C$266=$H$86)*($F$2:$F$266=10)*(ROW($C$2:$C$266)-ROW($C$2)+1)))),"")</f>
        <v/>
      </c>
      <c r="J99" s="38" t="str">
        <f>IFERROR(IF(SUMPRODUCT(($C$2:$C$266=$H$86)*($F$2:$F$266=10))=0,"",INDEX($E$2:$E$266,SUMPRODUCT(($C$2:$C$266=$H$86)*($F$2:$F$266=10)*(ROW($C$2:$C$266)-ROW($C$2)+1)))),"")</f>
        <v/>
      </c>
      <c r="K99" s="33"/>
    </row>
    <row r="100" spans="1:11" ht="14.25" customHeight="1" x14ac:dyDescent="0.3">
      <c r="C100" s="10" t="s">
        <v>9</v>
      </c>
      <c r="D100" s="10"/>
      <c r="E100" s="12"/>
      <c r="H100" s="37" t="str">
        <f>IF(SUMPRODUCT(($C$2:$C$266=$H$86)*($F$2:$F$266=11))=0,"",INDEX($A$2:$A$266,SUMPRODUCT(($C$2:$C$266=$H$86)*($F$2:$F$266=11)*(ROW($C$2:$C$266)-ROW($C$2)+1))))</f>
        <v/>
      </c>
      <c r="I100" s="38" t="str">
        <f>IFERROR(IF(SUMPRODUCT(($C$2:$C$266=$H$86)*($F$2:$F$266=11))=0,"",INDEX($D$2:$D$266,SUMPRODUCT(($C$2:$C$266=$H$86)*($F$2:$F$266=11)*(ROW($C$2:$C$266)-ROW($C$2)+1)))),"")</f>
        <v/>
      </c>
      <c r="J100" s="38" t="str">
        <f>IFERROR(IF(SUMPRODUCT(($C$2:$C$266=$H$86)*($F$2:$F$266=11))=0,"",INDEX($E$2:$E$266,SUMPRODUCT(($C$2:$C$266=$H$86)*($F$2:$F$266=11)*(ROW($C$2:$C$266)-ROW($C$2)+1)))),"")</f>
        <v/>
      </c>
      <c r="K100" s="33"/>
    </row>
    <row r="101" spans="1:11" ht="14.25" customHeight="1" x14ac:dyDescent="0.3">
      <c r="C101" s="10" t="s">
        <v>2</v>
      </c>
      <c r="D101" s="17">
        <f>SUM(D98:D100)</f>
        <v>272.08</v>
      </c>
      <c r="E101" s="12"/>
      <c r="H101" s="37" t="str">
        <f>IF(SUMPRODUCT(($C$2:$C$266=$H$86)*($F$2:$F$266=12))=0,"",INDEX($A$2:$A$266,SUMPRODUCT(($C$2:$C$266=$H$86)*($F$2:$F$266=12)*(ROW($C$2:$C$266)-ROW($C$2)+1))))</f>
        <v/>
      </c>
      <c r="I101" s="38" t="str">
        <f>IFERROR(IF(SUMPRODUCT(($C$2:$C$266=$H$86)*($F$2:$F$266=12))=0,"",INDEX($D$2:$D$266,SUMPRODUCT(($C$2:$C$266=$H$86)*($F$2:$F$266=12)*(ROW($C$2:$C$266)-ROW($C$2)+1)))),"")</f>
        <v/>
      </c>
      <c r="J101" s="38" t="str">
        <f>IFERROR(IF(SUMPRODUCT(($C$2:$C$266=$H$86)*($F$2:$F$266=12))=0,"",INDEX($E$2:$E$266,SUMPRODUCT(($C$2:$C$266=$H$86)*($F$2:$F$266=12)*(ROW($C$2:$C$266)-ROW($C$2)+1)))),"")</f>
        <v/>
      </c>
      <c r="K101" s="33"/>
    </row>
    <row r="102" spans="1:11" ht="14.25" customHeight="1" x14ac:dyDescent="0.3">
      <c r="C102" s="10" t="s">
        <v>3</v>
      </c>
      <c r="D102" s="10">
        <f>SUM(D106:D112)</f>
        <v>18.86</v>
      </c>
      <c r="E102" s="12"/>
      <c r="H102" s="37" t="str">
        <f>IF(SUMPRODUCT(($C$2:$C$266=$H$86)*($F$2:$F$266=13))=0,"",INDEX($A$2:$A$266,SUMPRODUCT(($C$2:$C$266=$H$86)*($F$2:$F$266=13)*(ROW($C$2:$C$266)-ROW($C$2)+1))))</f>
        <v/>
      </c>
      <c r="I102" s="38" t="str">
        <f>IFERROR(IF(SUMPRODUCT(($C$2:$C$266=$H$86)*($F$2:$F$266=13))=0,"",INDEX($D$2:$D$266,SUMPRODUCT(($C$2:$C$266=$H$86)*($F$2:$F$266=13)*(ROW($C$2:$C$266)-ROW($C$2)+1)))),"")</f>
        <v/>
      </c>
      <c r="J102" s="38" t="str">
        <f>IFERROR(IF(SUMPRODUCT(($C$2:$C$266=$H$86)*($F$2:$F$266=13))=0,"",INDEX($E$2:$E$266,SUMPRODUCT(($C$2:$C$266=$H$86)*($F$2:$F$266=13)*(ROW($C$2:$C$266)-ROW($C$2)+1)))),"")</f>
        <v/>
      </c>
      <c r="K102" s="33"/>
    </row>
    <row r="103" spans="1:11" ht="14.25" customHeight="1" x14ac:dyDescent="0.3">
      <c r="C103" s="10" t="s">
        <v>13</v>
      </c>
      <c r="D103" s="17">
        <f>D101/D102</f>
        <v>14.426299045599151</v>
      </c>
      <c r="E103" s="12"/>
      <c r="H103" s="37" t="str">
        <f>IF(SUMPRODUCT(($C$2:$C$266=$H$86)*($F$2:$F$266=14))=0,"",INDEX($A$2:$A$266,SUMPRODUCT(($C$2:$C$266=$H$86)*($F$2:$F$266=14)*(ROW($C$2:$C$266)-ROW($C$2)+1))))</f>
        <v/>
      </c>
      <c r="I103" s="38" t="str">
        <f>IFERROR(IF(SUMPRODUCT(($C$2:$C$266=$H$86)*($F$2:$F$266=14))=0,"",INDEX($D$2:$D$266,SUMPRODUCT(($C$2:$C$266=$H$86)*($F$2:$F$266=14)*(ROW($C$2:$C$266)-ROW($C$2)+1)))),"")</f>
        <v/>
      </c>
      <c r="J103" s="38" t="str">
        <f>IFERROR(IF(SUMPRODUCT(($C$2:$C$266=$H$86)*($F$2:$F$266=14))=0,"",INDEX($E$2:$E$266,SUMPRODUCT(($C$2:$C$266=$H$86)*($F$2:$F$266=14)*(ROW($C$2:$C$266)-ROW($C$2)+1)))),"")</f>
        <v/>
      </c>
      <c r="K103" s="33"/>
    </row>
    <row r="104" spans="1:11" ht="14.25" customHeight="1" x14ac:dyDescent="0.3">
      <c r="C104" s="12"/>
      <c r="D104" s="36"/>
      <c r="E104" s="12"/>
      <c r="H104" s="37" t="str">
        <f>IF(SUMPRODUCT(($C$2:$C$266=$H$86)*($F$2:$F$266=15))=0,"",INDEX($A$2:$A$266,SUMPRODUCT(($C$2:$C$266=$H$86)*($F$2:$F$266=15)*(ROW($C$2:$C$266)-ROW($C$2)+1))))</f>
        <v/>
      </c>
      <c r="I104" s="38" t="str">
        <f>IFERROR(IF(SUMPRODUCT(($C$2:$C$266=$H$86)*($F$2:$F$266=15))=0,"",INDEX($D$2:$D$266,SUMPRODUCT(($C$2:$C$266=$H$86)*($F$2:$F$266=15)*(ROW($C$2:$C$266)-ROW($C$2)+1)))),"")</f>
        <v/>
      </c>
      <c r="J104" s="38" t="str">
        <f>IFERROR(IF(SUMPRODUCT(($C$2:$C$266=$H$86)*($F$2:$F$266=15))=0,"",INDEX($E$2:$E$266,SUMPRODUCT(($C$2:$C$266=$H$86)*($F$2:$F$266=15)*(ROW($C$2:$C$266)-ROW($C$2)+1)))),"")</f>
        <v/>
      </c>
      <c r="K104" s="33"/>
    </row>
    <row r="105" spans="1:11" ht="15" customHeight="1" x14ac:dyDescent="0.3">
      <c r="C105" s="18" t="s">
        <v>1</v>
      </c>
      <c r="D105" s="20" t="s">
        <v>15</v>
      </c>
      <c r="E105" s="20" t="s">
        <v>16</v>
      </c>
      <c r="H105" s="37" t="str">
        <f>IF(SUMPRODUCT(($C$2:$C$266=$H$86)*($F$2:$F$266=16))=0,"",INDEX($A$2:$A$266,SUMPRODUCT(($C$2:$C$266=$H$86)*($F$2:$F$266=16)*(ROW($C$2:$C$266)-ROW($C$2)+1))))</f>
        <v/>
      </c>
      <c r="I105" s="38" t="str">
        <f>IFERROR(IF(SUMPRODUCT(($C$2:$C$266=$H$86)*($F$2:$F$266=16))=0,"",INDEX($D$2:$D$266,SUMPRODUCT(($C$2:$C$266=$H$86)*($F$2:$F$266=16)*(ROW($C$2:$C$266)-ROW($C$2)+1)))),"")</f>
        <v/>
      </c>
      <c r="J105" s="38" t="str">
        <f>IFERROR(IF(SUMPRODUCT(($C$2:$C$266=$H$86)*($F$2:$F$266=16))=0,"",INDEX($E$2:$E$266,SUMPRODUCT(($C$2:$C$266=$H$86)*($F$2:$F$266=16)*(ROW($C$2:$C$266)-ROW($C$2)+1)))),"")</f>
        <v/>
      </c>
      <c r="K105" s="33"/>
    </row>
    <row r="106" spans="1:11" ht="14.25" customHeight="1" x14ac:dyDescent="0.3">
      <c r="A106" s="21">
        <f t="shared" ref="A106:A112" si="13">$C$96</f>
        <v>46221</v>
      </c>
      <c r="B106" s="21"/>
      <c r="C106" s="22" t="s">
        <v>14</v>
      </c>
      <c r="D106" s="23">
        <v>5.37</v>
      </c>
      <c r="E106" s="24">
        <f t="shared" ref="E106:E112" si="14">D106*$D$103</f>
        <v>77.469225874867448</v>
      </c>
      <c r="F106">
        <f>IF($C106="","",COUNTIF($C$2:$C106,$C106))</f>
        <v>3</v>
      </c>
      <c r="H106" s="34" t="str">
        <f>H9</f>
        <v>Mia badillo</v>
      </c>
      <c r="I106" s="14"/>
      <c r="J106" s="14"/>
      <c r="K106" s="33"/>
    </row>
    <row r="107" spans="1:11" ht="14.25" customHeight="1" x14ac:dyDescent="0.3">
      <c r="A107" s="21">
        <f t="shared" si="13"/>
        <v>46221</v>
      </c>
      <c r="B107" s="21"/>
      <c r="C107" s="22" t="s">
        <v>18</v>
      </c>
      <c r="D107" s="23">
        <v>7.49</v>
      </c>
      <c r="E107" s="24">
        <f t="shared" si="14"/>
        <v>108.05297985153764</v>
      </c>
      <c r="F107">
        <f>IF($C107="","",COUNTIF($C$2:$C107,$C107))</f>
        <v>3</v>
      </c>
      <c r="H107" s="35" t="s">
        <v>26</v>
      </c>
      <c r="I107" s="32">
        <f>IFERROR(SUMIF($C$2:$C$266,H106,$D$2:$D$266),0)</f>
        <v>36.319999999999993</v>
      </c>
      <c r="J107" s="14"/>
      <c r="K107" s="33"/>
    </row>
    <row r="108" spans="1:11" ht="14.25" customHeight="1" x14ac:dyDescent="0.3">
      <c r="A108" s="21">
        <f t="shared" si="13"/>
        <v>46221</v>
      </c>
      <c r="B108" s="21"/>
      <c r="C108" s="22" t="s">
        <v>21</v>
      </c>
      <c r="D108" s="23">
        <v>6</v>
      </c>
      <c r="E108" s="24">
        <f t="shared" si="14"/>
        <v>86.557794273594908</v>
      </c>
      <c r="F108">
        <f>IF($C108="","",COUNTIF($C$2:$C108,$C108))</f>
        <v>3</v>
      </c>
      <c r="H108" s="35" t="s">
        <v>27</v>
      </c>
      <c r="I108" s="32">
        <f>IFERROR(SUMIF($C$2:$C$266,H106,$E$2:$E$266),0)</f>
        <v>476.93326979708223</v>
      </c>
      <c r="J108" s="14"/>
      <c r="K108" s="33"/>
    </row>
    <row r="109" spans="1:11" ht="14.25" customHeight="1" x14ac:dyDescent="0.3">
      <c r="A109" s="21">
        <f t="shared" si="13"/>
        <v>46221</v>
      </c>
      <c r="B109" s="21"/>
      <c r="C109" s="22"/>
      <c r="D109" s="23"/>
      <c r="E109" s="24">
        <f t="shared" si="14"/>
        <v>0</v>
      </c>
      <c r="F109" t="str">
        <f>IF($C109="","",COUNTIF($C$2:$C109,$C109))</f>
        <v/>
      </c>
      <c r="H109" s="18" t="s">
        <v>28</v>
      </c>
      <c r="I109" s="20" t="s">
        <v>15</v>
      </c>
      <c r="J109" s="20" t="s">
        <v>16</v>
      </c>
      <c r="K109" s="33"/>
    </row>
    <row r="110" spans="1:11" ht="14.25" customHeight="1" x14ac:dyDescent="0.3">
      <c r="A110" s="21">
        <f t="shared" si="13"/>
        <v>46221</v>
      </c>
      <c r="B110" s="21"/>
      <c r="C110" s="22"/>
      <c r="D110" s="23"/>
      <c r="E110" s="24">
        <f t="shared" si="14"/>
        <v>0</v>
      </c>
      <c r="F110" t="str">
        <f>IF($C110="","",COUNTIF($C$2:$C110,$C110))</f>
        <v/>
      </c>
      <c r="H110" s="37">
        <f>IF(SUMPRODUCT(($C$2:$C$266=$H$106)*($F$2:$F$266=1))=0,"No entries yet",INDEX($A$2:$A$266,SUMPRODUCT(($C$2:$C$266=$H$106)*($F$2:$F$266=1)*(ROW($C$2:$C$266)-ROW($C$2)+1))))</f>
        <v>46216</v>
      </c>
      <c r="I110" s="38">
        <f>IFERROR(IF(SUMPRODUCT(($C$2:$C$266=$H$106)*($F$2:$F$266=1))=0,"",INDEX($D$2:$D$266,SUMPRODUCT(($C$2:$C$266=$H$106)*($F$2:$F$266=1)*(ROW($C$2:$C$266)-ROW($C$2)+1)))),"")</f>
        <v>7.38</v>
      </c>
      <c r="J110" s="38">
        <f>IFERROR(IF(SUMPRODUCT(($C$2:$C$266=$H$106)*($F$2:$F$266=1))=0,"",INDEX($E$2:$E$266,SUMPRODUCT(($C$2:$C$266=$H$106)*($F$2:$F$266=1)*(ROW($C$2:$C$266)-ROW($C$2)+1)))),"")</f>
        <v>83.799841521394612</v>
      </c>
      <c r="K110" s="33"/>
    </row>
    <row r="111" spans="1:11" ht="14.25" customHeight="1" x14ac:dyDescent="0.3">
      <c r="A111" s="21">
        <f t="shared" si="13"/>
        <v>46221</v>
      </c>
      <c r="B111" s="21"/>
      <c r="C111" s="22"/>
      <c r="D111" s="23"/>
      <c r="E111" s="24">
        <f t="shared" si="14"/>
        <v>0</v>
      </c>
      <c r="F111" t="str">
        <f>IF($C111="","",COUNTIF($C$2:$C111,$C111))</f>
        <v/>
      </c>
      <c r="H111" s="37">
        <f>IF(SUMPRODUCT(($C$2:$C$266=$H$106)*($F$2:$F$266=2))=0,"",INDEX($A$2:$A$266,SUMPRODUCT(($C$2:$C$266=$H$106)*($F$2:$F$266=2)*(ROW($C$2:$C$266)-ROW($C$2)+1))))</f>
        <v>46220</v>
      </c>
      <c r="I111" s="38">
        <f>IFERROR(IF(SUMPRODUCT(($C$2:$C$266=$H$106)*($F$2:$F$266=2))=0,"",INDEX($D$2:$D$266,SUMPRODUCT(($C$2:$C$266=$H$106)*($F$2:$F$266=2)*(ROW($C$2:$C$266)-ROW($C$2)+1)))),"")</f>
        <v>4.5</v>
      </c>
      <c r="J111" s="38">
        <f>IFERROR(IF(SUMPRODUCT(($C$2:$C$266=$H$106)*($F$2:$F$266=2))=0,"",INDEX($E$2:$E$266,SUMPRODUCT(($C$2:$C$266=$H$106)*($F$2:$F$266=2)*(ROW($C$2:$C$266)-ROW($C$2)+1)))),"")</f>
        <v>52.40838423098279</v>
      </c>
      <c r="K111" s="33"/>
    </row>
    <row r="112" spans="1:11" ht="14.25" customHeight="1" x14ac:dyDescent="0.3">
      <c r="A112" s="21">
        <f t="shared" si="13"/>
        <v>46221</v>
      </c>
      <c r="B112" s="21"/>
      <c r="C112" s="22"/>
      <c r="D112" s="23"/>
      <c r="E112" s="24">
        <f t="shared" si="14"/>
        <v>0</v>
      </c>
      <c r="F112" t="str">
        <f>IF($C112="","",COUNTIF($C$2:$C112,$C112))</f>
        <v/>
      </c>
      <c r="H112" s="37">
        <f>IF(SUMPRODUCT(($C$2:$C$266=$H$106)*($F$2:$F$266=3))=0,"",INDEX($A$2:$A$266,SUMPRODUCT(($C$2:$C$266=$H$106)*($F$2:$F$266=3)*(ROW($C$2:$C$266)-ROW($C$2)+1))))</f>
        <v>46221</v>
      </c>
      <c r="I112" s="38">
        <f>IFERROR(IF(SUMPRODUCT(($C$2:$C$266=$H$106)*($F$2:$F$266=3))=0,"",INDEX($D$2:$D$266,SUMPRODUCT(($C$2:$C$266=$H$106)*($F$2:$F$266=3)*(ROW($C$2:$C$266)-ROW($C$2)+1)))),"")</f>
        <v>5.37</v>
      </c>
      <c r="J112" s="38">
        <f>IFERROR(IF(SUMPRODUCT(($C$2:$C$266=$H$106)*($F$2:$F$266=3))=0,"",INDEX($E$2:$E$266,SUMPRODUCT(($C$2:$C$266=$H$106)*($F$2:$F$266=3)*(ROW($C$2:$C$266)-ROW($C$2)+1)))),"")</f>
        <v>77.469225874867448</v>
      </c>
      <c r="K112" s="33"/>
    </row>
    <row r="113" spans="1:11" ht="15" customHeight="1" x14ac:dyDescent="0.3">
      <c r="C113" s="25" t="s">
        <v>24</v>
      </c>
      <c r="D113" s="26"/>
      <c r="E113" s="27">
        <f>SUM(E106:E112)</f>
        <v>272.08000000000004</v>
      </c>
      <c r="H113" s="37">
        <f>IF(SUMPRODUCT(($C$2:$C$266=$H$106)*($F$2:$F$266=4))=0,"",INDEX($A$2:$A$266,SUMPRODUCT(($C$2:$C$266=$H$106)*($F$2:$F$266=4)*(ROW($C$2:$C$266)-ROW($C$2)+1))))</f>
        <v>46224</v>
      </c>
      <c r="I113" s="38">
        <f>IFERROR(IF(SUMPRODUCT(($C$2:$C$266=$H$106)*($F$2:$F$266=4))=0,"",INDEX($D$2:$D$266,SUMPRODUCT(($C$2:$C$266=$H$106)*($F$2:$F$266=4)*(ROW($C$2:$C$266)-ROW($C$2)+1)))),"")</f>
        <v>4.01</v>
      </c>
      <c r="J113" s="38">
        <f>IFERROR(IF(SUMPRODUCT(($C$2:$C$266=$H$106)*($F$2:$F$266=4))=0,"",INDEX($E$2:$E$266,SUMPRODUCT(($C$2:$C$266=$H$106)*($F$2:$F$266=4)*(ROW($C$2:$C$266)-ROW($C$2)+1)))),"")</f>
        <v>76.013736263736263</v>
      </c>
      <c r="K113" s="33"/>
    </row>
    <row r="114" spans="1:11" ht="15" customHeight="1" x14ac:dyDescent="0.3">
      <c r="H114" s="37">
        <f>IF(SUMPRODUCT(($C$2:$C$266=$H$106)*($F$2:$F$266=5))=0,"",INDEX($A$2:$A$266,SUMPRODUCT(($C$2:$C$266=$H$106)*($F$2:$F$266=5)*(ROW($C$2:$C$266)-ROW($C$2)+1))))</f>
        <v>46225</v>
      </c>
      <c r="I114" s="38">
        <f>IFERROR(IF(SUMPRODUCT(($C$2:$C$266=$H$106)*($F$2:$F$266=5))=0,"",INDEX($D$2:$D$266,SUMPRODUCT(($C$2:$C$266=$H$106)*($F$2:$F$266=5)*(ROW($C$2:$C$266)-ROW($C$2)+1)))),"")</f>
        <v>4.08</v>
      </c>
      <c r="J114" s="38">
        <f>IFERROR(IF(SUMPRODUCT(($C$2:$C$266=$H$106)*($F$2:$F$266=5))=0,"",INDEX($E$2:$E$266,SUMPRODUCT(($C$2:$C$266=$H$106)*($F$2:$F$266=5)*(ROW($C$2:$C$266)-ROW($C$2)+1)))),"")</f>
        <v>50.0395225464191</v>
      </c>
      <c r="K114" s="33"/>
    </row>
    <row r="115" spans="1:11" ht="15" customHeight="1" x14ac:dyDescent="0.3">
      <c r="C115" s="4">
        <v>46222</v>
      </c>
      <c r="D115" s="4"/>
      <c r="E115" s="4"/>
      <c r="H115" s="37">
        <f>IF(SUMPRODUCT(($C$2:$C$266=$H$106)*($F$2:$F$266=6))=0,"",INDEX($A$2:$A$266,SUMPRODUCT(($C$2:$C$266=$H$106)*($F$2:$F$266=6)*(ROW($C$2:$C$266)-ROW($C$2)+1))))</f>
        <v>46228</v>
      </c>
      <c r="I115" s="38">
        <f>IFERROR(IF(SUMPRODUCT(($C$2:$C$266=$H$106)*($F$2:$F$266=6))=0,"",INDEX($D$2:$D$266,SUMPRODUCT(($C$2:$C$266=$H$106)*($F$2:$F$266=6)*(ROW($C$2:$C$266)-ROW($C$2)+1)))),"")</f>
        <v>5.51</v>
      </c>
      <c r="J115" s="38">
        <f>IFERROR(IF(SUMPRODUCT(($C$2:$C$266=$H$106)*($F$2:$F$266=6))=0,"",INDEX($E$2:$E$266,SUMPRODUCT(($C$2:$C$266=$H$106)*($F$2:$F$266=6)*(ROW($C$2:$C$266)-ROW($C$2)+1)))),"")</f>
        <v>87.991101732563322</v>
      </c>
      <c r="K115" s="33"/>
    </row>
    <row r="116" spans="1:11" ht="15" customHeight="1" x14ac:dyDescent="0.3">
      <c r="C116" s="28"/>
      <c r="E116" s="29"/>
      <c r="H116" s="37">
        <f>IF(SUMPRODUCT(($C$2:$C$266=$H$106)*($F$2:$F$266=7))=0,"",INDEX($A$2:$A$266,SUMPRODUCT(($C$2:$C$266=$H$106)*($F$2:$F$266=7)*(ROW($C$2:$C$266)-ROW($C$2)+1))))</f>
        <v>46229</v>
      </c>
      <c r="I116" s="38">
        <f>IFERROR(IF(SUMPRODUCT(($C$2:$C$266=$H$106)*($F$2:$F$266=7))=0,"",INDEX($D$2:$D$266,SUMPRODUCT(($C$2:$C$266=$H$106)*($F$2:$F$266=7)*(ROW($C$2:$C$266)-ROW($C$2)+1)))),"")</f>
        <v>5.47</v>
      </c>
      <c r="J116" s="38">
        <f>IFERROR(IF(SUMPRODUCT(($C$2:$C$266=$H$106)*($F$2:$F$266=7))=0,"",INDEX($E$2:$E$266,SUMPRODUCT(($C$2:$C$266=$H$106)*($F$2:$F$266=7)*(ROW($C$2:$C$266)-ROW($C$2)+1)))),"")</f>
        <v>49.211457627118648</v>
      </c>
      <c r="K116" s="33"/>
    </row>
    <row r="117" spans="1:11" ht="14.25" customHeight="1" x14ac:dyDescent="0.3">
      <c r="C117" s="10" t="s">
        <v>5</v>
      </c>
      <c r="D117" s="11">
        <v>227.07</v>
      </c>
      <c r="E117" s="12"/>
      <c r="H117" s="37" t="str">
        <f>IF(SUMPRODUCT(($C$2:$C$266=$H$106)*($F$2:$F$266=8))=0,"",INDEX($A$2:$A$266,SUMPRODUCT(($C$2:$C$266=$H$106)*($F$2:$F$266=8)*(ROW($C$2:$C$266)-ROW($C$2)+1))))</f>
        <v/>
      </c>
      <c r="I117" s="38" t="str">
        <f>IFERROR(IF(SUMPRODUCT(($C$2:$C$266=$H$106)*($F$2:$F$266=8))=0,"",INDEX($D$2:$D$266,SUMPRODUCT(($C$2:$C$266=$H$106)*($F$2:$F$266=8)*(ROW($C$2:$C$266)-ROW($C$2)+1)))),"")</f>
        <v/>
      </c>
      <c r="J117" s="38" t="str">
        <f>IFERROR(IF(SUMPRODUCT(($C$2:$C$266=$H$106)*($F$2:$F$266=8))=0,"",INDEX($E$2:$E$266,SUMPRODUCT(($C$2:$C$266=$H$106)*($F$2:$F$266=8)*(ROW($C$2:$C$266)-ROW($C$2)+1)))),"")</f>
        <v/>
      </c>
      <c r="K117" s="33"/>
    </row>
    <row r="118" spans="1:11" ht="14.25" customHeight="1" x14ac:dyDescent="0.3">
      <c r="C118" s="10" t="s">
        <v>7</v>
      </c>
      <c r="D118" s="15"/>
      <c r="E118" s="16"/>
      <c r="H118" s="37" t="str">
        <f>IF(SUMPRODUCT(($C$2:$C$266=$H$106)*($F$2:$F$266=9))=0,"",INDEX($A$2:$A$266,SUMPRODUCT(($C$2:$C$266=$H$106)*($F$2:$F$266=9)*(ROW($C$2:$C$266)-ROW($C$2)+1))))</f>
        <v/>
      </c>
      <c r="I118" s="38" t="str">
        <f>IFERROR(IF(SUMPRODUCT(($C$2:$C$266=$H$106)*($F$2:$F$266=9))=0,"",INDEX($D$2:$D$266,SUMPRODUCT(($C$2:$C$266=$H$106)*($F$2:$F$266=9)*(ROW($C$2:$C$266)-ROW($C$2)+1)))),"")</f>
        <v/>
      </c>
      <c r="J118" s="38" t="str">
        <f>IFERROR(IF(SUMPRODUCT(($C$2:$C$266=$H$106)*($F$2:$F$266=9))=0,"",INDEX($E$2:$E$266,SUMPRODUCT(($C$2:$C$266=$H$106)*($F$2:$F$266=9)*(ROW($C$2:$C$266)-ROW($C$2)+1)))),"")</f>
        <v/>
      </c>
      <c r="K118" s="33"/>
    </row>
    <row r="119" spans="1:11" ht="14.25" customHeight="1" x14ac:dyDescent="0.3">
      <c r="C119" s="10" t="s">
        <v>9</v>
      </c>
      <c r="D119" s="10"/>
      <c r="E119" s="12"/>
      <c r="H119" s="37" t="str">
        <f>IF(SUMPRODUCT(($C$2:$C$266=$H$106)*($F$2:$F$266=10))=0,"",INDEX($A$2:$A$266,SUMPRODUCT(($C$2:$C$266=$H$106)*($F$2:$F$266=10)*(ROW($C$2:$C$266)-ROW($C$2)+1))))</f>
        <v/>
      </c>
      <c r="I119" s="38" t="str">
        <f>IFERROR(IF(SUMPRODUCT(($C$2:$C$266=$H$106)*($F$2:$F$266=10))=0,"",INDEX($D$2:$D$266,SUMPRODUCT(($C$2:$C$266=$H$106)*($F$2:$F$266=10)*(ROW($C$2:$C$266)-ROW($C$2)+1)))),"")</f>
        <v/>
      </c>
      <c r="J119" s="38" t="str">
        <f>IFERROR(IF(SUMPRODUCT(($C$2:$C$266=$H$106)*($F$2:$F$266=10))=0,"",INDEX($E$2:$E$266,SUMPRODUCT(($C$2:$C$266=$H$106)*($F$2:$F$266=10)*(ROW($C$2:$C$266)-ROW($C$2)+1)))),"")</f>
        <v/>
      </c>
      <c r="K119" s="33"/>
    </row>
    <row r="120" spans="1:11" ht="14.25" customHeight="1" x14ac:dyDescent="0.3">
      <c r="C120" s="10" t="s">
        <v>2</v>
      </c>
      <c r="D120" s="17">
        <f>SUM(D117:D119)</f>
        <v>227.07</v>
      </c>
      <c r="E120" s="12"/>
      <c r="H120" s="37" t="str">
        <f>IF(SUMPRODUCT(($C$2:$C$266=$H$106)*($F$2:$F$266=11))=0,"",INDEX($A$2:$A$266,SUMPRODUCT(($C$2:$C$266=$H$106)*($F$2:$F$266=11)*(ROW($C$2:$C$266)-ROW($C$2)+1))))</f>
        <v/>
      </c>
      <c r="I120" s="38" t="str">
        <f>IFERROR(IF(SUMPRODUCT(($C$2:$C$266=$H$106)*($F$2:$F$266=11))=0,"",INDEX($D$2:$D$266,SUMPRODUCT(($C$2:$C$266=$H$106)*($F$2:$F$266=11)*(ROW($C$2:$C$266)-ROW($C$2)+1)))),"")</f>
        <v/>
      </c>
      <c r="J120" s="38" t="str">
        <f>IFERROR(IF(SUMPRODUCT(($C$2:$C$266=$H$106)*($F$2:$F$266=11))=0,"",INDEX($E$2:$E$266,SUMPRODUCT(($C$2:$C$266=$H$106)*($F$2:$F$266=11)*(ROW($C$2:$C$266)-ROW($C$2)+1)))),"")</f>
        <v/>
      </c>
      <c r="K120" s="33"/>
    </row>
    <row r="121" spans="1:11" ht="14.25" customHeight="1" x14ac:dyDescent="0.3">
      <c r="C121" s="10" t="s">
        <v>3</v>
      </c>
      <c r="D121" s="10">
        <f>SUM(D125:D131)</f>
        <v>22.36</v>
      </c>
      <c r="E121" s="12"/>
      <c r="H121" s="37" t="str">
        <f>IF(SUMPRODUCT(($C$2:$C$266=$H$106)*($F$2:$F$266=12))=0,"",INDEX($A$2:$A$266,SUMPRODUCT(($C$2:$C$266=$H$106)*($F$2:$F$266=12)*(ROW($C$2:$C$266)-ROW($C$2)+1))))</f>
        <v/>
      </c>
      <c r="I121" s="38" t="str">
        <f>IFERROR(IF(SUMPRODUCT(($C$2:$C$266=$H$106)*($F$2:$F$266=12))=0,"",INDEX($D$2:$D$266,SUMPRODUCT(($C$2:$C$266=$H$106)*($F$2:$F$266=12)*(ROW($C$2:$C$266)-ROW($C$2)+1)))),"")</f>
        <v/>
      </c>
      <c r="J121" s="38" t="str">
        <f>IFERROR(IF(SUMPRODUCT(($C$2:$C$266=$H$106)*($F$2:$F$266=12))=0,"",INDEX($E$2:$E$266,SUMPRODUCT(($C$2:$C$266=$H$106)*($F$2:$F$266=12)*(ROW($C$2:$C$266)-ROW($C$2)+1)))),"")</f>
        <v/>
      </c>
      <c r="K121" s="33"/>
    </row>
    <row r="122" spans="1:11" ht="14.25" customHeight="1" x14ac:dyDescent="0.3">
      <c r="C122" s="10" t="s">
        <v>13</v>
      </c>
      <c r="D122" s="17">
        <f>D120/D121</f>
        <v>10.155187835420394</v>
      </c>
      <c r="E122" s="12"/>
      <c r="H122" s="37" t="str">
        <f>IF(SUMPRODUCT(($C$2:$C$266=$H$106)*($F$2:$F$266=13))=0,"",INDEX($A$2:$A$266,SUMPRODUCT(($C$2:$C$266=$H$106)*($F$2:$F$266=13)*(ROW($C$2:$C$266)-ROW($C$2)+1))))</f>
        <v/>
      </c>
      <c r="I122" s="38" t="str">
        <f>IFERROR(IF(SUMPRODUCT(($C$2:$C$266=$H$106)*($F$2:$F$266=13))=0,"",INDEX($D$2:$D$266,SUMPRODUCT(($C$2:$C$266=$H$106)*($F$2:$F$266=13)*(ROW($C$2:$C$266)-ROW($C$2)+1)))),"")</f>
        <v/>
      </c>
      <c r="J122" s="38" t="str">
        <f>IFERROR(IF(SUMPRODUCT(($C$2:$C$266=$H$106)*($F$2:$F$266=13))=0,"",INDEX($E$2:$E$266,SUMPRODUCT(($C$2:$C$266=$H$106)*($F$2:$F$266=13)*(ROW($C$2:$C$266)-ROW($C$2)+1)))),"")</f>
        <v/>
      </c>
      <c r="K122" s="33"/>
    </row>
    <row r="123" spans="1:11" ht="14.25" customHeight="1" x14ac:dyDescent="0.3">
      <c r="C123" s="12"/>
      <c r="D123" s="36"/>
      <c r="E123" s="12"/>
      <c r="H123" s="37" t="str">
        <f>IF(SUMPRODUCT(($C$2:$C$266=$H$106)*($F$2:$F$266=14))=0,"",INDEX($A$2:$A$266,SUMPRODUCT(($C$2:$C$266=$H$106)*($F$2:$F$266=14)*(ROW($C$2:$C$266)-ROW($C$2)+1))))</f>
        <v/>
      </c>
      <c r="I123" s="38" t="str">
        <f>IFERROR(IF(SUMPRODUCT(($C$2:$C$266=$H$106)*($F$2:$F$266=14))=0,"",INDEX($D$2:$D$266,SUMPRODUCT(($C$2:$C$266=$H$106)*($F$2:$F$266=14)*(ROW($C$2:$C$266)-ROW($C$2)+1)))),"")</f>
        <v/>
      </c>
      <c r="J123" s="38" t="str">
        <f>IFERROR(IF(SUMPRODUCT(($C$2:$C$266=$H$106)*($F$2:$F$266=14))=0,"",INDEX($E$2:$E$266,SUMPRODUCT(($C$2:$C$266=$H$106)*($F$2:$F$266=14)*(ROW($C$2:$C$266)-ROW($C$2)+1)))),"")</f>
        <v/>
      </c>
      <c r="K123" s="33"/>
    </row>
    <row r="124" spans="1:11" ht="15" customHeight="1" x14ac:dyDescent="0.3">
      <c r="C124" s="18" t="s">
        <v>1</v>
      </c>
      <c r="D124" s="20" t="s">
        <v>15</v>
      </c>
      <c r="E124" s="20" t="s">
        <v>16</v>
      </c>
      <c r="H124" s="37" t="str">
        <f>IF(SUMPRODUCT(($C$2:$C$266=$H$106)*($F$2:$F$266=15))=0,"",INDEX($A$2:$A$266,SUMPRODUCT(($C$2:$C$266=$H$106)*($F$2:$F$266=15)*(ROW($C$2:$C$266)-ROW($C$2)+1))))</f>
        <v/>
      </c>
      <c r="I124" s="38" t="str">
        <f>IFERROR(IF(SUMPRODUCT(($C$2:$C$266=$H$106)*($F$2:$F$266=15))=0,"",INDEX($D$2:$D$266,SUMPRODUCT(($C$2:$C$266=$H$106)*($F$2:$F$266=15)*(ROW($C$2:$C$266)-ROW($C$2)+1)))),"")</f>
        <v/>
      </c>
      <c r="J124" s="38" t="str">
        <f>IFERROR(IF(SUMPRODUCT(($C$2:$C$266=$H$106)*($F$2:$F$266=15))=0,"",INDEX($E$2:$E$266,SUMPRODUCT(($C$2:$C$266=$H$106)*($F$2:$F$266=15)*(ROW($C$2:$C$266)-ROW($C$2)+1)))),"")</f>
        <v/>
      </c>
      <c r="K124" s="33"/>
    </row>
    <row r="125" spans="1:11" ht="14.25" customHeight="1" x14ac:dyDescent="0.3">
      <c r="A125" s="21">
        <f t="shared" ref="A125:A131" si="15">$C$115</f>
        <v>46222</v>
      </c>
      <c r="B125" s="21"/>
      <c r="C125" s="22" t="s">
        <v>22</v>
      </c>
      <c r="D125" s="23">
        <v>5.53</v>
      </c>
      <c r="E125" s="24">
        <f t="shared" ref="E125:E131" si="16">D125*$D$122</f>
        <v>56.15818872987478</v>
      </c>
      <c r="F125">
        <f>IF($C125="","",COUNTIF($C$2:$C125,$C125))</f>
        <v>2</v>
      </c>
      <c r="H125" s="37" t="str">
        <f>IF(SUMPRODUCT(($C$2:$C$266=$H$106)*($F$2:$F$266=16))=0,"",INDEX($A$2:$A$266,SUMPRODUCT(($C$2:$C$266=$H$106)*($F$2:$F$266=16)*(ROW($C$2:$C$266)-ROW($C$2)+1))))</f>
        <v/>
      </c>
      <c r="I125" s="38" t="str">
        <f>IFERROR(IF(SUMPRODUCT(($C$2:$C$266=$H$106)*($F$2:$F$266=16))=0,"",INDEX($D$2:$D$266,SUMPRODUCT(($C$2:$C$266=$H$106)*($F$2:$F$266=16)*(ROW($C$2:$C$266)-ROW($C$2)+1)))),"")</f>
        <v/>
      </c>
      <c r="J125" s="38" t="str">
        <f>IFERROR(IF(SUMPRODUCT(($C$2:$C$266=$H$106)*($F$2:$F$266=16))=0,"",INDEX($E$2:$E$266,SUMPRODUCT(($C$2:$C$266=$H$106)*($F$2:$F$266=16)*(ROW($C$2:$C$266)-ROW($C$2)+1)))),"")</f>
        <v/>
      </c>
      <c r="K125" s="33"/>
    </row>
    <row r="126" spans="1:11" ht="14.25" customHeight="1" x14ac:dyDescent="0.3">
      <c r="A126" s="21">
        <f t="shared" si="15"/>
        <v>46222</v>
      </c>
      <c r="B126" s="21"/>
      <c r="C126" s="22" t="s">
        <v>12</v>
      </c>
      <c r="D126" s="23">
        <v>5</v>
      </c>
      <c r="E126" s="24">
        <f t="shared" si="16"/>
        <v>50.775939177101968</v>
      </c>
      <c r="F126">
        <f>IF($C126="","",COUNTIF($C$2:$C126,$C126))</f>
        <v>3</v>
      </c>
      <c r="H126" s="34" t="str">
        <f>H10</f>
        <v>Micaela Hartley</v>
      </c>
      <c r="I126" s="14"/>
      <c r="J126" s="14"/>
      <c r="K126" s="33"/>
    </row>
    <row r="127" spans="1:11" ht="14.25" customHeight="1" x14ac:dyDescent="0.3">
      <c r="A127" s="21">
        <f t="shared" si="15"/>
        <v>46222</v>
      </c>
      <c r="B127" s="21"/>
      <c r="C127" s="22" t="s">
        <v>19</v>
      </c>
      <c r="D127" s="23">
        <v>5.83</v>
      </c>
      <c r="E127" s="24">
        <f t="shared" si="16"/>
        <v>59.204745080500899</v>
      </c>
      <c r="F127">
        <f>IF($C127="","",COUNTIF($C$2:$C127,$C127))</f>
        <v>2</v>
      </c>
      <c r="H127" s="35" t="s">
        <v>26</v>
      </c>
      <c r="I127" s="32">
        <f>IFERROR(SUMIF($C$2:$C$266,H126,$D$2:$D$266),0)</f>
        <v>0</v>
      </c>
      <c r="J127" s="14"/>
      <c r="K127" s="33"/>
    </row>
    <row r="128" spans="1:11" ht="14.25" customHeight="1" x14ac:dyDescent="0.3">
      <c r="A128" s="21">
        <f t="shared" si="15"/>
        <v>46222</v>
      </c>
      <c r="B128" s="21"/>
      <c r="C128" s="22" t="s">
        <v>21</v>
      </c>
      <c r="D128" s="23">
        <v>6</v>
      </c>
      <c r="E128" s="24">
        <f t="shared" si="16"/>
        <v>60.931127012522367</v>
      </c>
      <c r="F128">
        <f>IF($C128="","",COUNTIF($C$2:$C128,$C128))</f>
        <v>4</v>
      </c>
      <c r="H128" s="35" t="s">
        <v>27</v>
      </c>
      <c r="I128" s="32">
        <f>IFERROR(SUMIF($C$2:$C$266,H126,$E$2:$E$266),0)</f>
        <v>0</v>
      </c>
      <c r="J128" s="14"/>
      <c r="K128" s="33"/>
    </row>
    <row r="129" spans="1:11" ht="14.25" customHeight="1" x14ac:dyDescent="0.3">
      <c r="A129" s="21">
        <f t="shared" si="15"/>
        <v>46222</v>
      </c>
      <c r="B129" s="21"/>
      <c r="C129" s="22"/>
      <c r="D129" s="23"/>
      <c r="E129" s="24">
        <f t="shared" si="16"/>
        <v>0</v>
      </c>
      <c r="F129" t="str">
        <f>IF($C129="","",COUNTIF($C$2:$C129,$C129))</f>
        <v/>
      </c>
      <c r="H129" s="18" t="s">
        <v>28</v>
      </c>
      <c r="I129" s="20" t="s">
        <v>15</v>
      </c>
      <c r="J129" s="20" t="s">
        <v>16</v>
      </c>
      <c r="K129" s="33"/>
    </row>
    <row r="130" spans="1:11" ht="14.25" customHeight="1" x14ac:dyDescent="0.3">
      <c r="A130" s="21">
        <f t="shared" si="15"/>
        <v>46222</v>
      </c>
      <c r="B130" s="21"/>
      <c r="C130" s="22"/>
      <c r="D130" s="23"/>
      <c r="E130" s="24">
        <f t="shared" si="16"/>
        <v>0</v>
      </c>
      <c r="F130" t="str">
        <f>IF($C130="","",COUNTIF($C$2:$C130,$C130))</f>
        <v/>
      </c>
      <c r="H130" s="37" t="str">
        <f>IF(SUMPRODUCT(($C$2:$C$266=$H$126)*($F$2:$F$266=1))=0,"No entries yet",INDEX($A$2:$A$266,SUMPRODUCT(($C$2:$C$266=$H$126)*($F$2:$F$266=1)*(ROW($C$2:$C$266)-ROW($C$2)+1))))</f>
        <v>No entries yet</v>
      </c>
      <c r="I130" s="38" t="str">
        <f>IFERROR(IF(SUMPRODUCT(($C$2:$C$266=$H$126)*($F$2:$F$266=1))=0,"",INDEX($D$2:$D$266,SUMPRODUCT(($C$2:$C$266=$H$126)*($F$2:$F$266=1)*(ROW($C$2:$C$266)-ROW($C$2)+1)))),"")</f>
        <v/>
      </c>
      <c r="J130" s="38" t="str">
        <f>IFERROR(IF(SUMPRODUCT(($C$2:$C$266=$H$126)*($F$2:$F$266=1))=0,"",INDEX($E$2:$E$266,SUMPRODUCT(($C$2:$C$266=$H$126)*($F$2:$F$266=1)*(ROW($C$2:$C$266)-ROW($C$2)+1)))),"")</f>
        <v/>
      </c>
      <c r="K130" s="33"/>
    </row>
    <row r="131" spans="1:11" ht="14.25" customHeight="1" x14ac:dyDescent="0.3">
      <c r="A131" s="21">
        <f t="shared" si="15"/>
        <v>46222</v>
      </c>
      <c r="B131" s="21"/>
      <c r="C131" s="22"/>
      <c r="D131" s="23"/>
      <c r="E131" s="24">
        <f t="shared" si="16"/>
        <v>0</v>
      </c>
      <c r="F131" t="str">
        <f>IF($C131="","",COUNTIF($C$2:$C131,$C131))</f>
        <v/>
      </c>
      <c r="H131" s="37" t="str">
        <f>IF(SUMPRODUCT(($C$2:$C$266=$H$126)*($F$2:$F$266=2))=0,"",INDEX($A$2:$A$266,SUMPRODUCT(($C$2:$C$266=$H$126)*($F$2:$F$266=2)*(ROW($C$2:$C$266)-ROW($C$2)+1))))</f>
        <v/>
      </c>
      <c r="I131" s="38" t="str">
        <f>IFERROR(IF(SUMPRODUCT(($C$2:$C$266=$H$126)*($F$2:$F$266=2))=0,"",INDEX($D$2:$D$266,SUMPRODUCT(($C$2:$C$266=$H$126)*($F$2:$F$266=2)*(ROW($C$2:$C$266)-ROW($C$2)+1)))),"")</f>
        <v/>
      </c>
      <c r="J131" s="38" t="str">
        <f>IFERROR(IF(SUMPRODUCT(($C$2:$C$266=$H$126)*($F$2:$F$266=2))=0,"",INDEX($E$2:$E$266,SUMPRODUCT(($C$2:$C$266=$H$126)*($F$2:$F$266=2)*(ROW($C$2:$C$266)-ROW($C$2)+1)))),"")</f>
        <v/>
      </c>
      <c r="K131" s="33"/>
    </row>
    <row r="132" spans="1:11" ht="15" customHeight="1" x14ac:dyDescent="0.3">
      <c r="C132" s="25" t="s">
        <v>24</v>
      </c>
      <c r="D132" s="26"/>
      <c r="E132" s="27">
        <f>SUM(E125:E131)</f>
        <v>227.07000000000005</v>
      </c>
      <c r="H132" s="37" t="str">
        <f>IF(SUMPRODUCT(($C$2:$C$266=$H$126)*($F$2:$F$266=3))=0,"",INDEX($A$2:$A$266,SUMPRODUCT(($C$2:$C$266=$H$126)*($F$2:$F$266=3)*(ROW($C$2:$C$266)-ROW($C$2)+1))))</f>
        <v/>
      </c>
      <c r="I132" s="38" t="str">
        <f>IFERROR(IF(SUMPRODUCT(($C$2:$C$266=$H$126)*($F$2:$F$266=3))=0,"",INDEX($D$2:$D$266,SUMPRODUCT(($C$2:$C$266=$H$126)*($F$2:$F$266=3)*(ROW($C$2:$C$266)-ROW($C$2)+1)))),"")</f>
        <v/>
      </c>
      <c r="J132" s="38" t="str">
        <f>IFERROR(IF(SUMPRODUCT(($C$2:$C$266=$H$126)*($F$2:$F$266=3))=0,"",INDEX($E$2:$E$266,SUMPRODUCT(($C$2:$C$266=$H$126)*($F$2:$F$266=3)*(ROW($C$2:$C$266)-ROW($C$2)+1)))),"")</f>
        <v/>
      </c>
      <c r="K132" s="33"/>
    </row>
    <row r="133" spans="1:11" ht="15" customHeight="1" x14ac:dyDescent="0.3">
      <c r="H133" s="37" t="str">
        <f>IF(SUMPRODUCT(($C$2:$C$266=$H$126)*($F$2:$F$266=4))=0,"",INDEX($A$2:$A$266,SUMPRODUCT(($C$2:$C$266=$H$126)*($F$2:$F$266=4)*(ROW($C$2:$C$266)-ROW($C$2)+1))))</f>
        <v/>
      </c>
      <c r="I133" s="38" t="str">
        <f>IFERROR(IF(SUMPRODUCT(($C$2:$C$266=$H$126)*($F$2:$F$266=4))=0,"",INDEX($D$2:$D$266,SUMPRODUCT(($C$2:$C$266=$H$126)*($F$2:$F$266=4)*(ROW($C$2:$C$266)-ROW($C$2)+1)))),"")</f>
        <v/>
      </c>
      <c r="J133" s="38" t="str">
        <f>IFERROR(IF(SUMPRODUCT(($C$2:$C$266=$H$126)*($F$2:$F$266=4))=0,"",INDEX($E$2:$E$266,SUMPRODUCT(($C$2:$C$266=$H$126)*($F$2:$F$266=4)*(ROW($C$2:$C$266)-ROW($C$2)+1)))),"")</f>
        <v/>
      </c>
      <c r="K133" s="33"/>
    </row>
    <row r="134" spans="1:11" ht="15" customHeight="1" x14ac:dyDescent="0.3">
      <c r="C134" s="4">
        <v>46223</v>
      </c>
      <c r="D134" s="4"/>
      <c r="E134" s="4"/>
      <c r="H134" s="37" t="str">
        <f>IF(SUMPRODUCT(($C$2:$C$266=$H$126)*($F$2:$F$266=5))=0,"",INDEX($A$2:$A$266,SUMPRODUCT(($C$2:$C$266=$H$126)*($F$2:$F$266=5)*(ROW($C$2:$C$266)-ROW($C$2)+1))))</f>
        <v/>
      </c>
      <c r="I134" s="38" t="str">
        <f>IFERROR(IF(SUMPRODUCT(($C$2:$C$266=$H$126)*($F$2:$F$266=5))=0,"",INDEX($D$2:$D$266,SUMPRODUCT(($C$2:$C$266=$H$126)*($F$2:$F$266=5)*(ROW($C$2:$C$266)-ROW($C$2)+1)))),"")</f>
        <v/>
      </c>
      <c r="J134" s="38" t="str">
        <f>IFERROR(IF(SUMPRODUCT(($C$2:$C$266=$H$126)*($F$2:$F$266=5))=0,"",INDEX($E$2:$E$266,SUMPRODUCT(($C$2:$C$266=$H$126)*($F$2:$F$266=5)*(ROW($C$2:$C$266)-ROW($C$2)+1)))),"")</f>
        <v/>
      </c>
      <c r="K134" s="33"/>
    </row>
    <row r="135" spans="1:11" ht="15" customHeight="1" x14ac:dyDescent="0.3">
      <c r="C135" s="28"/>
      <c r="E135" s="29"/>
      <c r="H135" s="37" t="str">
        <f>IF(SUMPRODUCT(($C$2:$C$266=$H$126)*($F$2:$F$266=6))=0,"",INDEX($A$2:$A$266,SUMPRODUCT(($C$2:$C$266=$H$126)*($F$2:$F$266=6)*(ROW($C$2:$C$266)-ROW($C$2)+1))))</f>
        <v/>
      </c>
      <c r="I135" s="38" t="str">
        <f>IFERROR(IF(SUMPRODUCT(($C$2:$C$266=$H$126)*($F$2:$F$266=6))=0,"",INDEX($D$2:$D$266,SUMPRODUCT(($C$2:$C$266=$H$126)*($F$2:$F$266=6)*(ROW($C$2:$C$266)-ROW($C$2)+1)))),"")</f>
        <v/>
      </c>
      <c r="J135" s="38" t="str">
        <f>IFERROR(IF(SUMPRODUCT(($C$2:$C$266=$H$126)*($F$2:$F$266=6))=0,"",INDEX($E$2:$E$266,SUMPRODUCT(($C$2:$C$266=$H$126)*($F$2:$F$266=6)*(ROW($C$2:$C$266)-ROW($C$2)+1)))),"")</f>
        <v/>
      </c>
      <c r="K135" s="33"/>
    </row>
    <row r="136" spans="1:11" ht="14.25" customHeight="1" x14ac:dyDescent="0.3">
      <c r="C136" s="10" t="s">
        <v>5</v>
      </c>
      <c r="D136" s="11">
        <v>162.91999999999999</v>
      </c>
      <c r="E136" s="12"/>
      <c r="H136" s="37" t="str">
        <f>IF(SUMPRODUCT(($C$2:$C$266=$H$126)*($F$2:$F$266=7))=0,"",INDEX($A$2:$A$266,SUMPRODUCT(($C$2:$C$266=$H$126)*($F$2:$F$266=7)*(ROW($C$2:$C$266)-ROW($C$2)+1))))</f>
        <v/>
      </c>
      <c r="I136" s="38" t="str">
        <f>IFERROR(IF(SUMPRODUCT(($C$2:$C$266=$H$126)*($F$2:$F$266=7))=0,"",INDEX($D$2:$D$266,SUMPRODUCT(($C$2:$C$266=$H$126)*($F$2:$F$266=7)*(ROW($C$2:$C$266)-ROW($C$2)+1)))),"")</f>
        <v/>
      </c>
      <c r="J136" s="38" t="str">
        <f>IFERROR(IF(SUMPRODUCT(($C$2:$C$266=$H$126)*($F$2:$F$266=7))=0,"",INDEX($E$2:$E$266,SUMPRODUCT(($C$2:$C$266=$H$126)*($F$2:$F$266=7)*(ROW($C$2:$C$266)-ROW($C$2)+1)))),"")</f>
        <v/>
      </c>
      <c r="K136" s="33"/>
    </row>
    <row r="137" spans="1:11" ht="14.25" customHeight="1" x14ac:dyDescent="0.3">
      <c r="C137" s="10" t="s">
        <v>7</v>
      </c>
      <c r="D137" s="15"/>
      <c r="E137" s="16"/>
      <c r="H137" s="37" t="str">
        <f>IF(SUMPRODUCT(($C$2:$C$266=$H$126)*($F$2:$F$266=8))=0,"",INDEX($A$2:$A$266,SUMPRODUCT(($C$2:$C$266=$H$126)*($F$2:$F$266=8)*(ROW($C$2:$C$266)-ROW($C$2)+1))))</f>
        <v/>
      </c>
      <c r="I137" s="38" t="str">
        <f>IFERROR(IF(SUMPRODUCT(($C$2:$C$266=$H$126)*($F$2:$F$266=8))=0,"",INDEX($D$2:$D$266,SUMPRODUCT(($C$2:$C$266=$H$126)*($F$2:$F$266=8)*(ROW($C$2:$C$266)-ROW($C$2)+1)))),"")</f>
        <v/>
      </c>
      <c r="J137" s="38" t="str">
        <f>IFERROR(IF(SUMPRODUCT(($C$2:$C$266=$H$126)*($F$2:$F$266=8))=0,"",INDEX($E$2:$E$266,SUMPRODUCT(($C$2:$C$266=$H$126)*($F$2:$F$266=8)*(ROW($C$2:$C$266)-ROW($C$2)+1)))),"")</f>
        <v/>
      </c>
      <c r="K137" s="33"/>
    </row>
    <row r="138" spans="1:11" ht="14.25" customHeight="1" x14ac:dyDescent="0.3">
      <c r="C138" s="10" t="s">
        <v>9</v>
      </c>
      <c r="D138" s="10"/>
      <c r="E138" s="12"/>
      <c r="H138" s="37" t="str">
        <f>IF(SUMPRODUCT(($C$2:$C$266=$H$126)*($F$2:$F$266=9))=0,"",INDEX($A$2:$A$266,SUMPRODUCT(($C$2:$C$266=$H$126)*($F$2:$F$266=9)*(ROW($C$2:$C$266)-ROW($C$2)+1))))</f>
        <v/>
      </c>
      <c r="I138" s="38" t="str">
        <f>IFERROR(IF(SUMPRODUCT(($C$2:$C$266=$H$126)*($F$2:$F$266=9))=0,"",INDEX($D$2:$D$266,SUMPRODUCT(($C$2:$C$266=$H$126)*($F$2:$F$266=9)*(ROW($C$2:$C$266)-ROW($C$2)+1)))),"")</f>
        <v/>
      </c>
      <c r="J138" s="38" t="str">
        <f>IFERROR(IF(SUMPRODUCT(($C$2:$C$266=$H$126)*($F$2:$F$266=9))=0,"",INDEX($E$2:$E$266,SUMPRODUCT(($C$2:$C$266=$H$126)*($F$2:$F$266=9)*(ROW($C$2:$C$266)-ROW($C$2)+1)))),"")</f>
        <v/>
      </c>
      <c r="K138" s="33"/>
    </row>
    <row r="139" spans="1:11" ht="14.25" customHeight="1" x14ac:dyDescent="0.3">
      <c r="C139" s="10" t="s">
        <v>2</v>
      </c>
      <c r="D139" s="17">
        <f>SUM(D136:D138)</f>
        <v>162.91999999999999</v>
      </c>
      <c r="E139" s="12"/>
      <c r="H139" s="37" t="str">
        <f>IF(SUMPRODUCT(($C$2:$C$266=$H$126)*($F$2:$F$266=10))=0,"",INDEX($A$2:$A$266,SUMPRODUCT(($C$2:$C$266=$H$126)*($F$2:$F$266=10)*(ROW($C$2:$C$266)-ROW($C$2)+1))))</f>
        <v/>
      </c>
      <c r="I139" s="38" t="str">
        <f>IFERROR(IF(SUMPRODUCT(($C$2:$C$266=$H$126)*($F$2:$F$266=10))=0,"",INDEX($D$2:$D$266,SUMPRODUCT(($C$2:$C$266=$H$126)*($F$2:$F$266=10)*(ROW($C$2:$C$266)-ROW($C$2)+1)))),"")</f>
        <v/>
      </c>
      <c r="J139" s="38" t="str">
        <f>IFERROR(IF(SUMPRODUCT(($C$2:$C$266=$H$126)*($F$2:$F$266=10))=0,"",INDEX($E$2:$E$266,SUMPRODUCT(($C$2:$C$266=$H$126)*($F$2:$F$266=10)*(ROW($C$2:$C$266)-ROW($C$2)+1)))),"")</f>
        <v/>
      </c>
      <c r="K139" s="33"/>
    </row>
    <row r="140" spans="1:11" ht="14.25" customHeight="1" x14ac:dyDescent="0.3">
      <c r="C140" s="10" t="s">
        <v>3</v>
      </c>
      <c r="D140" s="10">
        <f>SUM(D144:D150)</f>
        <v>13.7</v>
      </c>
      <c r="E140" s="12"/>
      <c r="H140" s="37" t="str">
        <f>IF(SUMPRODUCT(($C$2:$C$266=$H$126)*($F$2:$F$266=11))=0,"",INDEX($A$2:$A$266,SUMPRODUCT(($C$2:$C$266=$H$126)*($F$2:$F$266=11)*(ROW($C$2:$C$266)-ROW($C$2)+1))))</f>
        <v/>
      </c>
      <c r="I140" s="38" t="str">
        <f>IFERROR(IF(SUMPRODUCT(($C$2:$C$266=$H$126)*($F$2:$F$266=11))=0,"",INDEX($D$2:$D$266,SUMPRODUCT(($C$2:$C$266=$H$126)*($F$2:$F$266=11)*(ROW($C$2:$C$266)-ROW($C$2)+1)))),"")</f>
        <v/>
      </c>
      <c r="J140" s="38" t="str">
        <f>IFERROR(IF(SUMPRODUCT(($C$2:$C$266=$H$126)*($F$2:$F$266=11))=0,"",INDEX($E$2:$E$266,SUMPRODUCT(($C$2:$C$266=$H$126)*($F$2:$F$266=11)*(ROW($C$2:$C$266)-ROW($C$2)+1)))),"")</f>
        <v/>
      </c>
      <c r="K140" s="33"/>
    </row>
    <row r="141" spans="1:11" ht="14.25" customHeight="1" x14ac:dyDescent="0.3">
      <c r="C141" s="10" t="s">
        <v>13</v>
      </c>
      <c r="D141" s="17">
        <f>D139/D140</f>
        <v>11.891970802919708</v>
      </c>
      <c r="E141" s="12"/>
      <c r="H141" s="37" t="str">
        <f>IF(SUMPRODUCT(($C$2:$C$266=$H$126)*($F$2:$F$266=12))=0,"",INDEX($A$2:$A$266,SUMPRODUCT(($C$2:$C$266=$H$126)*($F$2:$F$266=12)*(ROW($C$2:$C$266)-ROW($C$2)+1))))</f>
        <v/>
      </c>
      <c r="I141" s="38" t="str">
        <f>IFERROR(IF(SUMPRODUCT(($C$2:$C$266=$H$126)*($F$2:$F$266=12))=0,"",INDEX($D$2:$D$266,SUMPRODUCT(($C$2:$C$266=$H$126)*($F$2:$F$266=12)*(ROW($C$2:$C$266)-ROW($C$2)+1)))),"")</f>
        <v/>
      </c>
      <c r="J141" s="38" t="str">
        <f>IFERROR(IF(SUMPRODUCT(($C$2:$C$266=$H$126)*($F$2:$F$266=12))=0,"",INDEX($E$2:$E$266,SUMPRODUCT(($C$2:$C$266=$H$126)*($F$2:$F$266=12)*(ROW($C$2:$C$266)-ROW($C$2)+1)))),"")</f>
        <v/>
      </c>
      <c r="K141" s="33"/>
    </row>
    <row r="142" spans="1:11" ht="14.25" customHeight="1" x14ac:dyDescent="0.3">
      <c r="C142" s="12"/>
      <c r="D142" s="36"/>
      <c r="E142" s="12"/>
      <c r="H142" s="37" t="str">
        <f>IF(SUMPRODUCT(($C$2:$C$266=$H$126)*($F$2:$F$266=13))=0,"",INDEX($A$2:$A$266,SUMPRODUCT(($C$2:$C$266=$H$126)*($F$2:$F$266=13)*(ROW($C$2:$C$266)-ROW($C$2)+1))))</f>
        <v/>
      </c>
      <c r="I142" s="38" t="str">
        <f>IFERROR(IF(SUMPRODUCT(($C$2:$C$266=$H$126)*($F$2:$F$266=13))=0,"",INDEX($D$2:$D$266,SUMPRODUCT(($C$2:$C$266=$H$126)*($F$2:$F$266=13)*(ROW($C$2:$C$266)-ROW($C$2)+1)))),"")</f>
        <v/>
      </c>
      <c r="J142" s="38" t="str">
        <f>IFERROR(IF(SUMPRODUCT(($C$2:$C$266=$H$126)*($F$2:$F$266=13))=0,"",INDEX($E$2:$E$266,SUMPRODUCT(($C$2:$C$266=$H$126)*($F$2:$F$266=13)*(ROW($C$2:$C$266)-ROW($C$2)+1)))),"")</f>
        <v/>
      </c>
      <c r="K142" s="33"/>
    </row>
    <row r="143" spans="1:11" ht="15" customHeight="1" x14ac:dyDescent="0.3">
      <c r="C143" s="18" t="s">
        <v>1</v>
      </c>
      <c r="D143" s="20" t="s">
        <v>15</v>
      </c>
      <c r="E143" s="20" t="s">
        <v>16</v>
      </c>
      <c r="H143" s="37" t="str">
        <f>IF(SUMPRODUCT(($C$2:$C$266=$H$126)*($F$2:$F$266=14))=0,"",INDEX($A$2:$A$266,SUMPRODUCT(($C$2:$C$266=$H$126)*($F$2:$F$266=14)*(ROW($C$2:$C$266)-ROW($C$2)+1))))</f>
        <v/>
      </c>
      <c r="I143" s="38" t="str">
        <f>IFERROR(IF(SUMPRODUCT(($C$2:$C$266=$H$126)*($F$2:$F$266=14))=0,"",INDEX($D$2:$D$266,SUMPRODUCT(($C$2:$C$266=$H$126)*($F$2:$F$266=14)*(ROW($C$2:$C$266)-ROW($C$2)+1)))),"")</f>
        <v/>
      </c>
      <c r="J143" s="38" t="str">
        <f>IFERROR(IF(SUMPRODUCT(($C$2:$C$266=$H$126)*($F$2:$F$266=14))=0,"",INDEX($E$2:$E$266,SUMPRODUCT(($C$2:$C$266=$H$126)*($F$2:$F$266=14)*(ROW($C$2:$C$266)-ROW($C$2)+1)))),"")</f>
        <v/>
      </c>
      <c r="K143" s="33"/>
    </row>
    <row r="144" spans="1:11" ht="14.25" customHeight="1" x14ac:dyDescent="0.3">
      <c r="A144" s="21">
        <f t="shared" ref="A144:A150" si="17">$C$134</f>
        <v>46223</v>
      </c>
      <c r="B144" s="21"/>
      <c r="C144" s="22" t="s">
        <v>12</v>
      </c>
      <c r="D144" s="23">
        <v>4.93</v>
      </c>
      <c r="E144" s="24">
        <f t="shared" ref="E144:E150" si="18">D144*$D$141</f>
        <v>58.627416058394161</v>
      </c>
      <c r="F144">
        <f>IF($C144="","",COUNTIF($C$2:$C144,$C144))</f>
        <v>4</v>
      </c>
      <c r="H144" s="37" t="str">
        <f>IF(SUMPRODUCT(($C$2:$C$266=$H$126)*($F$2:$F$266=15))=0,"",INDEX($A$2:$A$266,SUMPRODUCT(($C$2:$C$266=$H$126)*($F$2:$F$266=15)*(ROW($C$2:$C$266)-ROW($C$2)+1))))</f>
        <v/>
      </c>
      <c r="I144" s="38" t="str">
        <f>IFERROR(IF(SUMPRODUCT(($C$2:$C$266=$H$126)*($F$2:$F$266=15))=0,"",INDEX($D$2:$D$266,SUMPRODUCT(($C$2:$C$266=$H$126)*($F$2:$F$266=15)*(ROW($C$2:$C$266)-ROW($C$2)+1)))),"")</f>
        <v/>
      </c>
      <c r="J144" s="38" t="str">
        <f>IFERROR(IF(SUMPRODUCT(($C$2:$C$266=$H$126)*($F$2:$F$266=15))=0,"",INDEX($E$2:$E$266,SUMPRODUCT(($C$2:$C$266=$H$126)*($F$2:$F$266=15)*(ROW($C$2:$C$266)-ROW($C$2)+1)))),"")</f>
        <v/>
      </c>
      <c r="K144" s="33"/>
    </row>
    <row r="145" spans="1:11" ht="14.25" customHeight="1" x14ac:dyDescent="0.3">
      <c r="A145" s="21">
        <f t="shared" si="17"/>
        <v>46223</v>
      </c>
      <c r="B145" s="21"/>
      <c r="C145" s="22" t="s">
        <v>19</v>
      </c>
      <c r="D145" s="23">
        <v>4.92</v>
      </c>
      <c r="E145" s="24">
        <f t="shared" si="18"/>
        <v>58.508496350364965</v>
      </c>
      <c r="F145">
        <f>IF($C145="","",COUNTIF($C$2:$C145,$C145))</f>
        <v>3</v>
      </c>
      <c r="H145" s="37" t="str">
        <f>IF(SUMPRODUCT(($C$2:$C$266=$H$126)*($F$2:$F$266=16))=0,"",INDEX($A$2:$A$266,SUMPRODUCT(($C$2:$C$266=$H$126)*($F$2:$F$266=16)*(ROW($C$2:$C$266)-ROW($C$2)+1))))</f>
        <v/>
      </c>
      <c r="I145" s="38" t="str">
        <f>IFERROR(IF(SUMPRODUCT(($C$2:$C$266=$H$126)*($F$2:$F$266=16))=0,"",INDEX($D$2:$D$266,SUMPRODUCT(($C$2:$C$266=$H$126)*($F$2:$F$266=16)*(ROW($C$2:$C$266)-ROW($C$2)+1)))),"")</f>
        <v/>
      </c>
      <c r="J145" s="38" t="str">
        <f>IFERROR(IF(SUMPRODUCT(($C$2:$C$266=$H$126)*($F$2:$F$266=16))=0,"",INDEX($E$2:$E$266,SUMPRODUCT(($C$2:$C$266=$H$126)*($F$2:$F$266=16)*(ROW($C$2:$C$266)-ROW($C$2)+1)))),"")</f>
        <v/>
      </c>
      <c r="K145" s="33"/>
    </row>
    <row r="146" spans="1:11" ht="14.25" customHeight="1" x14ac:dyDescent="0.3">
      <c r="A146" s="21">
        <f t="shared" si="17"/>
        <v>46223</v>
      </c>
      <c r="B146" s="21"/>
      <c r="C146" s="22" t="s">
        <v>18</v>
      </c>
      <c r="D146" s="23">
        <v>3.85</v>
      </c>
      <c r="E146" s="24">
        <f t="shared" si="18"/>
        <v>45.784087591240876</v>
      </c>
      <c r="F146">
        <f>IF($C146="","",COUNTIF($C$2:$C146,$C146))</f>
        <v>4</v>
      </c>
      <c r="H146" s="34" t="str">
        <f>H11</f>
        <v>Michelle Osnovikov</v>
      </c>
      <c r="I146" s="14"/>
      <c r="J146" s="14"/>
      <c r="K146" s="33"/>
    </row>
    <row r="147" spans="1:11" ht="14.25" customHeight="1" x14ac:dyDescent="0.3">
      <c r="A147" s="21">
        <f t="shared" si="17"/>
        <v>46223</v>
      </c>
      <c r="B147" s="21"/>
      <c r="C147" s="22"/>
      <c r="D147" s="23"/>
      <c r="E147" s="24">
        <f t="shared" si="18"/>
        <v>0</v>
      </c>
      <c r="F147" t="str">
        <f>IF($C147="","",COUNTIF($C$2:$C147,$C147))</f>
        <v/>
      </c>
      <c r="H147" s="35" t="s">
        <v>26</v>
      </c>
      <c r="I147" s="32">
        <f>IFERROR(SUMIF($C$2:$C$266,H146,$D$2:$D$266),0)</f>
        <v>40.449999999999996</v>
      </c>
      <c r="J147" s="14"/>
      <c r="K147" s="33"/>
    </row>
    <row r="148" spans="1:11" ht="14.25" customHeight="1" x14ac:dyDescent="0.3">
      <c r="A148" s="21">
        <f t="shared" si="17"/>
        <v>46223</v>
      </c>
      <c r="B148" s="21"/>
      <c r="C148" s="22"/>
      <c r="D148" s="23"/>
      <c r="E148" s="24">
        <f t="shared" si="18"/>
        <v>0</v>
      </c>
      <c r="F148" t="str">
        <f>IF($C148="","",COUNTIF($C$2:$C148,$C148))</f>
        <v/>
      </c>
      <c r="H148" s="35" t="s">
        <v>27</v>
      </c>
      <c r="I148" s="32">
        <f>IFERROR(SUMIF($C$2:$C$266,H146,$E$2:$E$266),0)</f>
        <v>547.04860115957752</v>
      </c>
      <c r="J148" s="14"/>
      <c r="K148" s="33"/>
    </row>
    <row r="149" spans="1:11" ht="14.25" customHeight="1" x14ac:dyDescent="0.3">
      <c r="A149" s="21">
        <f t="shared" si="17"/>
        <v>46223</v>
      </c>
      <c r="B149" s="21"/>
      <c r="C149" s="22"/>
      <c r="D149" s="23"/>
      <c r="E149" s="24">
        <f t="shared" si="18"/>
        <v>0</v>
      </c>
      <c r="F149" t="str">
        <f>IF($C149="","",COUNTIF($C$2:$C149,$C149))</f>
        <v/>
      </c>
      <c r="H149" s="18" t="s">
        <v>28</v>
      </c>
      <c r="I149" s="20" t="s">
        <v>15</v>
      </c>
      <c r="J149" s="20" t="s">
        <v>16</v>
      </c>
      <c r="K149" s="33"/>
    </row>
    <row r="150" spans="1:11" ht="14.25" customHeight="1" x14ac:dyDescent="0.3">
      <c r="A150" s="21">
        <f t="shared" si="17"/>
        <v>46223</v>
      </c>
      <c r="B150" s="21"/>
      <c r="C150" s="22"/>
      <c r="D150" s="23"/>
      <c r="E150" s="24">
        <f t="shared" si="18"/>
        <v>0</v>
      </c>
      <c r="F150" t="str">
        <f>IF($C150="","",COUNTIF($C$2:$C150,$C150))</f>
        <v/>
      </c>
      <c r="H150" s="37">
        <f>IF(SUMPRODUCT(($C$2:$C$266=$H$146)*($F$2:$F$266=1))=0,"No entries yet",INDEX($A$2:$A$266,SUMPRODUCT(($C$2:$C$266=$H$146)*($F$2:$F$266=1)*(ROW($C$2:$C$266)-ROW($C$2)+1))))</f>
        <v>46218</v>
      </c>
      <c r="I150" s="38">
        <f>IFERROR(IF(SUMPRODUCT(($C$2:$C$266=$H$146)*($F$2:$F$266=1))=0,"",INDEX($D$2:$D$266,SUMPRODUCT(($C$2:$C$266=$H$146)*($F$2:$F$266=1)*(ROW($C$2:$C$266)-ROW($C$2)+1)))),"")</f>
        <v>7.46</v>
      </c>
      <c r="J150" s="38">
        <f>IFERROR(IF(SUMPRODUCT(($C$2:$C$266=$H$146)*($F$2:$F$266=1))=0,"",INDEX($E$2:$E$266,SUMPRODUCT(($C$2:$C$266=$H$146)*($F$2:$F$266=1)*(ROW($C$2:$C$266)-ROW($C$2)+1)))),"")</f>
        <v>121.73987730061353</v>
      </c>
      <c r="K150" s="33"/>
    </row>
    <row r="151" spans="1:11" ht="15" customHeight="1" x14ac:dyDescent="0.3">
      <c r="C151" s="25" t="s">
        <v>24</v>
      </c>
      <c r="D151" s="26"/>
      <c r="E151" s="27">
        <f>SUM(E144:E150)</f>
        <v>162.92000000000002</v>
      </c>
      <c r="H151" s="37">
        <f>IF(SUMPRODUCT(($C$2:$C$266=$H$146)*($F$2:$F$266=2))=0,"",INDEX($A$2:$A$266,SUMPRODUCT(($C$2:$C$266=$H$146)*($F$2:$F$266=2)*(ROW($C$2:$C$266)-ROW($C$2)+1))))</f>
        <v>46219</v>
      </c>
      <c r="I151" s="38">
        <f>IFERROR(IF(SUMPRODUCT(($C$2:$C$266=$H$146)*($F$2:$F$266=2))=0,"",INDEX($D$2:$D$266,SUMPRODUCT(($C$2:$C$266=$H$146)*($F$2:$F$266=2)*(ROW($C$2:$C$266)-ROW($C$2)+1)))),"")</f>
        <v>7.49</v>
      </c>
      <c r="J151" s="38">
        <f>IFERROR(IF(SUMPRODUCT(($C$2:$C$266=$H$146)*($F$2:$F$266=2))=0,"",INDEX($E$2:$E$266,SUMPRODUCT(($C$2:$C$266=$H$146)*($F$2:$F$266=2)*(ROW($C$2:$C$266)-ROW($C$2)+1)))),"")</f>
        <v>81.296204595997025</v>
      </c>
      <c r="K151" s="33"/>
    </row>
    <row r="152" spans="1:11" ht="15" customHeight="1" x14ac:dyDescent="0.3">
      <c r="H152" s="37">
        <f>IF(SUMPRODUCT(($C$2:$C$266=$H$146)*($F$2:$F$266=3))=0,"",INDEX($A$2:$A$266,SUMPRODUCT(($C$2:$C$266=$H$146)*($F$2:$F$266=3)*(ROW($C$2:$C$266)-ROW($C$2)+1))))</f>
        <v>46221</v>
      </c>
      <c r="I152" s="38">
        <f>IFERROR(IF(SUMPRODUCT(($C$2:$C$266=$H$146)*($F$2:$F$266=3))=0,"",INDEX($D$2:$D$266,SUMPRODUCT(($C$2:$C$266=$H$146)*($F$2:$F$266=3)*(ROW($C$2:$C$266)-ROW($C$2)+1)))),"")</f>
        <v>7.49</v>
      </c>
      <c r="J152" s="38">
        <f>IFERROR(IF(SUMPRODUCT(($C$2:$C$266=$H$146)*($F$2:$F$266=3))=0,"",INDEX($E$2:$E$266,SUMPRODUCT(($C$2:$C$266=$H$146)*($F$2:$F$266=3)*(ROW($C$2:$C$266)-ROW($C$2)+1)))),"")</f>
        <v>108.05297985153764</v>
      </c>
      <c r="K152" s="33"/>
    </row>
    <row r="153" spans="1:11" ht="15" customHeight="1" x14ac:dyDescent="0.3">
      <c r="C153" s="4">
        <v>46224</v>
      </c>
      <c r="D153" s="4"/>
      <c r="E153" s="4"/>
      <c r="H153" s="37">
        <f>IF(SUMPRODUCT(($C$2:$C$266=$H$146)*($F$2:$F$266=4))=0,"",INDEX($A$2:$A$266,SUMPRODUCT(($C$2:$C$266=$H$146)*($F$2:$F$266=4)*(ROW($C$2:$C$266)-ROW($C$2)+1))))</f>
        <v>46223</v>
      </c>
      <c r="I153" s="38">
        <f>IFERROR(IF(SUMPRODUCT(($C$2:$C$266=$H$146)*($F$2:$F$266=4))=0,"",INDEX($D$2:$D$266,SUMPRODUCT(($C$2:$C$266=$H$146)*($F$2:$F$266=4)*(ROW($C$2:$C$266)-ROW($C$2)+1)))),"")</f>
        <v>3.85</v>
      </c>
      <c r="J153" s="38">
        <f>IFERROR(IF(SUMPRODUCT(($C$2:$C$266=$H$146)*($F$2:$F$266=4))=0,"",INDEX($E$2:$E$266,SUMPRODUCT(($C$2:$C$266=$H$146)*($F$2:$F$266=4)*(ROW($C$2:$C$266)-ROW($C$2)+1)))),"")</f>
        <v>45.784087591240876</v>
      </c>
      <c r="K153" s="33"/>
    </row>
    <row r="154" spans="1:11" ht="15" customHeight="1" x14ac:dyDescent="0.3">
      <c r="C154" s="28"/>
      <c r="E154" s="29"/>
      <c r="H154" s="37">
        <f>IF(SUMPRODUCT(($C$2:$C$266=$H$146)*($F$2:$F$266=5))=0,"",INDEX($A$2:$A$266,SUMPRODUCT(($C$2:$C$266=$H$146)*($F$2:$F$266=5)*(ROW($C$2:$C$266)-ROW($C$2)+1))))</f>
        <v>46226</v>
      </c>
      <c r="I154" s="38">
        <f>IFERROR(IF(SUMPRODUCT(($C$2:$C$266=$H$146)*($F$2:$F$266=5))=0,"",INDEX($D$2:$D$266,SUMPRODUCT(($C$2:$C$266=$H$146)*($F$2:$F$266=5)*(ROW($C$2:$C$266)-ROW($C$2)+1)))),"")</f>
        <v>4.08</v>
      </c>
      <c r="J154" s="38">
        <f>IFERROR(IF(SUMPRODUCT(($C$2:$C$266=$H$146)*($F$2:$F$266=5))=0,"",INDEX($E$2:$E$266,SUMPRODUCT(($C$2:$C$266=$H$146)*($F$2:$F$266=5)*(ROW($C$2:$C$266)-ROW($C$2)+1)))),"")</f>
        <v>42.864094488188982</v>
      </c>
      <c r="K154" s="33"/>
    </row>
    <row r="155" spans="1:11" ht="14.25" customHeight="1" x14ac:dyDescent="0.3">
      <c r="C155" s="10" t="s">
        <v>5</v>
      </c>
      <c r="D155" s="11">
        <v>189.75</v>
      </c>
      <c r="E155" s="12"/>
      <c r="H155" s="37">
        <f>IF(SUMPRODUCT(($C$2:$C$266=$H$146)*($F$2:$F$266=6))=0,"",INDEX($A$2:$A$266,SUMPRODUCT(($C$2:$C$266=$H$146)*($F$2:$F$266=6)*(ROW($C$2:$C$266)-ROW($C$2)+1))))</f>
        <v>46227</v>
      </c>
      <c r="I155" s="38">
        <f>IFERROR(IF(SUMPRODUCT(($C$2:$C$266=$H$146)*($F$2:$F$266=6))=0,"",INDEX($D$2:$D$266,SUMPRODUCT(($C$2:$C$266=$H$146)*($F$2:$F$266=6)*(ROW($C$2:$C$266)-ROW($C$2)+1)))),"")</f>
        <v>4.08</v>
      </c>
      <c r="J155" s="38">
        <f>IFERROR(IF(SUMPRODUCT(($C$2:$C$266=$H$146)*($F$2:$F$266=6))=0,"",INDEX($E$2:$E$266,SUMPRODUCT(($C$2:$C$266=$H$146)*($F$2:$F$266=6)*(ROW($C$2:$C$266)-ROW($C$2)+1)))),"")</f>
        <v>51.495275590551181</v>
      </c>
      <c r="K155" s="33"/>
    </row>
    <row r="156" spans="1:11" ht="14.25" customHeight="1" x14ac:dyDescent="0.3">
      <c r="C156" s="10" t="s">
        <v>7</v>
      </c>
      <c r="D156" s="15"/>
      <c r="E156" s="16"/>
      <c r="H156" s="37">
        <f>IF(SUMPRODUCT(($C$2:$C$266=$H$146)*($F$2:$F$266=7))=0,"",INDEX($A$2:$A$266,SUMPRODUCT(($C$2:$C$266=$H$146)*($F$2:$F$266=7)*(ROW($C$2:$C$266)-ROW($C$2)+1))))</f>
        <v>46228</v>
      </c>
      <c r="I156" s="38">
        <f>IFERROR(IF(SUMPRODUCT(($C$2:$C$266=$H$146)*($F$2:$F$266=7))=0,"",INDEX($D$2:$D$266,SUMPRODUCT(($C$2:$C$266=$H$146)*($F$2:$F$266=7)*(ROW($C$2:$C$266)-ROW($C$2)+1)))),"")</f>
        <v>6</v>
      </c>
      <c r="J156" s="38">
        <f>IFERROR(IF(SUMPRODUCT(($C$2:$C$266=$H$146)*($F$2:$F$266=7))=0,"",INDEX($E$2:$E$266,SUMPRODUCT(($C$2:$C$266=$H$146)*($F$2:$F$266=7)*(ROW($C$2:$C$266)-ROW($C$2)+1)))),"")</f>
        <v>95.816081741448272</v>
      </c>
      <c r="K156" s="33"/>
    </row>
    <row r="157" spans="1:11" ht="14.25" customHeight="1" x14ac:dyDescent="0.3">
      <c r="C157" s="10" t="s">
        <v>9</v>
      </c>
      <c r="D157" s="10"/>
      <c r="E157" s="12"/>
      <c r="H157" s="37" t="str">
        <f>IF(SUMPRODUCT(($C$2:$C$266=$H$146)*($F$2:$F$266=8))=0,"",INDEX($A$2:$A$266,SUMPRODUCT(($C$2:$C$266=$H$146)*($F$2:$F$266=8)*(ROW($C$2:$C$266)-ROW($C$2)+1))))</f>
        <v/>
      </c>
      <c r="I157" s="38" t="str">
        <f>IFERROR(IF(SUMPRODUCT(($C$2:$C$266=$H$146)*($F$2:$F$266=8))=0,"",INDEX($D$2:$D$266,SUMPRODUCT(($C$2:$C$266=$H$146)*($F$2:$F$266=8)*(ROW($C$2:$C$266)-ROW($C$2)+1)))),"")</f>
        <v/>
      </c>
      <c r="J157" s="38" t="str">
        <f>IFERROR(IF(SUMPRODUCT(($C$2:$C$266=$H$146)*($F$2:$F$266=8))=0,"",INDEX($E$2:$E$266,SUMPRODUCT(($C$2:$C$266=$H$146)*($F$2:$F$266=8)*(ROW($C$2:$C$266)-ROW($C$2)+1)))),"")</f>
        <v/>
      </c>
      <c r="K157" s="33"/>
    </row>
    <row r="158" spans="1:11" ht="14.25" customHeight="1" x14ac:dyDescent="0.3">
      <c r="C158" s="10" t="s">
        <v>2</v>
      </c>
      <c r="D158" s="17">
        <f>SUM(D155:D157)</f>
        <v>189.75</v>
      </c>
      <c r="E158" s="12"/>
      <c r="H158" s="37" t="str">
        <f>IF(SUMPRODUCT(($C$2:$C$266=$H$146)*($F$2:$F$266=9))=0,"",INDEX($A$2:$A$266,SUMPRODUCT(($C$2:$C$266=$H$146)*($F$2:$F$266=9)*(ROW($C$2:$C$266)-ROW($C$2)+1))))</f>
        <v/>
      </c>
      <c r="I158" s="38" t="str">
        <f>IFERROR(IF(SUMPRODUCT(($C$2:$C$266=$H$146)*($F$2:$F$266=9))=0,"",INDEX($D$2:$D$266,SUMPRODUCT(($C$2:$C$266=$H$146)*($F$2:$F$266=9)*(ROW($C$2:$C$266)-ROW($C$2)+1)))),"")</f>
        <v/>
      </c>
      <c r="J158" s="38" t="str">
        <f>IFERROR(IF(SUMPRODUCT(($C$2:$C$266=$H$146)*($F$2:$F$266=9))=0,"",INDEX($E$2:$E$266,SUMPRODUCT(($C$2:$C$266=$H$146)*($F$2:$F$266=9)*(ROW($C$2:$C$266)-ROW($C$2)+1)))),"")</f>
        <v/>
      </c>
      <c r="K158" s="33"/>
    </row>
    <row r="159" spans="1:11" ht="14.25" customHeight="1" x14ac:dyDescent="0.3">
      <c r="C159" s="10" t="s">
        <v>3</v>
      </c>
      <c r="D159" s="10">
        <f>SUM(D163:D169)</f>
        <v>10.01</v>
      </c>
      <c r="E159" s="12"/>
      <c r="H159" s="37" t="str">
        <f>IF(SUMPRODUCT(($C$2:$C$266=$H$146)*($F$2:$F$266=10))=0,"",INDEX($A$2:$A$266,SUMPRODUCT(($C$2:$C$266=$H$146)*($F$2:$F$266=10)*(ROW($C$2:$C$266)-ROW($C$2)+1))))</f>
        <v/>
      </c>
      <c r="I159" s="38" t="str">
        <f>IFERROR(IF(SUMPRODUCT(($C$2:$C$266=$H$146)*($F$2:$F$266=10))=0,"",INDEX($D$2:$D$266,SUMPRODUCT(($C$2:$C$266=$H$146)*($F$2:$F$266=10)*(ROW($C$2:$C$266)-ROW($C$2)+1)))),"")</f>
        <v/>
      </c>
      <c r="J159" s="38" t="str">
        <f>IFERROR(IF(SUMPRODUCT(($C$2:$C$266=$H$146)*($F$2:$F$266=10))=0,"",INDEX($E$2:$E$266,SUMPRODUCT(($C$2:$C$266=$H$146)*($F$2:$F$266=10)*(ROW($C$2:$C$266)-ROW($C$2)+1)))),"")</f>
        <v/>
      </c>
      <c r="K159" s="33"/>
    </row>
    <row r="160" spans="1:11" ht="14.25" customHeight="1" x14ac:dyDescent="0.3">
      <c r="C160" s="10" t="s">
        <v>13</v>
      </c>
      <c r="D160" s="17">
        <f>D158/D159</f>
        <v>18.956043956043956</v>
      </c>
      <c r="E160" s="12"/>
      <c r="H160" s="37" t="str">
        <f>IF(SUMPRODUCT(($C$2:$C$266=$H$146)*($F$2:$F$266=11))=0,"",INDEX($A$2:$A$266,SUMPRODUCT(($C$2:$C$266=$H$146)*($F$2:$F$266=11)*(ROW($C$2:$C$266)-ROW($C$2)+1))))</f>
        <v/>
      </c>
      <c r="I160" s="38" t="str">
        <f>IFERROR(IF(SUMPRODUCT(($C$2:$C$266=$H$146)*($F$2:$F$266=11))=0,"",INDEX($D$2:$D$266,SUMPRODUCT(($C$2:$C$266=$H$146)*($F$2:$F$266=11)*(ROW($C$2:$C$266)-ROW($C$2)+1)))),"")</f>
        <v/>
      </c>
      <c r="J160" s="38" t="str">
        <f>IFERROR(IF(SUMPRODUCT(($C$2:$C$266=$H$146)*($F$2:$F$266=11))=0,"",INDEX($E$2:$E$266,SUMPRODUCT(($C$2:$C$266=$H$146)*($F$2:$F$266=11)*(ROW($C$2:$C$266)-ROW($C$2)+1)))),"")</f>
        <v/>
      </c>
      <c r="K160" s="33"/>
    </row>
    <row r="161" spans="1:11" ht="14.25" customHeight="1" x14ac:dyDescent="0.3">
      <c r="C161" s="12"/>
      <c r="D161" s="36"/>
      <c r="E161" s="12"/>
      <c r="H161" s="37" t="str">
        <f>IF(SUMPRODUCT(($C$2:$C$266=$H$146)*($F$2:$F$266=12))=0,"",INDEX($A$2:$A$266,SUMPRODUCT(($C$2:$C$266=$H$146)*($F$2:$F$266=12)*(ROW($C$2:$C$266)-ROW($C$2)+1))))</f>
        <v/>
      </c>
      <c r="I161" s="38" t="str">
        <f>IFERROR(IF(SUMPRODUCT(($C$2:$C$266=$H$146)*($F$2:$F$266=12))=0,"",INDEX($D$2:$D$266,SUMPRODUCT(($C$2:$C$266=$H$146)*($F$2:$F$266=12)*(ROW($C$2:$C$266)-ROW($C$2)+1)))),"")</f>
        <v/>
      </c>
      <c r="J161" s="38" t="str">
        <f>IFERROR(IF(SUMPRODUCT(($C$2:$C$266=$H$146)*($F$2:$F$266=12))=0,"",INDEX($E$2:$E$266,SUMPRODUCT(($C$2:$C$266=$H$146)*($F$2:$F$266=12)*(ROW($C$2:$C$266)-ROW($C$2)+1)))),"")</f>
        <v/>
      </c>
      <c r="K161" s="33"/>
    </row>
    <row r="162" spans="1:11" ht="15" customHeight="1" x14ac:dyDescent="0.3">
      <c r="C162" s="18" t="s">
        <v>1</v>
      </c>
      <c r="D162" s="20" t="s">
        <v>15</v>
      </c>
      <c r="E162" s="20" t="s">
        <v>16</v>
      </c>
      <c r="H162" s="37" t="str">
        <f>IF(SUMPRODUCT(($C$2:$C$266=$H$146)*($F$2:$F$266=13))=0,"",INDEX($A$2:$A$266,SUMPRODUCT(($C$2:$C$266=$H$146)*($F$2:$F$266=13)*(ROW($C$2:$C$266)-ROW($C$2)+1))))</f>
        <v/>
      </c>
      <c r="I162" s="38" t="str">
        <f>IFERROR(IF(SUMPRODUCT(($C$2:$C$266=$H$146)*($F$2:$F$266=13))=0,"",INDEX($D$2:$D$266,SUMPRODUCT(($C$2:$C$266=$H$146)*($F$2:$F$266=13)*(ROW($C$2:$C$266)-ROW($C$2)+1)))),"")</f>
        <v/>
      </c>
      <c r="J162" s="38" t="str">
        <f>IFERROR(IF(SUMPRODUCT(($C$2:$C$266=$H$146)*($F$2:$F$266=13))=0,"",INDEX($E$2:$E$266,SUMPRODUCT(($C$2:$C$266=$H$146)*($F$2:$F$266=13)*(ROW($C$2:$C$266)-ROW($C$2)+1)))),"")</f>
        <v/>
      </c>
      <c r="K162" s="33"/>
    </row>
    <row r="163" spans="1:11" ht="14.25" customHeight="1" x14ac:dyDescent="0.3">
      <c r="A163" s="21">
        <f t="shared" ref="A163:A169" si="19">$C$153</f>
        <v>46224</v>
      </c>
      <c r="B163" s="21"/>
      <c r="C163" s="22" t="s">
        <v>14</v>
      </c>
      <c r="D163" s="23">
        <v>4.01</v>
      </c>
      <c r="E163" s="24">
        <f t="shared" ref="E163:E169" si="20">D163*$D$160</f>
        <v>76.013736263736263</v>
      </c>
      <c r="F163">
        <f>IF($C163="","",COUNTIF($C$2:$C163,$C163))</f>
        <v>4</v>
      </c>
      <c r="H163" s="37" t="str">
        <f>IF(SUMPRODUCT(($C$2:$C$266=$H$146)*($F$2:$F$266=14))=0,"",INDEX($A$2:$A$266,SUMPRODUCT(($C$2:$C$266=$H$146)*($F$2:$F$266=14)*(ROW($C$2:$C$266)-ROW($C$2)+1))))</f>
        <v/>
      </c>
      <c r="I163" s="38" t="str">
        <f>IFERROR(IF(SUMPRODUCT(($C$2:$C$266=$H$146)*($F$2:$F$266=14))=0,"",INDEX($D$2:$D$266,SUMPRODUCT(($C$2:$C$266=$H$146)*($F$2:$F$266=14)*(ROW($C$2:$C$266)-ROW($C$2)+1)))),"")</f>
        <v/>
      </c>
      <c r="J163" s="38" t="str">
        <f>IFERROR(IF(SUMPRODUCT(($C$2:$C$266=$H$146)*($F$2:$F$266=14))=0,"",INDEX($E$2:$E$266,SUMPRODUCT(($C$2:$C$266=$H$146)*($F$2:$F$266=14)*(ROW($C$2:$C$266)-ROW($C$2)+1)))),"")</f>
        <v/>
      </c>
      <c r="K163" s="33"/>
    </row>
    <row r="164" spans="1:11" ht="14.25" customHeight="1" x14ac:dyDescent="0.3">
      <c r="A164" s="21">
        <f t="shared" si="19"/>
        <v>46224</v>
      </c>
      <c r="B164" s="21"/>
      <c r="C164" s="22" t="s">
        <v>21</v>
      </c>
      <c r="D164" s="23">
        <v>6</v>
      </c>
      <c r="E164" s="24">
        <f t="shared" si="20"/>
        <v>113.73626373626374</v>
      </c>
      <c r="F164">
        <f>IF($C164="","",COUNTIF($C$2:$C164,$C164))</f>
        <v>5</v>
      </c>
      <c r="H164" s="37" t="str">
        <f>IF(SUMPRODUCT(($C$2:$C$266=$H$146)*($F$2:$F$266=15))=0,"",INDEX($A$2:$A$266,SUMPRODUCT(($C$2:$C$266=$H$146)*($F$2:$F$266=15)*(ROW($C$2:$C$266)-ROW($C$2)+1))))</f>
        <v/>
      </c>
      <c r="I164" s="38" t="str">
        <f>IFERROR(IF(SUMPRODUCT(($C$2:$C$266=$H$146)*($F$2:$F$266=15))=0,"",INDEX($D$2:$D$266,SUMPRODUCT(($C$2:$C$266=$H$146)*($F$2:$F$266=15)*(ROW($C$2:$C$266)-ROW($C$2)+1)))),"")</f>
        <v/>
      </c>
      <c r="J164" s="38" t="str">
        <f>IFERROR(IF(SUMPRODUCT(($C$2:$C$266=$H$146)*($F$2:$F$266=15))=0,"",INDEX($E$2:$E$266,SUMPRODUCT(($C$2:$C$266=$H$146)*($F$2:$F$266=15)*(ROW($C$2:$C$266)-ROW($C$2)+1)))),"")</f>
        <v/>
      </c>
      <c r="K164" s="33"/>
    </row>
    <row r="165" spans="1:11" ht="14.25" customHeight="1" x14ac:dyDescent="0.3">
      <c r="A165" s="21">
        <f t="shared" si="19"/>
        <v>46224</v>
      </c>
      <c r="B165" s="21"/>
      <c r="C165" s="22"/>
      <c r="D165" s="23"/>
      <c r="E165" s="24">
        <f t="shared" si="20"/>
        <v>0</v>
      </c>
      <c r="F165" t="str">
        <f>IF($C165="","",COUNTIF($C$2:$C165,$C165))</f>
        <v/>
      </c>
      <c r="H165" s="37" t="str">
        <f>IF(SUMPRODUCT(($C$2:$C$266=$H$146)*($F$2:$F$266=16))=0,"",INDEX($A$2:$A$266,SUMPRODUCT(($C$2:$C$266=$H$146)*($F$2:$F$266=16)*(ROW($C$2:$C$266)-ROW($C$2)+1))))</f>
        <v/>
      </c>
      <c r="I165" s="38" t="str">
        <f>IFERROR(IF(SUMPRODUCT(($C$2:$C$266=$H$146)*($F$2:$F$266=16))=0,"",INDEX($D$2:$D$266,SUMPRODUCT(($C$2:$C$266=$H$146)*($F$2:$F$266=16)*(ROW($C$2:$C$266)-ROW($C$2)+1)))),"")</f>
        <v/>
      </c>
      <c r="J165" s="38" t="str">
        <f>IFERROR(IF(SUMPRODUCT(($C$2:$C$266=$H$146)*($F$2:$F$266=16))=0,"",INDEX($E$2:$E$266,SUMPRODUCT(($C$2:$C$266=$H$146)*($F$2:$F$266=16)*(ROW($C$2:$C$266)-ROW($C$2)+1)))),"")</f>
        <v/>
      </c>
      <c r="K165" s="33"/>
    </row>
    <row r="166" spans="1:11" ht="14.25" customHeight="1" x14ac:dyDescent="0.3">
      <c r="A166" s="21">
        <f t="shared" si="19"/>
        <v>46224</v>
      </c>
      <c r="B166" s="21"/>
      <c r="C166" s="22"/>
      <c r="D166" s="23"/>
      <c r="E166" s="24">
        <f t="shared" si="20"/>
        <v>0</v>
      </c>
      <c r="F166" t="str">
        <f>IF($C166="","",COUNTIF($C$2:$C166,$C166))</f>
        <v/>
      </c>
      <c r="H166" s="34" t="str">
        <f>H12</f>
        <v>Mikaela Sosa Fuentes</v>
      </c>
      <c r="I166" s="14"/>
      <c r="J166" s="14"/>
      <c r="K166" s="33"/>
    </row>
    <row r="167" spans="1:11" ht="14.25" customHeight="1" x14ac:dyDescent="0.3">
      <c r="A167" s="21">
        <f t="shared" si="19"/>
        <v>46224</v>
      </c>
      <c r="B167" s="21"/>
      <c r="C167" s="22"/>
      <c r="D167" s="23"/>
      <c r="E167" s="24">
        <f t="shared" si="20"/>
        <v>0</v>
      </c>
      <c r="F167" t="str">
        <f>IF($C167="","",COUNTIF($C$2:$C167,$C167))</f>
        <v/>
      </c>
      <c r="H167" s="35" t="s">
        <v>26</v>
      </c>
      <c r="I167" s="32">
        <f>IFERROR(SUMIF($C$2:$C$266,H166,$D$2:$D$266),0)</f>
        <v>23.45</v>
      </c>
      <c r="J167" s="14"/>
      <c r="K167" s="33"/>
    </row>
    <row r="168" spans="1:11" ht="14.25" customHeight="1" x14ac:dyDescent="0.3">
      <c r="A168" s="21">
        <f t="shared" si="19"/>
        <v>46224</v>
      </c>
      <c r="B168" s="21"/>
      <c r="C168" s="22"/>
      <c r="D168" s="23"/>
      <c r="E168" s="24">
        <f t="shared" si="20"/>
        <v>0</v>
      </c>
      <c r="F168" t="str">
        <f>IF($C168="","",COUNTIF($C$2:$C168,$C168))</f>
        <v/>
      </c>
      <c r="H168" s="35" t="s">
        <v>27</v>
      </c>
      <c r="I168" s="32">
        <f>IFERROR(SUMIF($C$2:$C$266,H166,$E$2:$E$266),0)</f>
        <v>213.50251473595063</v>
      </c>
      <c r="J168" s="14"/>
      <c r="K168" s="33"/>
    </row>
    <row r="169" spans="1:11" ht="14.25" customHeight="1" x14ac:dyDescent="0.3">
      <c r="A169" s="21">
        <f t="shared" si="19"/>
        <v>46224</v>
      </c>
      <c r="B169" s="21"/>
      <c r="C169" s="22"/>
      <c r="D169" s="23"/>
      <c r="E169" s="24">
        <f t="shared" si="20"/>
        <v>0</v>
      </c>
      <c r="F169" t="str">
        <f>IF($C169="","",COUNTIF($C$2:$C169,$C169))</f>
        <v/>
      </c>
      <c r="H169" s="18" t="s">
        <v>28</v>
      </c>
      <c r="I169" s="20" t="s">
        <v>15</v>
      </c>
      <c r="J169" s="20" t="s">
        <v>16</v>
      </c>
      <c r="K169" s="33"/>
    </row>
    <row r="170" spans="1:11" ht="15" customHeight="1" x14ac:dyDescent="0.3">
      <c r="C170" s="25" t="s">
        <v>24</v>
      </c>
      <c r="D170" s="26"/>
      <c r="E170" s="27">
        <f>SUM(E163:E169)</f>
        <v>189.75</v>
      </c>
      <c r="H170" s="37">
        <f>IF(SUMPRODUCT(($C$2:$C$266=$H$166)*($F$2:$F$266=1))=0,"No entries yet",INDEX($A$2:$A$266,SUMPRODUCT(($C$2:$C$266=$H$166)*($F$2:$F$266=1)*(ROW($C$2:$C$266)-ROW($C$2)+1))))</f>
        <v>46217</v>
      </c>
      <c r="I170" s="38">
        <f>IFERROR(IF(SUMPRODUCT(($C$2:$C$266=$H$166)*($F$2:$F$266=1))=0,"",INDEX($D$2:$D$266,SUMPRODUCT(($C$2:$C$266=$H$166)*($F$2:$F$266=1)*(ROW($C$2:$C$266)-ROW($C$2)+1)))),"")</f>
        <v>7.47</v>
      </c>
      <c r="J170" s="38">
        <f>IFERROR(IF(SUMPRODUCT(($C$2:$C$266=$H$166)*($F$2:$F$266=1))=0,"",INDEX($E$2:$E$266,SUMPRODUCT(($C$2:$C$266=$H$166)*($F$2:$F$266=1)*(ROW($C$2:$C$266)-ROW($C$2)+1)))),"")</f>
        <v>48.737002118644071</v>
      </c>
      <c r="K170" s="33"/>
    </row>
    <row r="171" spans="1:11" ht="15" customHeight="1" x14ac:dyDescent="0.3">
      <c r="H171" s="37">
        <f>IF(SUMPRODUCT(($C$2:$C$266=$H$166)*($F$2:$F$266=2))=0,"",INDEX($A$2:$A$266,SUMPRODUCT(($C$2:$C$266=$H$166)*($F$2:$F$266=2)*(ROW($C$2:$C$266)-ROW($C$2)+1))))</f>
        <v>46222</v>
      </c>
      <c r="I171" s="38">
        <f>IFERROR(IF(SUMPRODUCT(($C$2:$C$266=$H$166)*($F$2:$F$266=2))=0,"",INDEX($D$2:$D$266,SUMPRODUCT(($C$2:$C$266=$H$166)*($F$2:$F$266=2)*(ROW($C$2:$C$266)-ROW($C$2)+1)))),"")</f>
        <v>5.83</v>
      </c>
      <c r="J171" s="38">
        <f>IFERROR(IF(SUMPRODUCT(($C$2:$C$266=$H$166)*($F$2:$F$266=2))=0,"",INDEX($E$2:$E$266,SUMPRODUCT(($C$2:$C$266=$H$166)*($F$2:$F$266=2)*(ROW($C$2:$C$266)-ROW($C$2)+1)))),"")</f>
        <v>59.204745080500899</v>
      </c>
      <c r="K171" s="33"/>
    </row>
    <row r="172" spans="1:11" ht="15" customHeight="1" x14ac:dyDescent="0.3">
      <c r="C172" s="4">
        <v>46225</v>
      </c>
      <c r="D172" s="4"/>
      <c r="E172" s="4"/>
      <c r="H172" s="37">
        <f>IF(SUMPRODUCT(($C$2:$C$266=$H$166)*($F$2:$F$266=3))=0,"",INDEX($A$2:$A$266,SUMPRODUCT(($C$2:$C$266=$H$166)*($F$2:$F$266=3)*(ROW($C$2:$C$266)-ROW($C$2)+1))))</f>
        <v>46223</v>
      </c>
      <c r="I172" s="38">
        <f>IFERROR(IF(SUMPRODUCT(($C$2:$C$266=$H$166)*($F$2:$F$266=3))=0,"",INDEX($D$2:$D$266,SUMPRODUCT(($C$2:$C$266=$H$166)*($F$2:$F$266=3)*(ROW($C$2:$C$266)-ROW($C$2)+1)))),"")</f>
        <v>4.92</v>
      </c>
      <c r="J172" s="38">
        <f>IFERROR(IF(SUMPRODUCT(($C$2:$C$266=$H$166)*($F$2:$F$266=3))=0,"",INDEX($E$2:$E$266,SUMPRODUCT(($C$2:$C$266=$H$166)*($F$2:$F$266=3)*(ROW($C$2:$C$266)-ROW($C$2)+1)))),"")</f>
        <v>58.508496350364965</v>
      </c>
      <c r="K172" s="33"/>
    </row>
    <row r="173" spans="1:11" ht="15" customHeight="1" x14ac:dyDescent="0.3">
      <c r="C173" s="28"/>
      <c r="E173" s="29"/>
      <c r="H173" s="37">
        <f>IF(SUMPRODUCT(($C$2:$C$266=$H$166)*($F$2:$F$266=4))=0,"",INDEX($A$2:$A$266,SUMPRODUCT(($C$2:$C$266=$H$166)*($F$2:$F$266=4)*(ROW($C$2:$C$266)-ROW($C$2)+1))))</f>
        <v>46229</v>
      </c>
      <c r="I173" s="38">
        <f>IFERROR(IF(SUMPRODUCT(($C$2:$C$266=$H$166)*($F$2:$F$266=4))=0,"",INDEX($D$2:$D$266,SUMPRODUCT(($C$2:$C$266=$H$166)*($F$2:$F$266=4)*(ROW($C$2:$C$266)-ROW($C$2)+1)))),"")</f>
        <v>5.23</v>
      </c>
      <c r="J173" s="38">
        <f>IFERROR(IF(SUMPRODUCT(($C$2:$C$266=$H$166)*($F$2:$F$266=4))=0,"",INDEX($E$2:$E$266,SUMPRODUCT(($C$2:$C$266=$H$166)*($F$2:$F$266=4)*(ROW($C$2:$C$266)-ROW($C$2)+1)))),"")</f>
        <v>47.052271186440692</v>
      </c>
      <c r="K173" s="33"/>
    </row>
    <row r="174" spans="1:11" ht="14.25" customHeight="1" x14ac:dyDescent="0.3">
      <c r="C174" s="10" t="s">
        <v>5</v>
      </c>
      <c r="D174" s="11">
        <v>184.95</v>
      </c>
      <c r="E174" s="12"/>
      <c r="H174" s="37" t="str">
        <f>IF(SUMPRODUCT(($C$2:$C$266=$H$166)*($F$2:$F$266=5))=0,"",INDEX($A$2:$A$266,SUMPRODUCT(($C$2:$C$266=$H$166)*($F$2:$F$266=5)*(ROW($C$2:$C$266)-ROW($C$2)+1))))</f>
        <v/>
      </c>
      <c r="I174" s="38" t="str">
        <f>IFERROR(IF(SUMPRODUCT(($C$2:$C$266=$H$166)*($F$2:$F$266=5))=0,"",INDEX($D$2:$D$266,SUMPRODUCT(($C$2:$C$266=$H$166)*($F$2:$F$266=5)*(ROW($C$2:$C$266)-ROW($C$2)+1)))),"")</f>
        <v/>
      </c>
      <c r="J174" s="38" t="str">
        <f>IFERROR(IF(SUMPRODUCT(($C$2:$C$266=$H$166)*($F$2:$F$266=5))=0,"",INDEX($E$2:$E$266,SUMPRODUCT(($C$2:$C$266=$H$166)*($F$2:$F$266=5)*(ROW($C$2:$C$266)-ROW($C$2)+1)))),"")</f>
        <v/>
      </c>
      <c r="K174" s="33"/>
    </row>
    <row r="175" spans="1:11" ht="14.25" customHeight="1" x14ac:dyDescent="0.3">
      <c r="C175" s="10" t="s">
        <v>7</v>
      </c>
      <c r="D175" s="15"/>
      <c r="E175" s="16"/>
      <c r="H175" s="37" t="str">
        <f>IF(SUMPRODUCT(($C$2:$C$266=$H$166)*($F$2:$F$266=6))=0,"",INDEX($A$2:$A$266,SUMPRODUCT(($C$2:$C$266=$H$166)*($F$2:$F$266=6)*(ROW($C$2:$C$266)-ROW($C$2)+1))))</f>
        <v/>
      </c>
      <c r="I175" s="38" t="str">
        <f>IFERROR(IF(SUMPRODUCT(($C$2:$C$266=$H$166)*($F$2:$F$266=6))=0,"",INDEX($D$2:$D$266,SUMPRODUCT(($C$2:$C$266=$H$166)*($F$2:$F$266=6)*(ROW($C$2:$C$266)-ROW($C$2)+1)))),"")</f>
        <v/>
      </c>
      <c r="J175" s="38" t="str">
        <f>IFERROR(IF(SUMPRODUCT(($C$2:$C$266=$H$166)*($F$2:$F$266=6))=0,"",INDEX($E$2:$E$266,SUMPRODUCT(($C$2:$C$266=$H$166)*($F$2:$F$266=6)*(ROW($C$2:$C$266)-ROW($C$2)+1)))),"")</f>
        <v/>
      </c>
      <c r="K175" s="33"/>
    </row>
    <row r="176" spans="1:11" ht="14.25" customHeight="1" x14ac:dyDescent="0.3">
      <c r="C176" s="10" t="s">
        <v>9</v>
      </c>
      <c r="D176" s="10"/>
      <c r="E176" s="12"/>
      <c r="H176" s="37" t="str">
        <f>IF(SUMPRODUCT(($C$2:$C$266=$H$166)*($F$2:$F$266=7))=0,"",INDEX($A$2:$A$266,SUMPRODUCT(($C$2:$C$266=$H$166)*($F$2:$F$266=7)*(ROW($C$2:$C$266)-ROW($C$2)+1))))</f>
        <v/>
      </c>
      <c r="I176" s="38" t="str">
        <f>IFERROR(IF(SUMPRODUCT(($C$2:$C$266=$H$166)*($F$2:$F$266=7))=0,"",INDEX($D$2:$D$266,SUMPRODUCT(($C$2:$C$266=$H$166)*($F$2:$F$266=7)*(ROW($C$2:$C$266)-ROW($C$2)+1)))),"")</f>
        <v/>
      </c>
      <c r="J176" s="38" t="str">
        <f>IFERROR(IF(SUMPRODUCT(($C$2:$C$266=$H$166)*($F$2:$F$266=7))=0,"",INDEX($E$2:$E$266,SUMPRODUCT(($C$2:$C$266=$H$166)*($F$2:$F$266=7)*(ROW($C$2:$C$266)-ROW($C$2)+1)))),"")</f>
        <v/>
      </c>
      <c r="K176" s="33"/>
    </row>
    <row r="177" spans="1:11" ht="14.25" customHeight="1" x14ac:dyDescent="0.3">
      <c r="C177" s="10" t="s">
        <v>2</v>
      </c>
      <c r="D177" s="17">
        <f>SUM(D174:D176)</f>
        <v>184.95</v>
      </c>
      <c r="E177" s="12"/>
      <c r="H177" s="37" t="str">
        <f>IF(SUMPRODUCT(($C$2:$C$266=$H$166)*($F$2:$F$266=8))=0,"",INDEX($A$2:$A$266,SUMPRODUCT(($C$2:$C$266=$H$166)*($F$2:$F$266=8)*(ROW($C$2:$C$266)-ROW($C$2)+1))))</f>
        <v/>
      </c>
      <c r="I177" s="38" t="str">
        <f>IFERROR(IF(SUMPRODUCT(($C$2:$C$266=$H$166)*($F$2:$F$266=8))=0,"",INDEX($D$2:$D$266,SUMPRODUCT(($C$2:$C$266=$H$166)*($F$2:$F$266=8)*(ROW($C$2:$C$266)-ROW($C$2)+1)))),"")</f>
        <v/>
      </c>
      <c r="J177" s="38" t="str">
        <f>IFERROR(IF(SUMPRODUCT(($C$2:$C$266=$H$166)*($F$2:$F$266=8))=0,"",INDEX($E$2:$E$266,SUMPRODUCT(($C$2:$C$266=$H$166)*($F$2:$F$266=8)*(ROW($C$2:$C$266)-ROW($C$2)+1)))),"")</f>
        <v/>
      </c>
      <c r="K177" s="33"/>
    </row>
    <row r="178" spans="1:11" ht="14.25" customHeight="1" x14ac:dyDescent="0.3">
      <c r="C178" s="10" t="s">
        <v>3</v>
      </c>
      <c r="D178" s="10">
        <f>SUM(D182:D188)</f>
        <v>15.08</v>
      </c>
      <c r="E178" s="12"/>
      <c r="H178" s="37" t="str">
        <f>IF(SUMPRODUCT(($C$2:$C$266=$H$166)*($F$2:$F$266=9))=0,"",INDEX($A$2:$A$266,SUMPRODUCT(($C$2:$C$266=$H$166)*($F$2:$F$266=9)*(ROW($C$2:$C$266)-ROW($C$2)+1))))</f>
        <v/>
      </c>
      <c r="I178" s="38" t="str">
        <f>IFERROR(IF(SUMPRODUCT(($C$2:$C$266=$H$166)*($F$2:$F$266=9))=0,"",INDEX($D$2:$D$266,SUMPRODUCT(($C$2:$C$266=$H$166)*($F$2:$F$266=9)*(ROW($C$2:$C$266)-ROW($C$2)+1)))),"")</f>
        <v/>
      </c>
      <c r="J178" s="38" t="str">
        <f>IFERROR(IF(SUMPRODUCT(($C$2:$C$266=$H$166)*($F$2:$F$266=9))=0,"",INDEX($E$2:$E$266,SUMPRODUCT(($C$2:$C$266=$H$166)*($F$2:$F$266=9)*(ROW($C$2:$C$266)-ROW($C$2)+1)))),"")</f>
        <v/>
      </c>
      <c r="K178" s="33"/>
    </row>
    <row r="179" spans="1:11" ht="14.25" customHeight="1" x14ac:dyDescent="0.3">
      <c r="C179" s="10" t="s">
        <v>13</v>
      </c>
      <c r="D179" s="17">
        <f>D177/D178</f>
        <v>12.264588859416445</v>
      </c>
      <c r="E179" s="12"/>
      <c r="H179" s="37" t="str">
        <f>IF(SUMPRODUCT(($C$2:$C$266=$H$166)*($F$2:$F$266=10))=0,"",INDEX($A$2:$A$266,SUMPRODUCT(($C$2:$C$266=$H$166)*($F$2:$F$266=10)*(ROW($C$2:$C$266)-ROW($C$2)+1))))</f>
        <v/>
      </c>
      <c r="I179" s="38" t="str">
        <f>IFERROR(IF(SUMPRODUCT(($C$2:$C$266=$H$166)*($F$2:$F$266=10))=0,"",INDEX($D$2:$D$266,SUMPRODUCT(($C$2:$C$266=$H$166)*($F$2:$F$266=10)*(ROW($C$2:$C$266)-ROW($C$2)+1)))),"")</f>
        <v/>
      </c>
      <c r="J179" s="38" t="str">
        <f>IFERROR(IF(SUMPRODUCT(($C$2:$C$266=$H$166)*($F$2:$F$266=10))=0,"",INDEX($E$2:$E$266,SUMPRODUCT(($C$2:$C$266=$H$166)*($F$2:$F$266=10)*(ROW($C$2:$C$266)-ROW($C$2)+1)))),"")</f>
        <v/>
      </c>
      <c r="K179" s="33"/>
    </row>
    <row r="180" spans="1:11" ht="14.25" customHeight="1" x14ac:dyDescent="0.3">
      <c r="C180" s="12"/>
      <c r="D180" s="36"/>
      <c r="E180" s="12"/>
      <c r="H180" s="37" t="str">
        <f>IF(SUMPRODUCT(($C$2:$C$266=$H$166)*($F$2:$F$266=11))=0,"",INDEX($A$2:$A$266,SUMPRODUCT(($C$2:$C$266=$H$166)*($F$2:$F$266=11)*(ROW($C$2:$C$266)-ROW($C$2)+1))))</f>
        <v/>
      </c>
      <c r="I180" s="38" t="str">
        <f>IFERROR(IF(SUMPRODUCT(($C$2:$C$266=$H$166)*($F$2:$F$266=11))=0,"",INDEX($D$2:$D$266,SUMPRODUCT(($C$2:$C$266=$H$166)*($F$2:$F$266=11)*(ROW($C$2:$C$266)-ROW($C$2)+1)))),"")</f>
        <v/>
      </c>
      <c r="J180" s="38" t="str">
        <f>IFERROR(IF(SUMPRODUCT(($C$2:$C$266=$H$166)*($F$2:$F$266=11))=0,"",INDEX($E$2:$E$266,SUMPRODUCT(($C$2:$C$266=$H$166)*($F$2:$F$266=11)*(ROW($C$2:$C$266)-ROW($C$2)+1)))),"")</f>
        <v/>
      </c>
      <c r="K180" s="33"/>
    </row>
    <row r="181" spans="1:11" ht="15" customHeight="1" x14ac:dyDescent="0.3">
      <c r="C181" s="18" t="s">
        <v>1</v>
      </c>
      <c r="D181" s="20" t="s">
        <v>15</v>
      </c>
      <c r="E181" s="20" t="s">
        <v>16</v>
      </c>
      <c r="H181" s="37" t="str">
        <f>IF(SUMPRODUCT(($C$2:$C$266=$H$166)*($F$2:$F$266=12))=0,"",INDEX($A$2:$A$266,SUMPRODUCT(($C$2:$C$266=$H$166)*($F$2:$F$266=12)*(ROW($C$2:$C$266)-ROW($C$2)+1))))</f>
        <v/>
      </c>
      <c r="I181" s="38" t="str">
        <f>IFERROR(IF(SUMPRODUCT(($C$2:$C$266=$H$166)*($F$2:$F$266=12))=0,"",INDEX($D$2:$D$266,SUMPRODUCT(($C$2:$C$266=$H$166)*($F$2:$F$266=12)*(ROW($C$2:$C$266)-ROW($C$2)+1)))),"")</f>
        <v/>
      </c>
      <c r="J181" s="38" t="str">
        <f>IFERROR(IF(SUMPRODUCT(($C$2:$C$266=$H$166)*($F$2:$F$266=12))=0,"",INDEX($E$2:$E$266,SUMPRODUCT(($C$2:$C$266=$H$166)*($F$2:$F$266=12)*(ROW($C$2:$C$266)-ROW($C$2)+1)))),"")</f>
        <v/>
      </c>
      <c r="K181" s="33"/>
    </row>
    <row r="182" spans="1:11" ht="14.25" customHeight="1" x14ac:dyDescent="0.3">
      <c r="A182" s="21">
        <f t="shared" ref="A182:A188" si="21">$C$172</f>
        <v>46225</v>
      </c>
      <c r="B182" s="21"/>
      <c r="C182" s="22" t="s">
        <v>6</v>
      </c>
      <c r="D182" s="23">
        <v>5</v>
      </c>
      <c r="E182" s="24">
        <f t="shared" ref="E182:E188" si="22">D182*$D$179</f>
        <v>61.32294429708223</v>
      </c>
      <c r="F182">
        <f>IF($C182="","",COUNTIF($C$2:$C182,$C182))</f>
        <v>3</v>
      </c>
      <c r="H182" s="37" t="str">
        <f>IF(SUMPRODUCT(($C$2:$C$266=$H$166)*($F$2:$F$266=13))=0,"",INDEX($A$2:$A$266,SUMPRODUCT(($C$2:$C$266=$H$166)*($F$2:$F$266=13)*(ROW($C$2:$C$266)-ROW($C$2)+1))))</f>
        <v/>
      </c>
      <c r="I182" s="38" t="str">
        <f>IFERROR(IF(SUMPRODUCT(($C$2:$C$266=$H$166)*($F$2:$F$266=13))=0,"",INDEX($D$2:$D$266,SUMPRODUCT(($C$2:$C$266=$H$166)*($F$2:$F$266=13)*(ROW($C$2:$C$266)-ROW($C$2)+1)))),"")</f>
        <v/>
      </c>
      <c r="J182" s="38" t="str">
        <f>IFERROR(IF(SUMPRODUCT(($C$2:$C$266=$H$166)*($F$2:$F$266=13))=0,"",INDEX($E$2:$E$266,SUMPRODUCT(($C$2:$C$266=$H$166)*($F$2:$F$266=13)*(ROW($C$2:$C$266)-ROW($C$2)+1)))),"")</f>
        <v/>
      </c>
      <c r="K182" s="33"/>
    </row>
    <row r="183" spans="1:11" ht="14.25" customHeight="1" x14ac:dyDescent="0.3">
      <c r="A183" s="21">
        <f t="shared" si="21"/>
        <v>46225</v>
      </c>
      <c r="B183" s="21"/>
      <c r="C183" s="22" t="s">
        <v>14</v>
      </c>
      <c r="D183" s="23">
        <v>4.08</v>
      </c>
      <c r="E183" s="24">
        <f t="shared" si="22"/>
        <v>50.0395225464191</v>
      </c>
      <c r="F183">
        <f>IF($C183="","",COUNTIF($C$2:$C183,$C183))</f>
        <v>5</v>
      </c>
      <c r="H183" s="37" t="str">
        <f>IF(SUMPRODUCT(($C$2:$C$266=$H$166)*($F$2:$F$266=14))=0,"",INDEX($A$2:$A$266,SUMPRODUCT(($C$2:$C$266=$H$166)*($F$2:$F$266=14)*(ROW($C$2:$C$266)-ROW($C$2)+1))))</f>
        <v/>
      </c>
      <c r="I183" s="38" t="str">
        <f>IFERROR(IF(SUMPRODUCT(($C$2:$C$266=$H$166)*($F$2:$F$266=14))=0,"",INDEX($D$2:$D$266,SUMPRODUCT(($C$2:$C$266=$H$166)*($F$2:$F$266=14)*(ROW($C$2:$C$266)-ROW($C$2)+1)))),"")</f>
        <v/>
      </c>
      <c r="J183" s="38" t="str">
        <f>IFERROR(IF(SUMPRODUCT(($C$2:$C$266=$H$166)*($F$2:$F$266=14))=0,"",INDEX($E$2:$E$266,SUMPRODUCT(($C$2:$C$266=$H$166)*($F$2:$F$266=14)*(ROW($C$2:$C$266)-ROW($C$2)+1)))),"")</f>
        <v/>
      </c>
      <c r="K183" s="33"/>
    </row>
    <row r="184" spans="1:11" ht="14.25" customHeight="1" x14ac:dyDescent="0.3">
      <c r="A184" s="21">
        <f t="shared" si="21"/>
        <v>46225</v>
      </c>
      <c r="B184" s="21"/>
      <c r="C184" s="22" t="s">
        <v>12</v>
      </c>
      <c r="D184" s="23">
        <v>6</v>
      </c>
      <c r="E184" s="24">
        <f t="shared" si="22"/>
        <v>73.587533156498665</v>
      </c>
      <c r="F184">
        <f>IF($C184="","",COUNTIF($C$2:$C184,$C184))</f>
        <v>5</v>
      </c>
      <c r="H184" s="37" t="str">
        <f>IF(SUMPRODUCT(($C$2:$C$266=$H$166)*($F$2:$F$266=15))=0,"",INDEX($A$2:$A$266,SUMPRODUCT(($C$2:$C$266=$H$166)*($F$2:$F$266=15)*(ROW($C$2:$C$266)-ROW($C$2)+1))))</f>
        <v/>
      </c>
      <c r="I184" s="38" t="str">
        <f>IFERROR(IF(SUMPRODUCT(($C$2:$C$266=$H$166)*($F$2:$F$266=15))=0,"",INDEX($D$2:$D$266,SUMPRODUCT(($C$2:$C$266=$H$166)*($F$2:$F$266=15)*(ROW($C$2:$C$266)-ROW($C$2)+1)))),"")</f>
        <v/>
      </c>
      <c r="J184" s="38" t="str">
        <f>IFERROR(IF(SUMPRODUCT(($C$2:$C$266=$H$166)*($F$2:$F$266=15))=0,"",INDEX($E$2:$E$266,SUMPRODUCT(($C$2:$C$266=$H$166)*($F$2:$F$266=15)*(ROW($C$2:$C$266)-ROW($C$2)+1)))),"")</f>
        <v/>
      </c>
      <c r="K184" s="33"/>
    </row>
    <row r="185" spans="1:11" ht="14.25" customHeight="1" x14ac:dyDescent="0.3">
      <c r="A185" s="21">
        <f t="shared" si="21"/>
        <v>46225</v>
      </c>
      <c r="B185" s="21"/>
      <c r="C185" s="22"/>
      <c r="D185" s="23"/>
      <c r="E185" s="24">
        <f t="shared" si="22"/>
        <v>0</v>
      </c>
      <c r="F185" t="str">
        <f>IF($C185="","",COUNTIF($C$2:$C185,$C185))</f>
        <v/>
      </c>
      <c r="H185" s="37" t="str">
        <f>IF(SUMPRODUCT(($C$2:$C$266=$H$166)*($F$2:$F$266=16))=0,"",INDEX($A$2:$A$266,SUMPRODUCT(($C$2:$C$266=$H$166)*($F$2:$F$266=16)*(ROW($C$2:$C$266)-ROW($C$2)+1))))</f>
        <v/>
      </c>
      <c r="I185" s="38" t="str">
        <f>IFERROR(IF(SUMPRODUCT(($C$2:$C$266=$H$166)*($F$2:$F$266=16))=0,"",INDEX($D$2:$D$266,SUMPRODUCT(($C$2:$C$266=$H$166)*($F$2:$F$266=16)*(ROW($C$2:$C$266)-ROW($C$2)+1)))),"")</f>
        <v/>
      </c>
      <c r="J185" s="38" t="str">
        <f>IFERROR(IF(SUMPRODUCT(($C$2:$C$266=$H$166)*($F$2:$F$266=16))=0,"",INDEX($E$2:$E$266,SUMPRODUCT(($C$2:$C$266=$H$166)*($F$2:$F$266=16)*(ROW($C$2:$C$266)-ROW($C$2)+1)))),"")</f>
        <v/>
      </c>
      <c r="K185" s="33"/>
    </row>
    <row r="186" spans="1:11" ht="14.25" customHeight="1" x14ac:dyDescent="0.3">
      <c r="A186" s="21">
        <f t="shared" si="21"/>
        <v>46225</v>
      </c>
      <c r="B186" s="21"/>
      <c r="C186" s="22"/>
      <c r="D186" s="23"/>
      <c r="E186" s="24">
        <f t="shared" si="22"/>
        <v>0</v>
      </c>
      <c r="F186" t="str">
        <f>IF($C186="","",COUNTIF($C$2:$C186,$C186))</f>
        <v/>
      </c>
      <c r="H186" s="34" t="str">
        <f>H14</f>
        <v>Sally Rodriguez</v>
      </c>
      <c r="I186" s="14"/>
      <c r="J186" s="14"/>
      <c r="K186" s="33"/>
    </row>
    <row r="187" spans="1:11" ht="14.25" customHeight="1" x14ac:dyDescent="0.3">
      <c r="A187" s="21">
        <f t="shared" si="21"/>
        <v>46225</v>
      </c>
      <c r="B187" s="21"/>
      <c r="C187" s="22"/>
      <c r="D187" s="23"/>
      <c r="E187" s="24">
        <f t="shared" si="22"/>
        <v>0</v>
      </c>
      <c r="F187" t="str">
        <f>IF($C187="","",COUNTIF($C$2:$C187,$C187))</f>
        <v/>
      </c>
      <c r="H187" s="35" t="s">
        <v>26</v>
      </c>
      <c r="I187" s="32">
        <f>IFERROR(SUMIF($C$2:$C$266,H186,$D$2:$D$266),0)</f>
        <v>42.01</v>
      </c>
      <c r="J187" s="14"/>
      <c r="K187" s="33"/>
    </row>
    <row r="188" spans="1:11" ht="14.25" customHeight="1" x14ac:dyDescent="0.3">
      <c r="A188" s="21">
        <f t="shared" si="21"/>
        <v>46225</v>
      </c>
      <c r="B188" s="21"/>
      <c r="C188" s="22"/>
      <c r="D188" s="23"/>
      <c r="E188" s="24">
        <f t="shared" si="22"/>
        <v>0</v>
      </c>
      <c r="F188" t="str">
        <f>IF($C188="","",COUNTIF($C$2:$C188,$C188))</f>
        <v/>
      </c>
      <c r="H188" s="35" t="s">
        <v>27</v>
      </c>
      <c r="I188" s="32">
        <f>IFERROR(SUMIF($C$2:$C$266,H186,$E$2:$E$266),0)</f>
        <v>546.11253492778667</v>
      </c>
      <c r="J188" s="14"/>
      <c r="K188" s="33"/>
    </row>
    <row r="189" spans="1:11" ht="15" customHeight="1" x14ac:dyDescent="0.3">
      <c r="C189" s="25" t="s">
        <v>24</v>
      </c>
      <c r="D189" s="26"/>
      <c r="E189" s="27">
        <f>SUM(E182:E188)</f>
        <v>184.95</v>
      </c>
      <c r="H189" s="18" t="s">
        <v>28</v>
      </c>
      <c r="I189" s="20" t="s">
        <v>15</v>
      </c>
      <c r="J189" s="20" t="s">
        <v>16</v>
      </c>
      <c r="K189" s="33"/>
    </row>
    <row r="190" spans="1:11" ht="15" customHeight="1" x14ac:dyDescent="0.3">
      <c r="H190" s="37">
        <f>IF(SUMPRODUCT(($C$2:$C$266=$H$186)*($F$2:$F$266=1))=0,"No entries yet",INDEX($A$2:$A$266,SUMPRODUCT(($C$2:$C$266=$H$186)*($F$2:$F$266=1)*(ROW($C$2:$C$266)-ROW($C$2)+1))))</f>
        <v>46219</v>
      </c>
      <c r="I190" s="38">
        <f>IFERROR(IF(SUMPRODUCT(($C$2:$C$266=$H$186)*($F$2:$F$266=1))=0,"",INDEX($D$2:$D$266,SUMPRODUCT(($C$2:$C$266=$H$186)*($F$2:$F$266=1)*(ROW($C$2:$C$266)-ROW($C$2)+1)))),"")</f>
        <v>6</v>
      </c>
      <c r="J190" s="38">
        <f>IFERROR(IF(SUMPRODUCT(($C$2:$C$266=$H$186)*($F$2:$F$266=1))=0,"",INDEX($E$2:$E$266,SUMPRODUCT(($C$2:$C$266=$H$186)*($F$2:$F$266=1)*(ROW($C$2:$C$266)-ROW($C$2)+1)))),"")</f>
        <v>65.123795404002948</v>
      </c>
      <c r="K190" s="33"/>
    </row>
    <row r="191" spans="1:11" ht="15" customHeight="1" x14ac:dyDescent="0.3">
      <c r="C191" s="4">
        <v>46226</v>
      </c>
      <c r="D191" s="4"/>
      <c r="E191" s="4"/>
      <c r="H191" s="37">
        <f>IF(SUMPRODUCT(($C$2:$C$266=$H$186)*($F$2:$F$266=2))=0,"",INDEX($A$2:$A$266,SUMPRODUCT(($C$2:$C$266=$H$186)*($F$2:$F$266=2)*(ROW($C$2:$C$266)-ROW($C$2)+1))))</f>
        <v>46220</v>
      </c>
      <c r="I191" s="38">
        <f>IFERROR(IF(SUMPRODUCT(($C$2:$C$266=$H$186)*($F$2:$F$266=2))=0,"",INDEX($D$2:$D$266,SUMPRODUCT(($C$2:$C$266=$H$186)*($F$2:$F$266=2)*(ROW($C$2:$C$266)-ROW($C$2)+1)))),"")</f>
        <v>6</v>
      </c>
      <c r="J191" s="38">
        <f>IFERROR(IF(SUMPRODUCT(($C$2:$C$266=$H$186)*($F$2:$F$266=2))=0,"",INDEX($E$2:$E$266,SUMPRODUCT(($C$2:$C$266=$H$186)*($F$2:$F$266=2)*(ROW($C$2:$C$266)-ROW($C$2)+1)))),"")</f>
        <v>69.877845641310387</v>
      </c>
      <c r="K191" s="33"/>
    </row>
    <row r="192" spans="1:11" ht="15" customHeight="1" x14ac:dyDescent="0.3">
      <c r="C192" s="28"/>
      <c r="E192" s="29"/>
      <c r="H192" s="37">
        <f>IF(SUMPRODUCT(($C$2:$C$266=$H$186)*($F$2:$F$266=3))=0,"",INDEX($A$2:$A$266,SUMPRODUCT(($C$2:$C$266=$H$186)*($F$2:$F$266=3)*(ROW($C$2:$C$266)-ROW($C$2)+1))))</f>
        <v>46221</v>
      </c>
      <c r="I192" s="38">
        <f>IFERROR(IF(SUMPRODUCT(($C$2:$C$266=$H$186)*($F$2:$F$266=3))=0,"",INDEX($D$2:$D$266,SUMPRODUCT(($C$2:$C$266=$H$186)*($F$2:$F$266=3)*(ROW($C$2:$C$266)-ROW($C$2)+1)))),"")</f>
        <v>6</v>
      </c>
      <c r="J192" s="38">
        <f>IFERROR(IF(SUMPRODUCT(($C$2:$C$266=$H$186)*($F$2:$F$266=3))=0,"",INDEX($E$2:$E$266,SUMPRODUCT(($C$2:$C$266=$H$186)*($F$2:$F$266=3)*(ROW($C$2:$C$266)-ROW($C$2)+1)))),"")</f>
        <v>86.557794273594908</v>
      </c>
      <c r="K192" s="33"/>
    </row>
    <row r="193" spans="1:11" ht="14.25" customHeight="1" x14ac:dyDescent="0.3">
      <c r="C193" s="10" t="s">
        <v>5</v>
      </c>
      <c r="D193" s="11">
        <v>160.11000000000001</v>
      </c>
      <c r="E193" s="12"/>
      <c r="H193" s="37">
        <f>IF(SUMPRODUCT(($C$2:$C$266=$H$186)*($F$2:$F$266=4))=0,"",INDEX($A$2:$A$266,SUMPRODUCT(($C$2:$C$266=$H$186)*($F$2:$F$266=4)*(ROW($C$2:$C$266)-ROW($C$2)+1))))</f>
        <v>46222</v>
      </c>
      <c r="I193" s="38">
        <f>IFERROR(IF(SUMPRODUCT(($C$2:$C$266=$H$186)*($F$2:$F$266=4))=0,"",INDEX($D$2:$D$266,SUMPRODUCT(($C$2:$C$266=$H$186)*($F$2:$F$266=4)*(ROW($C$2:$C$266)-ROW($C$2)+1)))),"")</f>
        <v>6</v>
      </c>
      <c r="J193" s="38">
        <f>IFERROR(IF(SUMPRODUCT(($C$2:$C$266=$H$186)*($F$2:$F$266=4))=0,"",INDEX($E$2:$E$266,SUMPRODUCT(($C$2:$C$266=$H$186)*($F$2:$F$266=4)*(ROW($C$2:$C$266)-ROW($C$2)+1)))),"")</f>
        <v>60.931127012522367</v>
      </c>
      <c r="K193" s="33"/>
    </row>
    <row r="194" spans="1:11" ht="14.25" customHeight="1" x14ac:dyDescent="0.3">
      <c r="C194" s="10" t="s">
        <v>7</v>
      </c>
      <c r="D194" s="15"/>
      <c r="E194" s="16"/>
      <c r="H194" s="37">
        <f>IF(SUMPRODUCT(($C$2:$C$266=$H$186)*($F$2:$F$266=5))=0,"",INDEX($A$2:$A$266,SUMPRODUCT(($C$2:$C$266=$H$186)*($F$2:$F$266=5)*(ROW($C$2:$C$266)-ROW($C$2)+1))))</f>
        <v>46224</v>
      </c>
      <c r="I194" s="38">
        <f>IFERROR(IF(SUMPRODUCT(($C$2:$C$266=$H$186)*($F$2:$F$266=5))=0,"",INDEX($D$2:$D$266,SUMPRODUCT(($C$2:$C$266=$H$186)*($F$2:$F$266=5)*(ROW($C$2:$C$266)-ROW($C$2)+1)))),"")</f>
        <v>6</v>
      </c>
      <c r="J194" s="38">
        <f>IFERROR(IF(SUMPRODUCT(($C$2:$C$266=$H$186)*($F$2:$F$266=5))=0,"",INDEX($E$2:$E$266,SUMPRODUCT(($C$2:$C$266=$H$186)*($F$2:$F$266=5)*(ROW($C$2:$C$266)-ROW($C$2)+1)))),"")</f>
        <v>113.73626373626374</v>
      </c>
      <c r="K194" s="33"/>
    </row>
    <row r="195" spans="1:11" ht="14.25" customHeight="1" x14ac:dyDescent="0.3">
      <c r="C195" s="10" t="s">
        <v>9</v>
      </c>
      <c r="D195" s="10"/>
      <c r="E195" s="12"/>
      <c r="H195" s="37">
        <f>IF(SUMPRODUCT(($C$2:$C$266=$H$186)*($F$2:$F$266=6))=0,"",INDEX($A$2:$A$266,SUMPRODUCT(($C$2:$C$266=$H$186)*($F$2:$F$266=6)*(ROW($C$2:$C$266)-ROW($C$2)+1))))</f>
        <v>46228</v>
      </c>
      <c r="I195" s="38">
        <f>IFERROR(IF(SUMPRODUCT(($C$2:$C$266=$H$186)*($F$2:$F$266=6))=0,"",INDEX($D$2:$D$266,SUMPRODUCT(($C$2:$C$266=$H$186)*($F$2:$F$266=6)*(ROW($C$2:$C$266)-ROW($C$2)+1)))),"")</f>
        <v>6</v>
      </c>
      <c r="J195" s="38">
        <f>IFERROR(IF(SUMPRODUCT(($C$2:$C$266=$H$186)*($F$2:$F$266=6))=0,"",INDEX($E$2:$E$266,SUMPRODUCT(($C$2:$C$266=$H$186)*($F$2:$F$266=6)*(ROW($C$2:$C$266)-ROW($C$2)+1)))),"")</f>
        <v>95.816081741448272</v>
      </c>
      <c r="K195" s="33"/>
    </row>
    <row r="196" spans="1:11" ht="14.25" customHeight="1" x14ac:dyDescent="0.3">
      <c r="C196" s="10" t="s">
        <v>2</v>
      </c>
      <c r="D196" s="17">
        <f>SUM(D193:D195)</f>
        <v>160.11000000000001</v>
      </c>
      <c r="E196" s="12"/>
      <c r="H196" s="37">
        <f>IF(SUMPRODUCT(($C$2:$C$266=$H$186)*($F$2:$F$266=7))=0,"",INDEX($A$2:$A$266,SUMPRODUCT(($C$2:$C$266=$H$186)*($F$2:$F$266=7)*(ROW($C$2:$C$266)-ROW($C$2)+1))))</f>
        <v>46229</v>
      </c>
      <c r="I196" s="38">
        <f>IFERROR(IF(SUMPRODUCT(($C$2:$C$266=$H$186)*($F$2:$F$266=7))=0,"",INDEX($D$2:$D$266,SUMPRODUCT(($C$2:$C$266=$H$186)*($F$2:$F$266=7)*(ROW($C$2:$C$266)-ROW($C$2)+1)))),"")</f>
        <v>6.01</v>
      </c>
      <c r="J196" s="38">
        <f>IFERROR(IF(SUMPRODUCT(($C$2:$C$266=$H$186)*($F$2:$F$266=7))=0,"",INDEX($E$2:$E$266,SUMPRODUCT(($C$2:$C$266=$H$186)*($F$2:$F$266=7)*(ROW($C$2:$C$266)-ROW($C$2)+1)))),"")</f>
        <v>54.069627118644078</v>
      </c>
      <c r="K196" s="33"/>
    </row>
    <row r="197" spans="1:11" ht="14.25" customHeight="1" x14ac:dyDescent="0.3">
      <c r="C197" s="10" t="s">
        <v>3</v>
      </c>
      <c r="D197" s="10">
        <f>SUM(D201:D207)</f>
        <v>15.24</v>
      </c>
      <c r="E197" s="12"/>
      <c r="H197" s="37" t="str">
        <f>IF(SUMPRODUCT(($C$2:$C$266=$H$186)*($F$2:$F$266=8))=0,"",INDEX($A$2:$A$266,SUMPRODUCT(($C$2:$C$266=$H$186)*($F$2:$F$266=8)*(ROW($C$2:$C$266)-ROW($C$2)+1))))</f>
        <v/>
      </c>
      <c r="I197" s="38" t="str">
        <f>IFERROR(IF(SUMPRODUCT(($C$2:$C$266=$H$186)*($F$2:$F$266=8))=0,"",INDEX($D$2:$D$266,SUMPRODUCT(($C$2:$C$266=$H$186)*($F$2:$F$266=8)*(ROW($C$2:$C$266)-ROW($C$2)+1)))),"")</f>
        <v/>
      </c>
      <c r="J197" s="38" t="str">
        <f>IFERROR(IF(SUMPRODUCT(($C$2:$C$266=$H$186)*($F$2:$F$266=8))=0,"",INDEX($E$2:$E$266,SUMPRODUCT(($C$2:$C$266=$H$186)*($F$2:$F$266=8)*(ROW($C$2:$C$266)-ROW($C$2)+1)))),"")</f>
        <v/>
      </c>
      <c r="K197" s="33"/>
    </row>
    <row r="198" spans="1:11" ht="14.25" customHeight="1" x14ac:dyDescent="0.3">
      <c r="C198" s="10" t="s">
        <v>13</v>
      </c>
      <c r="D198" s="17">
        <f>D196/D197</f>
        <v>10.505905511811024</v>
      </c>
      <c r="E198" s="12"/>
      <c r="H198" s="37" t="str">
        <f>IF(SUMPRODUCT(($C$2:$C$266=$H$186)*($F$2:$F$266=9))=0,"",INDEX($A$2:$A$266,SUMPRODUCT(($C$2:$C$266=$H$186)*($F$2:$F$266=9)*(ROW($C$2:$C$266)-ROW($C$2)+1))))</f>
        <v/>
      </c>
      <c r="I198" s="38" t="str">
        <f>IFERROR(IF(SUMPRODUCT(($C$2:$C$266=$H$186)*($F$2:$F$266=9))=0,"",INDEX($D$2:$D$266,SUMPRODUCT(($C$2:$C$266=$H$186)*($F$2:$F$266=9)*(ROW($C$2:$C$266)-ROW($C$2)+1)))),"")</f>
        <v/>
      </c>
      <c r="J198" s="38" t="str">
        <f>IFERROR(IF(SUMPRODUCT(($C$2:$C$266=$H$186)*($F$2:$F$266=9))=0,"",INDEX($E$2:$E$266,SUMPRODUCT(($C$2:$C$266=$H$186)*($F$2:$F$266=9)*(ROW($C$2:$C$266)-ROW($C$2)+1)))),"")</f>
        <v/>
      </c>
      <c r="K198" s="33"/>
    </row>
    <row r="199" spans="1:11" ht="14.25" customHeight="1" x14ac:dyDescent="0.3">
      <c r="C199" s="12"/>
      <c r="D199" s="36"/>
      <c r="E199" s="12"/>
      <c r="H199" s="37" t="str">
        <f>IF(SUMPRODUCT(($C$2:$C$266=$H$186)*($F$2:$F$266=10))=0,"",INDEX($A$2:$A$266,SUMPRODUCT(($C$2:$C$266=$H$186)*($F$2:$F$266=10)*(ROW($C$2:$C$266)-ROW($C$2)+1))))</f>
        <v/>
      </c>
      <c r="I199" s="38" t="str">
        <f>IFERROR(IF(SUMPRODUCT(($C$2:$C$266=$H$186)*($F$2:$F$266=10))=0,"",INDEX($D$2:$D$266,SUMPRODUCT(($C$2:$C$266=$H$186)*($F$2:$F$266=10)*(ROW($C$2:$C$266)-ROW($C$2)+1)))),"")</f>
        <v/>
      </c>
      <c r="J199" s="38" t="str">
        <f>IFERROR(IF(SUMPRODUCT(($C$2:$C$266=$H$186)*($F$2:$F$266=10))=0,"",INDEX($E$2:$E$266,SUMPRODUCT(($C$2:$C$266=$H$186)*($F$2:$F$266=10)*(ROW($C$2:$C$266)-ROW($C$2)+1)))),"")</f>
        <v/>
      </c>
      <c r="K199" s="33"/>
    </row>
    <row r="200" spans="1:11" ht="15" customHeight="1" x14ac:dyDescent="0.3">
      <c r="C200" s="18" t="s">
        <v>1</v>
      </c>
      <c r="D200" s="20" t="s">
        <v>15</v>
      </c>
      <c r="E200" s="20" t="s">
        <v>16</v>
      </c>
      <c r="H200" s="37" t="str">
        <f>IF(SUMPRODUCT(($C$2:$C$266=$H$186)*($F$2:$F$266=11))=0,"",INDEX($A$2:$A$266,SUMPRODUCT(($C$2:$C$266=$H$186)*($F$2:$F$266=11)*(ROW($C$2:$C$266)-ROW($C$2)+1))))</f>
        <v/>
      </c>
      <c r="I200" s="38" t="str">
        <f>IFERROR(IF(SUMPRODUCT(($C$2:$C$266=$H$186)*($F$2:$F$266=11))=0,"",INDEX($D$2:$D$266,SUMPRODUCT(($C$2:$C$266=$H$186)*($F$2:$F$266=11)*(ROW($C$2:$C$266)-ROW($C$2)+1)))),"")</f>
        <v/>
      </c>
      <c r="J200" s="38" t="str">
        <f>IFERROR(IF(SUMPRODUCT(($C$2:$C$266=$H$186)*($F$2:$F$266=11))=0,"",INDEX($E$2:$E$266,SUMPRODUCT(($C$2:$C$266=$H$186)*($F$2:$F$266=11)*(ROW($C$2:$C$266)-ROW($C$2)+1)))),"")</f>
        <v/>
      </c>
      <c r="K200" s="33"/>
    </row>
    <row r="201" spans="1:11" ht="14.25" customHeight="1" x14ac:dyDescent="0.3">
      <c r="A201" s="21">
        <f t="shared" ref="A201:A207" si="23">$C$191</f>
        <v>46226</v>
      </c>
      <c r="B201" s="21"/>
      <c r="C201" s="22" t="s">
        <v>6</v>
      </c>
      <c r="D201" s="23">
        <v>5.08</v>
      </c>
      <c r="E201" s="24">
        <f t="shared" ref="E201:E206" si="24">D201*$D$198</f>
        <v>53.370000000000005</v>
      </c>
      <c r="F201">
        <f>IF($C201="","",COUNTIF($C$2:$C201,$C201))</f>
        <v>4</v>
      </c>
      <c r="H201" s="37" t="str">
        <f>IF(SUMPRODUCT(($C$2:$C$266=$H$186)*($F$2:$F$266=12))=0,"",INDEX($A$2:$A$266,SUMPRODUCT(($C$2:$C$266=$H$186)*($F$2:$F$266=12)*(ROW($C$2:$C$266)-ROW($C$2)+1))))</f>
        <v/>
      </c>
      <c r="I201" s="38" t="str">
        <f>IFERROR(IF(SUMPRODUCT(($C$2:$C$266=$H$186)*($F$2:$F$266=12))=0,"",INDEX($D$2:$D$266,SUMPRODUCT(($C$2:$C$266=$H$186)*($F$2:$F$266=12)*(ROW($C$2:$C$266)-ROW($C$2)+1)))),"")</f>
        <v/>
      </c>
      <c r="J201" s="38" t="str">
        <f>IFERROR(IF(SUMPRODUCT(($C$2:$C$266=$H$186)*($F$2:$F$266=12))=0,"",INDEX($E$2:$E$266,SUMPRODUCT(($C$2:$C$266=$H$186)*($F$2:$F$266=12)*(ROW($C$2:$C$266)-ROW($C$2)+1)))),"")</f>
        <v/>
      </c>
      <c r="K201" s="33"/>
    </row>
    <row r="202" spans="1:11" ht="14.25" customHeight="1" x14ac:dyDescent="0.3">
      <c r="A202" s="21">
        <f t="shared" si="23"/>
        <v>46226</v>
      </c>
      <c r="B202" s="21"/>
      <c r="C202" s="22" t="s">
        <v>18</v>
      </c>
      <c r="D202" s="23">
        <v>4.08</v>
      </c>
      <c r="E202" s="24">
        <f t="shared" si="24"/>
        <v>42.864094488188982</v>
      </c>
      <c r="F202">
        <f>IF($C202="","",COUNTIF($C$2:$C202,$C202))</f>
        <v>5</v>
      </c>
      <c r="H202" s="37" t="str">
        <f>IF(SUMPRODUCT(($C$2:$C$266=$H$186)*($F$2:$F$266=13))=0,"",INDEX($A$2:$A$266,SUMPRODUCT(($C$2:$C$266=$H$186)*($F$2:$F$266=13)*(ROW($C$2:$C$266)-ROW($C$2)+1))))</f>
        <v/>
      </c>
      <c r="I202" s="38" t="str">
        <f>IFERROR(IF(SUMPRODUCT(($C$2:$C$266=$H$186)*($F$2:$F$266=13))=0,"",INDEX($D$2:$D$266,SUMPRODUCT(($C$2:$C$266=$H$186)*($F$2:$F$266=13)*(ROW($C$2:$C$266)-ROW($C$2)+1)))),"")</f>
        <v/>
      </c>
      <c r="J202" s="38" t="str">
        <f>IFERROR(IF(SUMPRODUCT(($C$2:$C$266=$H$186)*($F$2:$F$266=13))=0,"",INDEX($E$2:$E$266,SUMPRODUCT(($C$2:$C$266=$H$186)*($F$2:$F$266=13)*(ROW($C$2:$C$266)-ROW($C$2)+1)))),"")</f>
        <v/>
      </c>
      <c r="K202" s="33"/>
    </row>
    <row r="203" spans="1:11" ht="14.25" customHeight="1" x14ac:dyDescent="0.3">
      <c r="A203" s="21">
        <f t="shared" si="23"/>
        <v>46226</v>
      </c>
      <c r="B203" s="21"/>
      <c r="C203" s="22" t="s">
        <v>12</v>
      </c>
      <c r="D203" s="23">
        <v>6.08</v>
      </c>
      <c r="E203" s="24">
        <f t="shared" si="24"/>
        <v>63.875905511811027</v>
      </c>
      <c r="F203">
        <f>IF($C203="","",COUNTIF($C$2:$C203,$C203))</f>
        <v>6</v>
      </c>
      <c r="H203" s="37" t="str">
        <f>IF(SUMPRODUCT(($C$2:$C$266=$H$186)*($F$2:$F$266=14))=0,"",INDEX($A$2:$A$266,SUMPRODUCT(($C$2:$C$266=$H$186)*($F$2:$F$266=14)*(ROW($C$2:$C$266)-ROW($C$2)+1))))</f>
        <v/>
      </c>
      <c r="I203" s="38" t="str">
        <f>IFERROR(IF(SUMPRODUCT(($C$2:$C$266=$H$186)*($F$2:$F$266=14))=0,"",INDEX($D$2:$D$266,SUMPRODUCT(($C$2:$C$266=$H$186)*($F$2:$F$266=14)*(ROW($C$2:$C$266)-ROW($C$2)+1)))),"")</f>
        <v/>
      </c>
      <c r="J203" s="38" t="str">
        <f>IFERROR(IF(SUMPRODUCT(($C$2:$C$266=$H$186)*($F$2:$F$266=14))=0,"",INDEX($E$2:$E$266,SUMPRODUCT(($C$2:$C$266=$H$186)*($F$2:$F$266=14)*(ROW($C$2:$C$266)-ROW($C$2)+1)))),"")</f>
        <v/>
      </c>
      <c r="K203" s="33"/>
    </row>
    <row r="204" spans="1:11" ht="14.25" customHeight="1" x14ac:dyDescent="0.3">
      <c r="A204" s="21">
        <f t="shared" si="23"/>
        <v>46226</v>
      </c>
      <c r="B204" s="21"/>
      <c r="C204" s="22"/>
      <c r="D204" s="23"/>
      <c r="E204" s="24">
        <f t="shared" si="24"/>
        <v>0</v>
      </c>
      <c r="F204" t="str">
        <f>IF($C204="","",COUNTIF($C$2:$C204,$C204))</f>
        <v/>
      </c>
      <c r="H204" s="37" t="str">
        <f>IF(SUMPRODUCT(($C$2:$C$266=$H$186)*($F$2:$F$266=15))=0,"",INDEX($A$2:$A$266,SUMPRODUCT(($C$2:$C$266=$H$186)*($F$2:$F$266=15)*(ROW($C$2:$C$266)-ROW($C$2)+1))))</f>
        <v/>
      </c>
      <c r="I204" s="38" t="str">
        <f>IFERROR(IF(SUMPRODUCT(($C$2:$C$266=$H$186)*($F$2:$F$266=15))=0,"",INDEX($D$2:$D$266,SUMPRODUCT(($C$2:$C$266=$H$186)*($F$2:$F$266=15)*(ROW($C$2:$C$266)-ROW($C$2)+1)))),"")</f>
        <v/>
      </c>
      <c r="J204" s="38" t="str">
        <f>IFERROR(IF(SUMPRODUCT(($C$2:$C$266=$H$186)*($F$2:$F$266=15))=0,"",INDEX($E$2:$E$266,SUMPRODUCT(($C$2:$C$266=$H$186)*($F$2:$F$266=15)*(ROW($C$2:$C$266)-ROW($C$2)+1)))),"")</f>
        <v/>
      </c>
      <c r="K204" s="33"/>
    </row>
    <row r="205" spans="1:11" ht="14.25" customHeight="1" x14ac:dyDescent="0.3">
      <c r="A205" s="21">
        <f t="shared" si="23"/>
        <v>46226</v>
      </c>
      <c r="B205" s="21"/>
      <c r="C205" s="22"/>
      <c r="D205" s="23"/>
      <c r="E205" s="24">
        <f t="shared" si="24"/>
        <v>0</v>
      </c>
      <c r="F205" t="str">
        <f>IF($C205="","",COUNTIF($C$2:$C205,$C205))</f>
        <v/>
      </c>
      <c r="H205" s="37" t="str">
        <f>IF(SUMPRODUCT(($C$2:$C$266=$H$186)*($F$2:$F$266=16))=0,"",INDEX($A$2:$A$266,SUMPRODUCT(($C$2:$C$266=$H$186)*($F$2:$F$266=16)*(ROW($C$2:$C$266)-ROW($C$2)+1))))</f>
        <v/>
      </c>
      <c r="I205" s="38" t="str">
        <f>IFERROR(IF(SUMPRODUCT(($C$2:$C$266=$H$186)*($F$2:$F$266=16))=0,"",INDEX($D$2:$D$266,SUMPRODUCT(($C$2:$C$266=$H$186)*($F$2:$F$266=16)*(ROW($C$2:$C$266)-ROW($C$2)+1)))),"")</f>
        <v/>
      </c>
      <c r="J205" s="38" t="str">
        <f>IFERROR(IF(SUMPRODUCT(($C$2:$C$266=$H$186)*($F$2:$F$266=16))=0,"",INDEX($E$2:$E$266,SUMPRODUCT(($C$2:$C$266=$H$186)*($F$2:$F$266=16)*(ROW($C$2:$C$266)-ROW($C$2)+1)))),"")</f>
        <v/>
      </c>
      <c r="K205" s="33"/>
    </row>
    <row r="206" spans="1:11" ht="14.25" customHeight="1" x14ac:dyDescent="0.3">
      <c r="A206" s="21">
        <f t="shared" si="23"/>
        <v>46226</v>
      </c>
      <c r="B206" s="21"/>
      <c r="C206" s="22"/>
      <c r="D206" s="23"/>
      <c r="E206" s="24">
        <f t="shared" si="24"/>
        <v>0</v>
      </c>
      <c r="F206" t="str">
        <f>IF($C206="","",COUNTIF($C$2:$C206,$C206))</f>
        <v/>
      </c>
      <c r="H206" s="34" t="str">
        <f>H15</f>
        <v>Sara Cobos</v>
      </c>
      <c r="I206" s="14"/>
      <c r="J206" s="14"/>
      <c r="K206" s="33"/>
    </row>
    <row r="207" spans="1:11" ht="14.25" customHeight="1" x14ac:dyDescent="0.3">
      <c r="A207" s="21">
        <f t="shared" si="23"/>
        <v>46226</v>
      </c>
      <c r="B207" s="21"/>
      <c r="C207" s="22"/>
      <c r="D207" s="23"/>
      <c r="E207" s="24">
        <f>D207*D$9</f>
        <v>0</v>
      </c>
      <c r="F207" t="str">
        <f>IF($C207="","",COUNTIF($C$2:$C207,$C207))</f>
        <v/>
      </c>
      <c r="H207" s="35" t="s">
        <v>26</v>
      </c>
      <c r="I207" s="32">
        <f>IFERROR(SUMIF($C$2:$C$266,H206,$D$2:$D$266),0)</f>
        <v>20.939999999999998</v>
      </c>
      <c r="J207" s="14"/>
      <c r="K207" s="33"/>
    </row>
    <row r="208" spans="1:11" ht="15" customHeight="1" x14ac:dyDescent="0.3">
      <c r="C208" s="25" t="s">
        <v>24</v>
      </c>
      <c r="D208" s="26"/>
      <c r="E208" s="27">
        <f>SUM(E201:E207)</f>
        <v>160.11000000000001</v>
      </c>
      <c r="H208" s="35" t="s">
        <v>27</v>
      </c>
      <c r="I208" s="32">
        <f>IFERROR(SUMIF($C$2:$C$266,H206,$E$2:$E$266),0)</f>
        <v>270.51867333244559</v>
      </c>
      <c r="J208" s="14"/>
      <c r="K208" s="33"/>
    </row>
    <row r="209" spans="1:11" ht="15" customHeight="1" x14ac:dyDescent="0.3">
      <c r="H209" s="18" t="s">
        <v>28</v>
      </c>
      <c r="I209" s="20" t="s">
        <v>15</v>
      </c>
      <c r="J209" s="20" t="s">
        <v>16</v>
      </c>
      <c r="K209" s="33"/>
    </row>
    <row r="210" spans="1:11" ht="15" customHeight="1" x14ac:dyDescent="0.3">
      <c r="C210" s="4">
        <v>46227</v>
      </c>
      <c r="D210" s="4"/>
      <c r="E210" s="4"/>
      <c r="H210" s="37">
        <f>IF(SUMPRODUCT(($C$2:$C$266=$H$206)*($F$2:$F$266=1))=0,"No entries yet",INDEX($A$2:$A$266,SUMPRODUCT(($C$2:$C$266=$H$206)*($F$2:$F$266=1)*(ROW($C$2:$C$266)-ROW($C$2)+1))))</f>
        <v>46218</v>
      </c>
      <c r="I210" s="38">
        <f>IFERROR(IF(SUMPRODUCT(($C$2:$C$266=$H$206)*($F$2:$F$266=1))=0,"",INDEX($D$2:$D$266,SUMPRODUCT(($C$2:$C$266=$H$206)*($F$2:$F$266=1)*(ROW($C$2:$C$266)-ROW($C$2)+1)))),"")</f>
        <v>5.58</v>
      </c>
      <c r="J210" s="38">
        <f>IFERROR(IF(SUMPRODUCT(($C$2:$C$266=$H$206)*($F$2:$F$266=1))=0,"",INDEX($E$2:$E$266,SUMPRODUCT(($C$2:$C$266=$H$206)*($F$2:$F$266=1)*(ROW($C$2:$C$266)-ROW($C$2)+1)))),"")</f>
        <v>91.060122699386525</v>
      </c>
      <c r="K210" s="33"/>
    </row>
    <row r="211" spans="1:11" ht="15" customHeight="1" x14ac:dyDescent="0.3">
      <c r="C211" s="28"/>
      <c r="E211" s="29"/>
      <c r="H211" s="37">
        <f>IF(SUMPRODUCT(($C$2:$C$266=$H$206)*($F$2:$F$266=2))=0,"",INDEX($A$2:$A$266,SUMPRODUCT(($C$2:$C$266=$H$206)*($F$2:$F$266=2)*(ROW($C$2:$C$266)-ROW($C$2)+1))))</f>
        <v>46222</v>
      </c>
      <c r="I211" s="38">
        <f>IFERROR(IF(SUMPRODUCT(($C$2:$C$266=$H$206)*($F$2:$F$266=2))=0,"",INDEX($D$2:$D$266,SUMPRODUCT(($C$2:$C$266=$H$206)*($F$2:$F$266=2)*(ROW($C$2:$C$266)-ROW($C$2)+1)))),"")</f>
        <v>5.53</v>
      </c>
      <c r="J211" s="38">
        <f>IFERROR(IF(SUMPRODUCT(($C$2:$C$266=$H$206)*($F$2:$F$266=2))=0,"",INDEX($E$2:$E$266,SUMPRODUCT(($C$2:$C$266=$H$206)*($F$2:$F$266=2)*(ROW($C$2:$C$266)-ROW($C$2)+1)))),"")</f>
        <v>56.15818872987478</v>
      </c>
      <c r="K211" s="33"/>
    </row>
    <row r="212" spans="1:11" ht="14.25" customHeight="1" x14ac:dyDescent="0.3">
      <c r="C212" s="10" t="s">
        <v>5</v>
      </c>
      <c r="D212" s="11">
        <v>192.35</v>
      </c>
      <c r="E212" s="12"/>
      <c r="H212" s="37">
        <f>IF(SUMPRODUCT(($C$2:$C$266=$H$206)*($F$2:$F$266=3))=0,"",INDEX($A$2:$A$266,SUMPRODUCT(($C$2:$C$266=$H$206)*($F$2:$F$266=3)*(ROW($C$2:$C$266)-ROW($C$2)+1))))</f>
        <v>46228</v>
      </c>
      <c r="I212" s="38">
        <f>IFERROR(IF(SUMPRODUCT(($C$2:$C$266=$H$206)*($F$2:$F$266=3))=0,"",INDEX($D$2:$D$266,SUMPRODUCT(($C$2:$C$266=$H$206)*($F$2:$F$266=3)*(ROW($C$2:$C$266)-ROW($C$2)+1)))),"")</f>
        <v>5</v>
      </c>
      <c r="J212" s="38">
        <f>IFERROR(IF(SUMPRODUCT(($C$2:$C$266=$H$206)*($F$2:$F$266=3))=0,"",INDEX($E$2:$E$266,SUMPRODUCT(($C$2:$C$266=$H$206)*($F$2:$F$266=3)*(ROW($C$2:$C$266)-ROW($C$2)+1)))),"")</f>
        <v>79.846734784540217</v>
      </c>
      <c r="K212" s="33"/>
    </row>
    <row r="213" spans="1:11" ht="14.25" customHeight="1" x14ac:dyDescent="0.3">
      <c r="C213" s="10" t="s">
        <v>7</v>
      </c>
      <c r="D213" s="15"/>
      <c r="E213" s="16"/>
      <c r="H213" s="37">
        <f>IF(SUMPRODUCT(($C$2:$C$266=$H$206)*($F$2:$F$266=4))=0,"",INDEX($A$2:$A$266,SUMPRODUCT(($C$2:$C$266=$H$206)*($F$2:$F$266=4)*(ROW($C$2:$C$266)-ROW($C$2)+1))))</f>
        <v>46229</v>
      </c>
      <c r="I213" s="38">
        <f>IFERROR(IF(SUMPRODUCT(($C$2:$C$266=$H$206)*($F$2:$F$266=4))=0,"",INDEX($D$2:$D$266,SUMPRODUCT(($C$2:$C$266=$H$206)*($F$2:$F$266=4)*(ROW($C$2:$C$266)-ROW($C$2)+1)))),"")</f>
        <v>4.83</v>
      </c>
      <c r="J213" s="38">
        <f>IFERROR(IF(SUMPRODUCT(($C$2:$C$266=$H$206)*($F$2:$F$266=4))=0,"",INDEX($E$2:$E$266,SUMPRODUCT(($C$2:$C$266=$H$206)*($F$2:$F$266=4)*(ROW($C$2:$C$266)-ROW($C$2)+1)))),"")</f>
        <v>43.453627118644079</v>
      </c>
      <c r="K213" s="33"/>
    </row>
    <row r="214" spans="1:11" ht="14.25" customHeight="1" x14ac:dyDescent="0.3">
      <c r="C214" s="10" t="s">
        <v>9</v>
      </c>
      <c r="D214" s="10"/>
      <c r="E214" s="12"/>
      <c r="H214" s="37" t="str">
        <f>IF(SUMPRODUCT(($C$2:$C$266=$H$206)*($F$2:$F$266=5))=0,"",INDEX($A$2:$A$266,SUMPRODUCT(($C$2:$C$266=$H$206)*($F$2:$F$266=5)*(ROW($C$2:$C$266)-ROW($C$2)+1))))</f>
        <v/>
      </c>
      <c r="I214" s="38" t="str">
        <f>IFERROR(IF(SUMPRODUCT(($C$2:$C$266=$H$206)*($F$2:$F$266=5))=0,"",INDEX($D$2:$D$266,SUMPRODUCT(($C$2:$C$266=$H$206)*($F$2:$F$266=5)*(ROW($C$2:$C$266)-ROW($C$2)+1)))),"")</f>
        <v/>
      </c>
      <c r="J214" s="38" t="str">
        <f>IFERROR(IF(SUMPRODUCT(($C$2:$C$266=$H$206)*($F$2:$F$266=5))=0,"",INDEX($E$2:$E$266,SUMPRODUCT(($C$2:$C$266=$H$206)*($F$2:$F$266=5)*(ROW($C$2:$C$266)-ROW($C$2)+1)))),"")</f>
        <v/>
      </c>
      <c r="K214" s="33"/>
    </row>
    <row r="215" spans="1:11" ht="14.25" customHeight="1" x14ac:dyDescent="0.3">
      <c r="C215" s="10" t="s">
        <v>2</v>
      </c>
      <c r="D215" s="17">
        <f>SUM(D212:D214)</f>
        <v>192.35</v>
      </c>
      <c r="E215" s="12"/>
      <c r="H215" s="37" t="str">
        <f>IF(SUMPRODUCT(($C$2:$C$266=$H$206)*($F$2:$F$266=6))=0,"",INDEX($A$2:$A$266,SUMPRODUCT(($C$2:$C$266=$H$206)*($F$2:$F$266=6)*(ROW($C$2:$C$266)-ROW($C$2)+1))))</f>
        <v/>
      </c>
      <c r="I215" s="38" t="str">
        <f>IFERROR(IF(SUMPRODUCT(($C$2:$C$266=$H$206)*($F$2:$F$266=6))=0,"",INDEX($D$2:$D$266,SUMPRODUCT(($C$2:$C$266=$H$206)*($F$2:$F$266=6)*(ROW($C$2:$C$266)-ROW($C$2)+1)))),"")</f>
        <v/>
      </c>
      <c r="J215" s="38" t="str">
        <f>IFERROR(IF(SUMPRODUCT(($C$2:$C$266=$H$206)*($F$2:$F$266=6))=0,"",INDEX($E$2:$E$266,SUMPRODUCT(($C$2:$C$266=$H$206)*($F$2:$F$266=6)*(ROW($C$2:$C$266)-ROW($C$2)+1)))),"")</f>
        <v/>
      </c>
      <c r="K215" s="33"/>
    </row>
    <row r="216" spans="1:11" ht="14.25" customHeight="1" x14ac:dyDescent="0.3">
      <c r="C216" s="10" t="s">
        <v>3</v>
      </c>
      <c r="D216" s="10">
        <f>SUM(D220:D226)</f>
        <v>15.24</v>
      </c>
      <c r="E216" s="12"/>
      <c r="H216" s="37" t="str">
        <f>IF(SUMPRODUCT(($C$2:$C$266=$H$206)*($F$2:$F$266=7))=0,"",INDEX($A$2:$A$266,SUMPRODUCT(($C$2:$C$266=$H$206)*($F$2:$F$266=7)*(ROW($C$2:$C$266)-ROW($C$2)+1))))</f>
        <v/>
      </c>
      <c r="I216" s="38" t="str">
        <f>IFERROR(IF(SUMPRODUCT(($C$2:$C$266=$H$206)*($F$2:$F$266=7))=0,"",INDEX($D$2:$D$266,SUMPRODUCT(($C$2:$C$266=$H$206)*($F$2:$F$266=7)*(ROW($C$2:$C$266)-ROW($C$2)+1)))),"")</f>
        <v/>
      </c>
      <c r="J216" s="38" t="str">
        <f>IFERROR(IF(SUMPRODUCT(($C$2:$C$266=$H$206)*($F$2:$F$266=7))=0,"",INDEX($E$2:$E$266,SUMPRODUCT(($C$2:$C$266=$H$206)*($F$2:$F$266=7)*(ROW($C$2:$C$266)-ROW($C$2)+1)))),"")</f>
        <v/>
      </c>
      <c r="K216" s="33"/>
    </row>
    <row r="217" spans="1:11" ht="14.25" customHeight="1" x14ac:dyDescent="0.3">
      <c r="C217" s="10" t="s">
        <v>13</v>
      </c>
      <c r="D217" s="17">
        <f>D215/D216</f>
        <v>12.621391076115485</v>
      </c>
      <c r="E217" s="12"/>
      <c r="H217" s="37" t="str">
        <f>IF(SUMPRODUCT(($C$2:$C$266=$H$206)*($F$2:$F$266=8))=0,"",INDEX($A$2:$A$266,SUMPRODUCT(($C$2:$C$266=$H$206)*($F$2:$F$266=8)*(ROW($C$2:$C$266)-ROW($C$2)+1))))</f>
        <v/>
      </c>
      <c r="I217" s="38" t="str">
        <f>IFERROR(IF(SUMPRODUCT(($C$2:$C$266=$H$206)*($F$2:$F$266=8))=0,"",INDEX($D$2:$D$266,SUMPRODUCT(($C$2:$C$266=$H$206)*($F$2:$F$266=8)*(ROW($C$2:$C$266)-ROW($C$2)+1)))),"")</f>
        <v/>
      </c>
      <c r="J217" s="38" t="str">
        <f>IFERROR(IF(SUMPRODUCT(($C$2:$C$266=$H$206)*($F$2:$F$266=8))=0,"",INDEX($E$2:$E$266,SUMPRODUCT(($C$2:$C$266=$H$206)*($F$2:$F$266=8)*(ROW($C$2:$C$266)-ROW($C$2)+1)))),"")</f>
        <v/>
      </c>
      <c r="K217" s="33"/>
    </row>
    <row r="218" spans="1:11" ht="14.25" customHeight="1" x14ac:dyDescent="0.3">
      <c r="C218" s="12"/>
      <c r="D218" s="36"/>
      <c r="E218" s="12"/>
      <c r="H218" s="37" t="str">
        <f>IF(SUMPRODUCT(($C$2:$C$266=$H$206)*($F$2:$F$266=9))=0,"",INDEX($A$2:$A$266,SUMPRODUCT(($C$2:$C$266=$H$206)*($F$2:$F$266=9)*(ROW($C$2:$C$266)-ROW($C$2)+1))))</f>
        <v/>
      </c>
      <c r="I218" s="38" t="str">
        <f>IFERROR(IF(SUMPRODUCT(($C$2:$C$266=$H$206)*($F$2:$F$266=9))=0,"",INDEX($D$2:$D$266,SUMPRODUCT(($C$2:$C$266=$H$206)*($F$2:$F$266=9)*(ROW($C$2:$C$266)-ROW($C$2)+1)))),"")</f>
        <v/>
      </c>
      <c r="J218" s="38" t="str">
        <f>IFERROR(IF(SUMPRODUCT(($C$2:$C$266=$H$206)*($F$2:$F$266=9))=0,"",INDEX($E$2:$E$266,SUMPRODUCT(($C$2:$C$266=$H$206)*($F$2:$F$266=9)*(ROW($C$2:$C$266)-ROW($C$2)+1)))),"")</f>
        <v/>
      </c>
      <c r="K218" s="33"/>
    </row>
    <row r="219" spans="1:11" ht="15" customHeight="1" x14ac:dyDescent="0.3">
      <c r="C219" s="18" t="s">
        <v>1</v>
      </c>
      <c r="D219" s="20" t="s">
        <v>15</v>
      </c>
      <c r="E219" s="20" t="s">
        <v>16</v>
      </c>
      <c r="H219" s="37" t="str">
        <f>IF(SUMPRODUCT(($C$2:$C$266=$H$206)*($F$2:$F$266=10))=0,"",INDEX($A$2:$A$266,SUMPRODUCT(($C$2:$C$266=$H$206)*($F$2:$F$266=10)*(ROW($C$2:$C$266)-ROW($C$2)+1))))</f>
        <v/>
      </c>
      <c r="I219" s="38" t="str">
        <f>IFERROR(IF(SUMPRODUCT(($C$2:$C$266=$H$206)*($F$2:$F$266=10))=0,"",INDEX($D$2:$D$266,SUMPRODUCT(($C$2:$C$266=$H$206)*($F$2:$F$266=10)*(ROW($C$2:$C$266)-ROW($C$2)+1)))),"")</f>
        <v/>
      </c>
      <c r="J219" s="38" t="str">
        <f>IFERROR(IF(SUMPRODUCT(($C$2:$C$266=$H$206)*($F$2:$F$266=10))=0,"",INDEX($E$2:$E$266,SUMPRODUCT(($C$2:$C$266=$H$206)*($F$2:$F$266=10)*(ROW($C$2:$C$266)-ROW($C$2)+1)))),"")</f>
        <v/>
      </c>
      <c r="K219" s="33"/>
    </row>
    <row r="220" spans="1:11" ht="14.25" customHeight="1" x14ac:dyDescent="0.3">
      <c r="A220" s="21">
        <f t="shared" ref="A220:A226" si="25">$C$210</f>
        <v>46227</v>
      </c>
      <c r="B220" s="21"/>
      <c r="C220" s="22" t="s">
        <v>6</v>
      </c>
      <c r="D220" s="23">
        <v>5.08</v>
      </c>
      <c r="E220" s="24">
        <f t="shared" ref="E220:E226" si="26">D220*$D$217</f>
        <v>64.11666666666666</v>
      </c>
      <c r="F220">
        <f>IF($C220="","",COUNTIF($C$2:$C220,$C220))</f>
        <v>5</v>
      </c>
      <c r="H220" s="37" t="str">
        <f>IF(SUMPRODUCT(($C$2:$C$266=$H$206)*($F$2:$F$266=11))=0,"",INDEX($A$2:$A$266,SUMPRODUCT(($C$2:$C$266=$H$206)*($F$2:$F$266=11)*(ROW($C$2:$C$266)-ROW($C$2)+1))))</f>
        <v/>
      </c>
      <c r="I220" s="38" t="str">
        <f>IFERROR(IF(SUMPRODUCT(($C$2:$C$266=$H$206)*($F$2:$F$266=11))=0,"",INDEX($D$2:$D$266,SUMPRODUCT(($C$2:$C$266=$H$206)*($F$2:$F$266=11)*(ROW($C$2:$C$266)-ROW($C$2)+1)))),"")</f>
        <v/>
      </c>
      <c r="J220" s="38" t="str">
        <f>IFERROR(IF(SUMPRODUCT(($C$2:$C$266=$H$206)*($F$2:$F$266=11))=0,"",INDEX($E$2:$E$266,SUMPRODUCT(($C$2:$C$266=$H$206)*($F$2:$F$266=11)*(ROW($C$2:$C$266)-ROW($C$2)+1)))),"")</f>
        <v/>
      </c>
      <c r="K220" s="33"/>
    </row>
    <row r="221" spans="1:11" ht="14.25" customHeight="1" x14ac:dyDescent="0.3">
      <c r="A221" s="21">
        <f t="shared" si="25"/>
        <v>46227</v>
      </c>
      <c r="B221" s="21"/>
      <c r="C221" s="22" t="s">
        <v>18</v>
      </c>
      <c r="D221" s="23">
        <v>4.08</v>
      </c>
      <c r="E221" s="24">
        <f t="shared" si="26"/>
        <v>51.495275590551181</v>
      </c>
      <c r="F221">
        <f>IF($C221="","",COUNTIF($C$2:$C221,$C221))</f>
        <v>6</v>
      </c>
      <c r="H221" s="37" t="str">
        <f>IF(SUMPRODUCT(($C$2:$C$266=$H$206)*($F$2:$F$266=12))=0,"",INDEX($A$2:$A$266,SUMPRODUCT(($C$2:$C$266=$H$206)*($F$2:$F$266=12)*(ROW($C$2:$C$266)-ROW($C$2)+1))))</f>
        <v/>
      </c>
      <c r="I221" s="38" t="str">
        <f>IFERROR(IF(SUMPRODUCT(($C$2:$C$266=$H$206)*($F$2:$F$266=12))=0,"",INDEX($D$2:$D$266,SUMPRODUCT(($C$2:$C$266=$H$206)*($F$2:$F$266=12)*(ROW($C$2:$C$266)-ROW($C$2)+1)))),"")</f>
        <v/>
      </c>
      <c r="J221" s="38" t="str">
        <f>IFERROR(IF(SUMPRODUCT(($C$2:$C$266=$H$206)*($F$2:$F$266=12))=0,"",INDEX($E$2:$E$266,SUMPRODUCT(($C$2:$C$266=$H$206)*($F$2:$F$266=12)*(ROW($C$2:$C$266)-ROW($C$2)+1)))),"")</f>
        <v/>
      </c>
      <c r="K221" s="33"/>
    </row>
    <row r="222" spans="1:11" ht="14.25" customHeight="1" x14ac:dyDescent="0.3">
      <c r="A222" s="21">
        <f t="shared" si="25"/>
        <v>46227</v>
      </c>
      <c r="B222" s="21"/>
      <c r="C222" s="22" t="s">
        <v>12</v>
      </c>
      <c r="D222" s="23">
        <v>6.08</v>
      </c>
      <c r="E222" s="24">
        <f t="shared" si="26"/>
        <v>76.738057742782146</v>
      </c>
      <c r="F222">
        <f>IF($C222="","",COUNTIF($C$2:$C222,$C222))</f>
        <v>7</v>
      </c>
      <c r="H222" s="37" t="str">
        <f>IF(SUMPRODUCT(($C$2:$C$266=$H$206)*($F$2:$F$266=13))=0,"",INDEX($A$2:$A$266,SUMPRODUCT(($C$2:$C$266=$H$206)*($F$2:$F$266=13)*(ROW($C$2:$C$266)-ROW($C$2)+1))))</f>
        <v/>
      </c>
      <c r="I222" s="38" t="str">
        <f>IFERROR(IF(SUMPRODUCT(($C$2:$C$266=$H$206)*($F$2:$F$266=13))=0,"",INDEX($D$2:$D$266,SUMPRODUCT(($C$2:$C$266=$H$206)*($F$2:$F$266=13)*(ROW($C$2:$C$266)-ROW($C$2)+1)))),"")</f>
        <v/>
      </c>
      <c r="J222" s="38" t="str">
        <f>IFERROR(IF(SUMPRODUCT(($C$2:$C$266=$H$206)*($F$2:$F$266=13))=0,"",INDEX($E$2:$E$266,SUMPRODUCT(($C$2:$C$266=$H$206)*($F$2:$F$266=13)*(ROW($C$2:$C$266)-ROW($C$2)+1)))),"")</f>
        <v/>
      </c>
      <c r="K222" s="33"/>
    </row>
    <row r="223" spans="1:11" ht="14.25" customHeight="1" x14ac:dyDescent="0.3">
      <c r="A223" s="21">
        <f t="shared" si="25"/>
        <v>46227</v>
      </c>
      <c r="B223" s="21"/>
      <c r="C223" s="22"/>
      <c r="D223" s="23"/>
      <c r="E223" s="24">
        <f t="shared" si="26"/>
        <v>0</v>
      </c>
      <c r="F223" t="str">
        <f>IF($C223="","",COUNTIF($C$2:$C223,$C223))</f>
        <v/>
      </c>
      <c r="H223" s="37" t="str">
        <f>IF(SUMPRODUCT(($C$2:$C$266=$H$206)*($F$2:$F$266=14))=0,"",INDEX($A$2:$A$266,SUMPRODUCT(($C$2:$C$266=$H$206)*($F$2:$F$266=14)*(ROW($C$2:$C$266)-ROW($C$2)+1))))</f>
        <v/>
      </c>
      <c r="I223" s="38" t="str">
        <f>IFERROR(IF(SUMPRODUCT(($C$2:$C$266=$H$206)*($F$2:$F$266=14))=0,"",INDEX($D$2:$D$266,SUMPRODUCT(($C$2:$C$266=$H$206)*($F$2:$F$266=14)*(ROW($C$2:$C$266)-ROW($C$2)+1)))),"")</f>
        <v/>
      </c>
      <c r="J223" s="38" t="str">
        <f>IFERROR(IF(SUMPRODUCT(($C$2:$C$266=$H$206)*($F$2:$F$266=14))=0,"",INDEX($E$2:$E$266,SUMPRODUCT(($C$2:$C$266=$H$206)*($F$2:$F$266=14)*(ROW($C$2:$C$266)-ROW($C$2)+1)))),"")</f>
        <v/>
      </c>
      <c r="K223" s="33"/>
    </row>
    <row r="224" spans="1:11" ht="14.25" customHeight="1" x14ac:dyDescent="0.3">
      <c r="A224" s="21">
        <f t="shared" si="25"/>
        <v>46227</v>
      </c>
      <c r="B224" s="21"/>
      <c r="C224" s="22"/>
      <c r="D224" s="23"/>
      <c r="E224" s="24">
        <f t="shared" si="26"/>
        <v>0</v>
      </c>
      <c r="F224" t="str">
        <f>IF($C224="","",COUNTIF($C$2:$C224,$C224))</f>
        <v/>
      </c>
      <c r="H224" s="37" t="str">
        <f>IF(SUMPRODUCT(($C$2:$C$266=$H$206)*($F$2:$F$266=15))=0,"",INDEX($A$2:$A$266,SUMPRODUCT(($C$2:$C$266=$H$206)*($F$2:$F$266=15)*(ROW($C$2:$C$266)-ROW($C$2)+1))))</f>
        <v/>
      </c>
      <c r="I224" s="38" t="str">
        <f>IFERROR(IF(SUMPRODUCT(($C$2:$C$266=$H$206)*($F$2:$F$266=15))=0,"",INDEX($D$2:$D$266,SUMPRODUCT(($C$2:$C$266=$H$206)*($F$2:$F$266=15)*(ROW($C$2:$C$266)-ROW($C$2)+1)))),"")</f>
        <v/>
      </c>
      <c r="J224" s="38" t="str">
        <f>IFERROR(IF(SUMPRODUCT(($C$2:$C$266=$H$206)*($F$2:$F$266=15))=0,"",INDEX($E$2:$E$266,SUMPRODUCT(($C$2:$C$266=$H$206)*($F$2:$F$266=15)*(ROW($C$2:$C$266)-ROW($C$2)+1)))),"")</f>
        <v/>
      </c>
      <c r="K224" s="33"/>
    </row>
    <row r="225" spans="1:11" ht="14.25" customHeight="1" x14ac:dyDescent="0.3">
      <c r="A225" s="21">
        <f t="shared" si="25"/>
        <v>46227</v>
      </c>
      <c r="B225" s="21"/>
      <c r="C225" s="22"/>
      <c r="D225" s="23"/>
      <c r="E225" s="24">
        <f t="shared" si="26"/>
        <v>0</v>
      </c>
      <c r="F225" t="str">
        <f>IF($C225="","",COUNTIF($C$2:$C225,$C225))</f>
        <v/>
      </c>
      <c r="H225" s="37" t="str">
        <f>IF(SUMPRODUCT(($C$2:$C$266=$H$206)*($F$2:$F$266=16))=0,"",INDEX($A$2:$A$266,SUMPRODUCT(($C$2:$C$266=$H$206)*($F$2:$F$266=16)*(ROW($C$2:$C$266)-ROW($C$2)+1))))</f>
        <v/>
      </c>
      <c r="I225" s="38" t="str">
        <f>IFERROR(IF(SUMPRODUCT(($C$2:$C$266=$H$206)*($F$2:$F$266=16))=0,"",INDEX($D$2:$D$266,SUMPRODUCT(($C$2:$C$266=$H$206)*($F$2:$F$266=16)*(ROW($C$2:$C$266)-ROW($C$2)+1)))),"")</f>
        <v/>
      </c>
      <c r="J225" s="38" t="str">
        <f>IFERROR(IF(SUMPRODUCT(($C$2:$C$266=$H$206)*($F$2:$F$266=16))=0,"",INDEX($E$2:$E$266,SUMPRODUCT(($C$2:$C$266=$H$206)*($F$2:$F$266=16)*(ROW($C$2:$C$266)-ROW($C$2)+1)))),"")</f>
        <v/>
      </c>
      <c r="K225" s="33"/>
    </row>
    <row r="226" spans="1:11" ht="14.25" customHeight="1" x14ac:dyDescent="0.3">
      <c r="A226" s="21">
        <f t="shared" si="25"/>
        <v>46227</v>
      </c>
      <c r="B226" s="21"/>
      <c r="C226" s="22"/>
      <c r="D226" s="23"/>
      <c r="E226" s="24">
        <f t="shared" si="26"/>
        <v>0</v>
      </c>
      <c r="F226" t="str">
        <f>IF($C226="","",COUNTIF($C$2:$C226,$C226))</f>
        <v/>
      </c>
      <c r="H226" s="34" t="str">
        <f>H16</f>
        <v>Sophie Morris</v>
      </c>
      <c r="I226" s="14"/>
      <c r="J226" s="14"/>
      <c r="K226" s="33"/>
    </row>
    <row r="227" spans="1:11" ht="15" customHeight="1" x14ac:dyDescent="0.3">
      <c r="C227" s="25" t="s">
        <v>24</v>
      </c>
      <c r="D227" s="26"/>
      <c r="E227" s="27">
        <f>SUM(E220:E226)</f>
        <v>192.34999999999997</v>
      </c>
      <c r="H227" s="35" t="s">
        <v>26</v>
      </c>
      <c r="I227" s="32">
        <f>IFERROR(SUMIF($C$2:$C$266,H226,$D$2:$D$266),0)</f>
        <v>0</v>
      </c>
      <c r="J227" s="14"/>
      <c r="K227" s="33"/>
    </row>
    <row r="228" spans="1:11" ht="15" customHeight="1" x14ac:dyDescent="0.3">
      <c r="H228" s="35" t="s">
        <v>27</v>
      </c>
      <c r="I228" s="32">
        <f>IFERROR(SUMIF($C$2:$C$266,H226,$E$2:$E$266),0)</f>
        <v>0</v>
      </c>
      <c r="J228" s="14"/>
      <c r="K228" s="33"/>
    </row>
    <row r="229" spans="1:11" ht="15" customHeight="1" x14ac:dyDescent="0.3">
      <c r="C229" s="4">
        <v>46228</v>
      </c>
      <c r="D229" s="4"/>
      <c r="E229" s="4"/>
      <c r="H229" s="18" t="s">
        <v>28</v>
      </c>
      <c r="I229" s="20" t="s">
        <v>15</v>
      </c>
      <c r="J229" s="20" t="s">
        <v>16</v>
      </c>
      <c r="K229" s="33"/>
    </row>
    <row r="230" spans="1:11" ht="15" customHeight="1" x14ac:dyDescent="0.3">
      <c r="C230" s="28"/>
      <c r="E230" s="29"/>
      <c r="H230" s="37" t="str">
        <f>IF(SUMPRODUCT(($C$2:$C$266=$H$226)*($F$2:$F$266=1))=0,"No entries yet",INDEX($A$2:$A$266,SUMPRODUCT(($C$2:$C$266=$H$226)*($F$2:$F$266=1)*(ROW($C$2:$C$266)-ROW($C$2)+1))))</f>
        <v>No entries yet</v>
      </c>
      <c r="I230" s="38" t="str">
        <f>IFERROR(IF(SUMPRODUCT(($C$2:$C$266=$H$226)*($F$2:$F$266=1))=0,"",INDEX($D$2:$D$266,SUMPRODUCT(($C$2:$C$266=$H$226)*($F$2:$F$266=1)*(ROW($C$2:$C$266)-ROW($C$2)+1)))),"")</f>
        <v/>
      </c>
      <c r="J230" s="38" t="str">
        <f>IFERROR(IF(SUMPRODUCT(($C$2:$C$266=$H$226)*($F$2:$F$266=1))=0,"",INDEX($E$2:$E$266,SUMPRODUCT(($C$2:$C$266=$H$226)*($F$2:$F$266=1)*(ROW($C$2:$C$266)-ROW($C$2)+1)))),"")</f>
        <v/>
      </c>
      <c r="K230" s="33"/>
    </row>
    <row r="231" spans="1:11" ht="14.25" customHeight="1" x14ac:dyDescent="0.3">
      <c r="C231" s="10" t="s">
        <v>5</v>
      </c>
      <c r="D231" s="11">
        <v>359.47</v>
      </c>
      <c r="E231" s="12"/>
      <c r="H231" s="37" t="str">
        <f>IF(SUMPRODUCT(($C$2:$C$266=$H$226)*($F$2:$F$266=2))=0,"",INDEX($A$2:$A$266,SUMPRODUCT(($C$2:$C$266=$H$226)*($F$2:$F$266=2)*(ROW($C$2:$C$266)-ROW($C$2)+1))))</f>
        <v/>
      </c>
      <c r="I231" s="38" t="str">
        <f>IFERROR(IF(SUMPRODUCT(($C$2:$C$266=$H$226)*($F$2:$F$266=2))=0,"",INDEX($D$2:$D$266,SUMPRODUCT(($C$2:$C$266=$H$226)*($F$2:$F$266=2)*(ROW($C$2:$C$266)-ROW($C$2)+1)))),"")</f>
        <v/>
      </c>
      <c r="J231" s="38" t="str">
        <f>IFERROR(IF(SUMPRODUCT(($C$2:$C$266=$H$226)*($F$2:$F$266=2))=0,"",INDEX($E$2:$E$266,SUMPRODUCT(($C$2:$C$266=$H$226)*($F$2:$F$266=2)*(ROW($C$2:$C$266)-ROW($C$2)+1)))),"")</f>
        <v/>
      </c>
      <c r="K231" s="33"/>
    </row>
    <row r="232" spans="1:11" ht="14.25" customHeight="1" x14ac:dyDescent="0.3">
      <c r="C232" s="10" t="s">
        <v>7</v>
      </c>
      <c r="D232" s="15"/>
      <c r="E232" s="16"/>
      <c r="H232" s="37" t="str">
        <f>IF(SUMPRODUCT(($C$2:$C$266=$H$226)*($F$2:$F$266=3))=0,"",INDEX($A$2:$A$266,SUMPRODUCT(($C$2:$C$266=$H$226)*($F$2:$F$266=3)*(ROW($C$2:$C$266)-ROW($C$2)+1))))</f>
        <v/>
      </c>
      <c r="I232" s="38" t="str">
        <f>IFERROR(IF(SUMPRODUCT(($C$2:$C$266=$H$226)*($F$2:$F$266=3))=0,"",INDEX($D$2:$D$266,SUMPRODUCT(($C$2:$C$266=$H$226)*($F$2:$F$266=3)*(ROW($C$2:$C$266)-ROW($C$2)+1)))),"")</f>
        <v/>
      </c>
      <c r="J232" s="38" t="str">
        <f>IFERROR(IF(SUMPRODUCT(($C$2:$C$266=$H$226)*($F$2:$F$266=3))=0,"",INDEX($E$2:$E$266,SUMPRODUCT(($C$2:$C$266=$H$226)*($F$2:$F$266=3)*(ROW($C$2:$C$266)-ROW($C$2)+1)))),"")</f>
        <v/>
      </c>
      <c r="K232" s="33"/>
    </row>
    <row r="233" spans="1:11" ht="14.25" customHeight="1" x14ac:dyDescent="0.3">
      <c r="C233" s="10" t="s">
        <v>9</v>
      </c>
      <c r="D233" s="10"/>
      <c r="E233" s="12"/>
      <c r="H233" s="37" t="str">
        <f>IF(SUMPRODUCT(($C$2:$C$266=$H$226)*($F$2:$F$266=4))=0,"",INDEX($A$2:$A$266,SUMPRODUCT(($C$2:$C$266=$H$226)*($F$2:$F$266=4)*(ROW($C$2:$C$266)-ROW($C$2)+1))))</f>
        <v/>
      </c>
      <c r="I233" s="38" t="str">
        <f>IFERROR(IF(SUMPRODUCT(($C$2:$C$266=$H$226)*($F$2:$F$266=4))=0,"",INDEX($D$2:$D$266,SUMPRODUCT(($C$2:$C$266=$H$226)*($F$2:$F$266=4)*(ROW($C$2:$C$266)-ROW($C$2)+1)))),"")</f>
        <v/>
      </c>
      <c r="J233" s="38" t="str">
        <f>IFERROR(IF(SUMPRODUCT(($C$2:$C$266=$H$226)*($F$2:$F$266=4))=0,"",INDEX($E$2:$E$266,SUMPRODUCT(($C$2:$C$266=$H$226)*($F$2:$F$266=4)*(ROW($C$2:$C$266)-ROW($C$2)+1)))),"")</f>
        <v/>
      </c>
      <c r="K233" s="33"/>
    </row>
    <row r="234" spans="1:11" ht="14.25" customHeight="1" x14ac:dyDescent="0.3">
      <c r="C234" s="10" t="s">
        <v>2</v>
      </c>
      <c r="D234" s="17">
        <f>SUM(D231:D233)</f>
        <v>359.47</v>
      </c>
      <c r="E234" s="12"/>
      <c r="H234" s="37" t="str">
        <f>IF(SUMPRODUCT(($C$2:$C$266=$H$226)*($F$2:$F$266=5))=0,"",INDEX($A$2:$A$266,SUMPRODUCT(($C$2:$C$266=$H$226)*($F$2:$F$266=5)*(ROW($C$2:$C$266)-ROW($C$2)+1))))</f>
        <v/>
      </c>
      <c r="I234" s="38" t="str">
        <f>IFERROR(IF(SUMPRODUCT(($C$2:$C$266=$H$226)*($F$2:$F$266=5))=0,"",INDEX($D$2:$D$266,SUMPRODUCT(($C$2:$C$266=$H$226)*($F$2:$F$266=5)*(ROW($C$2:$C$266)-ROW($C$2)+1)))),"")</f>
        <v/>
      </c>
      <c r="J234" s="38" t="str">
        <f>IFERROR(IF(SUMPRODUCT(($C$2:$C$266=$H$226)*($F$2:$F$266=5))=0,"",INDEX($E$2:$E$266,SUMPRODUCT(($C$2:$C$266=$H$226)*($F$2:$F$266=5)*(ROW($C$2:$C$266)-ROW($C$2)+1)))),"")</f>
        <v/>
      </c>
      <c r="K234" s="33"/>
    </row>
    <row r="235" spans="1:11" ht="14.25" customHeight="1" x14ac:dyDescent="0.3">
      <c r="C235" s="10" t="s">
        <v>3</v>
      </c>
      <c r="D235" s="10">
        <f>SUM(D239:D245)</f>
        <v>22.509999999999998</v>
      </c>
      <c r="E235" s="12"/>
      <c r="H235" s="37" t="str">
        <f>IF(SUMPRODUCT(($C$2:$C$266=$H$226)*($F$2:$F$266=6))=0,"",INDEX($A$2:$A$266,SUMPRODUCT(($C$2:$C$266=$H$226)*($F$2:$F$266=6)*(ROW($C$2:$C$266)-ROW($C$2)+1))))</f>
        <v/>
      </c>
      <c r="I235" s="38" t="str">
        <f>IFERROR(IF(SUMPRODUCT(($C$2:$C$266=$H$226)*($F$2:$F$266=6))=0,"",INDEX($D$2:$D$266,SUMPRODUCT(($C$2:$C$266=$H$226)*($F$2:$F$266=6)*(ROW($C$2:$C$266)-ROW($C$2)+1)))),"")</f>
        <v/>
      </c>
      <c r="J235" s="38" t="str">
        <f>IFERROR(IF(SUMPRODUCT(($C$2:$C$266=$H$226)*($F$2:$F$266=6))=0,"",INDEX($E$2:$E$266,SUMPRODUCT(($C$2:$C$266=$H$226)*($F$2:$F$266=6)*(ROW($C$2:$C$266)-ROW($C$2)+1)))),"")</f>
        <v/>
      </c>
      <c r="K235" s="33"/>
    </row>
    <row r="236" spans="1:11" ht="14.25" customHeight="1" x14ac:dyDescent="0.3">
      <c r="C236" s="10" t="s">
        <v>13</v>
      </c>
      <c r="D236" s="17">
        <f>D234/D235</f>
        <v>15.969346956908044</v>
      </c>
      <c r="E236" s="12"/>
      <c r="H236" s="37" t="str">
        <f>IF(SUMPRODUCT(($C$2:$C$266=$H$226)*($F$2:$F$266=7))=0,"",INDEX($A$2:$A$266,SUMPRODUCT(($C$2:$C$266=$H$226)*($F$2:$F$266=7)*(ROW($C$2:$C$266)-ROW($C$2)+1))))</f>
        <v/>
      </c>
      <c r="I236" s="38" t="str">
        <f>IFERROR(IF(SUMPRODUCT(($C$2:$C$266=$H$226)*($F$2:$F$266=7))=0,"",INDEX($D$2:$D$266,SUMPRODUCT(($C$2:$C$266=$H$226)*($F$2:$F$266=7)*(ROW($C$2:$C$266)-ROW($C$2)+1)))),"")</f>
        <v/>
      </c>
      <c r="J236" s="38" t="str">
        <f>IFERROR(IF(SUMPRODUCT(($C$2:$C$266=$H$226)*($F$2:$F$266=7))=0,"",INDEX($E$2:$E$266,SUMPRODUCT(($C$2:$C$266=$H$226)*($F$2:$F$266=7)*(ROW($C$2:$C$266)-ROW($C$2)+1)))),"")</f>
        <v/>
      </c>
      <c r="K236" s="33"/>
    </row>
    <row r="237" spans="1:11" ht="14.25" customHeight="1" x14ac:dyDescent="0.3">
      <c r="C237" s="12"/>
      <c r="D237" s="36"/>
      <c r="E237" s="12"/>
      <c r="H237" s="37" t="str">
        <f>IF(SUMPRODUCT(($C$2:$C$266=$H$226)*($F$2:$F$266=8))=0,"",INDEX($A$2:$A$266,SUMPRODUCT(($C$2:$C$266=$H$226)*($F$2:$F$266=8)*(ROW($C$2:$C$266)-ROW($C$2)+1))))</f>
        <v/>
      </c>
      <c r="I237" s="38" t="str">
        <f>IFERROR(IF(SUMPRODUCT(($C$2:$C$266=$H$226)*($F$2:$F$266=8))=0,"",INDEX($D$2:$D$266,SUMPRODUCT(($C$2:$C$266=$H$226)*($F$2:$F$266=8)*(ROW($C$2:$C$266)-ROW($C$2)+1)))),"")</f>
        <v/>
      </c>
      <c r="J237" s="38" t="str">
        <f>IFERROR(IF(SUMPRODUCT(($C$2:$C$266=$H$226)*($F$2:$F$266=8))=0,"",INDEX($E$2:$E$266,SUMPRODUCT(($C$2:$C$266=$H$226)*($F$2:$F$266=8)*(ROW($C$2:$C$266)-ROW($C$2)+1)))),"")</f>
        <v/>
      </c>
      <c r="K237" s="33"/>
    </row>
    <row r="238" spans="1:11" ht="15" customHeight="1" x14ac:dyDescent="0.3">
      <c r="C238" s="18" t="s">
        <v>1</v>
      </c>
      <c r="D238" s="20" t="s">
        <v>15</v>
      </c>
      <c r="E238" s="20" t="s">
        <v>16</v>
      </c>
      <c r="H238" s="37" t="str">
        <f>IF(SUMPRODUCT(($C$2:$C$266=$H$226)*($F$2:$F$266=9))=0,"",INDEX($A$2:$A$266,SUMPRODUCT(($C$2:$C$266=$H$226)*($F$2:$F$266=9)*(ROW($C$2:$C$266)-ROW($C$2)+1))))</f>
        <v/>
      </c>
      <c r="I238" s="38" t="str">
        <f>IFERROR(IF(SUMPRODUCT(($C$2:$C$266=$H$226)*($F$2:$F$266=9))=0,"",INDEX($D$2:$D$266,SUMPRODUCT(($C$2:$C$266=$H$226)*($F$2:$F$266=9)*(ROW($C$2:$C$266)-ROW($C$2)+1)))),"")</f>
        <v/>
      </c>
      <c r="J238" s="38" t="str">
        <f>IFERROR(IF(SUMPRODUCT(($C$2:$C$266=$H$226)*($F$2:$F$266=9))=0,"",INDEX($E$2:$E$266,SUMPRODUCT(($C$2:$C$266=$H$226)*($F$2:$F$266=9)*(ROW($C$2:$C$266)-ROW($C$2)+1)))),"")</f>
        <v/>
      </c>
      <c r="K238" s="33"/>
    </row>
    <row r="239" spans="1:11" ht="14.25" customHeight="1" x14ac:dyDescent="0.3">
      <c r="A239" s="21">
        <f t="shared" ref="A239:A245" si="27">$C$229</f>
        <v>46228</v>
      </c>
      <c r="B239" s="21"/>
      <c r="C239" s="22" t="s">
        <v>22</v>
      </c>
      <c r="D239" s="23">
        <v>5</v>
      </c>
      <c r="E239" s="24">
        <f t="shared" ref="E239:E245" si="28">D239*$D$236</f>
        <v>79.846734784540217</v>
      </c>
      <c r="F239">
        <f>IF($C239="","",COUNTIF($C$2:$C239,$C239))</f>
        <v>3</v>
      </c>
      <c r="H239" s="37" t="str">
        <f>IF(SUMPRODUCT(($C$2:$C$266=$H$226)*($F$2:$F$266=10))=0,"",INDEX($A$2:$A$266,SUMPRODUCT(($C$2:$C$266=$H$226)*($F$2:$F$266=10)*(ROW($C$2:$C$266)-ROW($C$2)+1))))</f>
        <v/>
      </c>
      <c r="I239" s="38" t="str">
        <f>IFERROR(IF(SUMPRODUCT(($C$2:$C$266=$H$226)*($F$2:$F$266=10))=0,"",INDEX($D$2:$D$266,SUMPRODUCT(($C$2:$C$266=$H$226)*($F$2:$F$266=10)*(ROW($C$2:$C$266)-ROW($C$2)+1)))),"")</f>
        <v/>
      </c>
      <c r="J239" s="38" t="str">
        <f>IFERROR(IF(SUMPRODUCT(($C$2:$C$266=$H$226)*($F$2:$F$266=10))=0,"",INDEX($E$2:$E$266,SUMPRODUCT(($C$2:$C$266=$H$226)*($F$2:$F$266=10)*(ROW($C$2:$C$266)-ROW($C$2)+1)))),"")</f>
        <v/>
      </c>
      <c r="K239" s="33"/>
    </row>
    <row r="240" spans="1:11" ht="14.25" customHeight="1" x14ac:dyDescent="0.3">
      <c r="A240" s="21">
        <f t="shared" si="27"/>
        <v>46228</v>
      </c>
      <c r="B240" s="21"/>
      <c r="C240" s="22" t="s">
        <v>14</v>
      </c>
      <c r="D240" s="23">
        <v>5.51</v>
      </c>
      <c r="E240" s="24">
        <f t="shared" si="28"/>
        <v>87.991101732563322</v>
      </c>
      <c r="F240">
        <f>IF($C240="","",COUNTIF($C$2:$C240,$C240))</f>
        <v>6</v>
      </c>
      <c r="H240" s="37" t="str">
        <f>IF(SUMPRODUCT(($C$2:$C$266=$H$226)*($F$2:$F$266=11))=0,"",INDEX($A$2:$A$266,SUMPRODUCT(($C$2:$C$266=$H$226)*($F$2:$F$266=11)*(ROW($C$2:$C$266)-ROW($C$2)+1))))</f>
        <v/>
      </c>
      <c r="I240" s="38" t="str">
        <f>IFERROR(IF(SUMPRODUCT(($C$2:$C$266=$H$226)*($F$2:$F$266=11))=0,"",INDEX($D$2:$D$266,SUMPRODUCT(($C$2:$C$266=$H$226)*($F$2:$F$266=11)*(ROW($C$2:$C$266)-ROW($C$2)+1)))),"")</f>
        <v/>
      </c>
      <c r="J240" s="38" t="str">
        <f>IFERROR(IF(SUMPRODUCT(($C$2:$C$266=$H$226)*($F$2:$F$266=11))=0,"",INDEX($E$2:$E$266,SUMPRODUCT(($C$2:$C$266=$H$226)*($F$2:$F$266=11)*(ROW($C$2:$C$266)-ROW($C$2)+1)))),"")</f>
        <v/>
      </c>
      <c r="K240" s="33"/>
    </row>
    <row r="241" spans="1:11" ht="14.25" customHeight="1" x14ac:dyDescent="0.3">
      <c r="A241" s="21">
        <f t="shared" si="27"/>
        <v>46228</v>
      </c>
      <c r="B241" s="21"/>
      <c r="C241" s="22" t="s">
        <v>18</v>
      </c>
      <c r="D241" s="23">
        <v>6</v>
      </c>
      <c r="E241" s="24">
        <f t="shared" si="28"/>
        <v>95.816081741448272</v>
      </c>
      <c r="F241">
        <f>IF($C241="","",COUNTIF($C$2:$C241,$C241))</f>
        <v>7</v>
      </c>
      <c r="H241" s="37" t="str">
        <f>IF(SUMPRODUCT(($C$2:$C$266=$H$226)*($F$2:$F$266=12))=0,"",INDEX($A$2:$A$266,SUMPRODUCT(($C$2:$C$266=$H$226)*($F$2:$F$266=12)*(ROW($C$2:$C$266)-ROW($C$2)+1))))</f>
        <v/>
      </c>
      <c r="I241" s="38" t="str">
        <f>IFERROR(IF(SUMPRODUCT(($C$2:$C$266=$H$226)*($F$2:$F$266=12))=0,"",INDEX($D$2:$D$266,SUMPRODUCT(($C$2:$C$266=$H$226)*($F$2:$F$266=12)*(ROW($C$2:$C$266)-ROW($C$2)+1)))),"")</f>
        <v/>
      </c>
      <c r="J241" s="38" t="str">
        <f>IFERROR(IF(SUMPRODUCT(($C$2:$C$266=$H$226)*($F$2:$F$266=12))=0,"",INDEX($E$2:$E$266,SUMPRODUCT(($C$2:$C$266=$H$226)*($F$2:$F$266=12)*(ROW($C$2:$C$266)-ROW($C$2)+1)))),"")</f>
        <v/>
      </c>
      <c r="K241" s="33"/>
    </row>
    <row r="242" spans="1:11" ht="14.25" customHeight="1" x14ac:dyDescent="0.3">
      <c r="A242" s="21">
        <f t="shared" si="27"/>
        <v>46228</v>
      </c>
      <c r="B242" s="21"/>
      <c r="C242" s="22" t="s">
        <v>21</v>
      </c>
      <c r="D242" s="23">
        <v>6</v>
      </c>
      <c r="E242" s="24">
        <f t="shared" si="28"/>
        <v>95.816081741448272</v>
      </c>
      <c r="F242">
        <f>IF($C242="","",COUNTIF($C$2:$C242,$C242))</f>
        <v>6</v>
      </c>
      <c r="H242" s="37" t="str">
        <f>IF(SUMPRODUCT(($C$2:$C$266=$H$226)*($F$2:$F$266=13))=0,"",INDEX($A$2:$A$266,SUMPRODUCT(($C$2:$C$266=$H$226)*($F$2:$F$266=13)*(ROW($C$2:$C$266)-ROW($C$2)+1))))</f>
        <v/>
      </c>
      <c r="I242" s="38" t="str">
        <f>IFERROR(IF(SUMPRODUCT(($C$2:$C$266=$H$226)*($F$2:$F$266=13))=0,"",INDEX($D$2:$D$266,SUMPRODUCT(($C$2:$C$266=$H$226)*($F$2:$F$266=13)*(ROW($C$2:$C$266)-ROW($C$2)+1)))),"")</f>
        <v/>
      </c>
      <c r="J242" s="38" t="str">
        <f>IFERROR(IF(SUMPRODUCT(($C$2:$C$266=$H$226)*($F$2:$F$266=13))=0,"",INDEX($E$2:$E$266,SUMPRODUCT(($C$2:$C$266=$H$226)*($F$2:$F$266=13)*(ROW($C$2:$C$266)-ROW($C$2)+1)))),"")</f>
        <v/>
      </c>
      <c r="K242" s="33"/>
    </row>
    <row r="243" spans="1:11" ht="14.25" customHeight="1" x14ac:dyDescent="0.3">
      <c r="A243" s="21">
        <f t="shared" si="27"/>
        <v>46228</v>
      </c>
      <c r="B243" s="21"/>
      <c r="C243" s="22"/>
      <c r="D243" s="23"/>
      <c r="E243" s="24">
        <f t="shared" si="28"/>
        <v>0</v>
      </c>
      <c r="F243" t="str">
        <f>IF($C243="","",COUNTIF($C$2:$C243,$C243))</f>
        <v/>
      </c>
      <c r="H243" s="37" t="str">
        <f>IF(SUMPRODUCT(($C$2:$C$266=$H$226)*($F$2:$F$266=14))=0,"",INDEX($A$2:$A$266,SUMPRODUCT(($C$2:$C$266=$H$226)*($F$2:$F$266=14)*(ROW($C$2:$C$266)-ROW($C$2)+1))))</f>
        <v/>
      </c>
      <c r="I243" s="38" t="str">
        <f>IFERROR(IF(SUMPRODUCT(($C$2:$C$266=$H$226)*($F$2:$F$266=14))=0,"",INDEX($D$2:$D$266,SUMPRODUCT(($C$2:$C$266=$H$226)*($F$2:$F$266=14)*(ROW($C$2:$C$266)-ROW($C$2)+1)))),"")</f>
        <v/>
      </c>
      <c r="J243" s="38" t="str">
        <f>IFERROR(IF(SUMPRODUCT(($C$2:$C$266=$H$226)*($F$2:$F$266=14))=0,"",INDEX($E$2:$E$266,SUMPRODUCT(($C$2:$C$266=$H$226)*($F$2:$F$266=14)*(ROW($C$2:$C$266)-ROW($C$2)+1)))),"")</f>
        <v/>
      </c>
      <c r="K243" s="33"/>
    </row>
    <row r="244" spans="1:11" ht="14.25" customHeight="1" x14ac:dyDescent="0.3">
      <c r="A244" s="21">
        <f t="shared" si="27"/>
        <v>46228</v>
      </c>
      <c r="B244" s="21"/>
      <c r="C244" s="22"/>
      <c r="D244" s="23"/>
      <c r="E244" s="24">
        <f t="shared" si="28"/>
        <v>0</v>
      </c>
      <c r="F244" t="str">
        <f>IF($C244="","",COUNTIF($C$2:$C244,$C244))</f>
        <v/>
      </c>
      <c r="H244" s="37" t="str">
        <f>IF(SUMPRODUCT(($C$2:$C$266=$H$226)*($F$2:$F$266=15))=0,"",INDEX($A$2:$A$266,SUMPRODUCT(($C$2:$C$266=$H$226)*($F$2:$F$266=15)*(ROW($C$2:$C$266)-ROW($C$2)+1))))</f>
        <v/>
      </c>
      <c r="I244" s="38" t="str">
        <f>IFERROR(IF(SUMPRODUCT(($C$2:$C$266=$H$226)*($F$2:$F$266=15))=0,"",INDEX($D$2:$D$266,SUMPRODUCT(($C$2:$C$266=$H$226)*($F$2:$F$266=15)*(ROW($C$2:$C$266)-ROW($C$2)+1)))),"")</f>
        <v/>
      </c>
      <c r="J244" s="38" t="str">
        <f>IFERROR(IF(SUMPRODUCT(($C$2:$C$266=$H$226)*($F$2:$F$266=15))=0,"",INDEX($E$2:$E$266,SUMPRODUCT(($C$2:$C$266=$H$226)*($F$2:$F$266=15)*(ROW($C$2:$C$266)-ROW($C$2)+1)))),"")</f>
        <v/>
      </c>
      <c r="K244" s="33"/>
    </row>
    <row r="245" spans="1:11" ht="14.25" customHeight="1" x14ac:dyDescent="0.3">
      <c r="A245" s="21">
        <f t="shared" si="27"/>
        <v>46228</v>
      </c>
      <c r="B245" s="21"/>
      <c r="C245" s="22"/>
      <c r="D245" s="23"/>
      <c r="E245" s="24">
        <f t="shared" si="28"/>
        <v>0</v>
      </c>
      <c r="F245" t="str">
        <f>IF($C245="","",COUNTIF($C$2:$C245,$C245))</f>
        <v/>
      </c>
      <c r="H245" s="37" t="str">
        <f>IF(SUMPRODUCT(($C$2:$C$266=$H$226)*($F$2:$F$266=16))=0,"",INDEX($A$2:$A$266,SUMPRODUCT(($C$2:$C$266=$H$226)*($F$2:$F$266=16)*(ROW($C$2:$C$266)-ROW($C$2)+1))))</f>
        <v/>
      </c>
      <c r="I245" s="38" t="str">
        <f>IFERROR(IF(SUMPRODUCT(($C$2:$C$266=$H$226)*($F$2:$F$266=16))=0,"",INDEX($D$2:$D$266,SUMPRODUCT(($C$2:$C$266=$H$226)*($F$2:$F$266=16)*(ROW($C$2:$C$266)-ROW($C$2)+1)))),"")</f>
        <v/>
      </c>
      <c r="J245" s="38" t="str">
        <f>IFERROR(IF(SUMPRODUCT(($C$2:$C$266=$H$226)*($F$2:$F$266=16))=0,"",INDEX($E$2:$E$266,SUMPRODUCT(($C$2:$C$266=$H$226)*($F$2:$F$266=16)*(ROW($C$2:$C$266)-ROW($C$2)+1)))),"")</f>
        <v/>
      </c>
      <c r="K245" s="33"/>
    </row>
    <row r="246" spans="1:11" ht="15" customHeight="1" x14ac:dyDescent="0.3">
      <c r="C246" s="25" t="s">
        <v>24</v>
      </c>
      <c r="D246" s="26"/>
      <c r="E246" s="27">
        <f>SUM(E239:E245)</f>
        <v>359.47000000000008</v>
      </c>
      <c r="H246" s="14"/>
      <c r="I246" s="14"/>
      <c r="J246" s="14"/>
      <c r="K246" s="33"/>
    </row>
    <row r="247" spans="1:11" ht="15" customHeight="1" x14ac:dyDescent="0.3">
      <c r="H247" s="14"/>
      <c r="I247" s="14"/>
      <c r="J247" s="14"/>
      <c r="K247" s="33"/>
    </row>
    <row r="248" spans="1:11" ht="15" customHeight="1" x14ac:dyDescent="0.3">
      <c r="C248" s="4">
        <v>46229</v>
      </c>
      <c r="D248" s="4"/>
      <c r="E248" s="4"/>
      <c r="H248" s="14"/>
      <c r="I248" s="14"/>
      <c r="J248" s="14"/>
      <c r="K248" s="33"/>
    </row>
    <row r="249" spans="1:11" ht="15" customHeight="1" x14ac:dyDescent="0.3">
      <c r="C249" s="28"/>
      <c r="E249" s="29"/>
      <c r="H249" s="14"/>
      <c r="I249" s="14"/>
      <c r="J249" s="14"/>
      <c r="K249" s="33"/>
    </row>
    <row r="250" spans="1:11" ht="14.25" customHeight="1" x14ac:dyDescent="0.3">
      <c r="C250" s="10" t="s">
        <v>5</v>
      </c>
      <c r="D250" s="11">
        <v>238.86</v>
      </c>
      <c r="E250" s="12"/>
      <c r="H250" s="14"/>
      <c r="I250" s="14"/>
      <c r="J250" s="14"/>
      <c r="K250" s="33"/>
    </row>
    <row r="251" spans="1:11" ht="14.25" customHeight="1" x14ac:dyDescent="0.3">
      <c r="C251" s="10" t="s">
        <v>7</v>
      </c>
      <c r="D251" s="15"/>
      <c r="E251" s="16"/>
      <c r="H251" s="14"/>
      <c r="I251" s="14"/>
      <c r="J251" s="14"/>
      <c r="K251" s="33"/>
    </row>
    <row r="252" spans="1:11" ht="14.25" customHeight="1" x14ac:dyDescent="0.3">
      <c r="C252" s="10" t="s">
        <v>9</v>
      </c>
      <c r="D252" s="10"/>
      <c r="E252" s="12"/>
      <c r="H252" s="14"/>
      <c r="I252" s="14"/>
      <c r="J252" s="14"/>
      <c r="K252" s="33"/>
    </row>
    <row r="253" spans="1:11" ht="14.25" customHeight="1" x14ac:dyDescent="0.3">
      <c r="C253" s="10" t="s">
        <v>2</v>
      </c>
      <c r="D253" s="17">
        <f>SUM(D250:D252)</f>
        <v>238.86</v>
      </c>
      <c r="E253" s="12"/>
      <c r="H253" s="14"/>
      <c r="I253" s="14"/>
      <c r="J253" s="14"/>
      <c r="K253" s="33"/>
    </row>
    <row r="254" spans="1:11" ht="14.25" customHeight="1" x14ac:dyDescent="0.3">
      <c r="C254" s="10" t="s">
        <v>3</v>
      </c>
      <c r="D254" s="10">
        <f>SUM(D258:D264)</f>
        <v>26.549999999999997</v>
      </c>
      <c r="E254" s="12"/>
      <c r="H254" s="14"/>
      <c r="I254" s="14"/>
      <c r="J254" s="14"/>
      <c r="K254" s="33"/>
    </row>
    <row r="255" spans="1:11" ht="14.25" customHeight="1" x14ac:dyDescent="0.3">
      <c r="C255" s="10" t="s">
        <v>13</v>
      </c>
      <c r="D255" s="17">
        <f>D253/D254</f>
        <v>8.996610169491527</v>
      </c>
      <c r="E255" s="12"/>
      <c r="H255" s="14"/>
      <c r="I255" s="14"/>
      <c r="J255" s="14"/>
      <c r="K255" s="33"/>
    </row>
    <row r="256" spans="1:11" ht="14.25" customHeight="1" x14ac:dyDescent="0.3">
      <c r="C256" s="12"/>
      <c r="D256" s="36"/>
      <c r="E256" s="12"/>
      <c r="H256" s="14"/>
      <c r="I256" s="14"/>
      <c r="J256" s="14"/>
      <c r="K256" s="33"/>
    </row>
    <row r="257" spans="1:11" ht="15" customHeight="1" x14ac:dyDescent="0.3">
      <c r="C257" s="18" t="s">
        <v>1</v>
      </c>
      <c r="D257" s="20" t="s">
        <v>15</v>
      </c>
      <c r="E257" s="20" t="s">
        <v>16</v>
      </c>
      <c r="H257" s="14"/>
      <c r="I257" s="14"/>
      <c r="J257" s="14"/>
      <c r="K257" s="33"/>
    </row>
    <row r="258" spans="1:11" ht="14.25" customHeight="1" x14ac:dyDescent="0.3">
      <c r="A258" s="21">
        <f t="shared" ref="A258:A264" si="29">$C$248</f>
        <v>46229</v>
      </c>
      <c r="B258" s="21"/>
      <c r="C258" s="22" t="s">
        <v>22</v>
      </c>
      <c r="D258" s="23">
        <v>4.83</v>
      </c>
      <c r="E258" s="24">
        <f t="shared" ref="E258:E264" si="30">D258*$D$255</f>
        <v>43.453627118644079</v>
      </c>
      <c r="F258">
        <f>IF($C258="","",COUNTIF($C$2:$C258,$C258))</f>
        <v>4</v>
      </c>
      <c r="H258" s="14"/>
      <c r="I258" s="14"/>
      <c r="J258" s="14"/>
      <c r="K258" s="33"/>
    </row>
    <row r="259" spans="1:11" ht="14.25" customHeight="1" x14ac:dyDescent="0.3">
      <c r="A259" s="21">
        <f t="shared" si="29"/>
        <v>46229</v>
      </c>
      <c r="B259" s="21"/>
      <c r="C259" s="22" t="s">
        <v>12</v>
      </c>
      <c r="D259" s="23">
        <v>5.01</v>
      </c>
      <c r="E259" s="24">
        <f t="shared" si="30"/>
        <v>45.073016949152546</v>
      </c>
      <c r="F259">
        <f>IF($C259="","",COUNTIF($C$2:$C259,$C259))</f>
        <v>8</v>
      </c>
      <c r="H259" s="14"/>
      <c r="I259" s="14"/>
      <c r="J259" s="14"/>
      <c r="K259" s="33"/>
    </row>
    <row r="260" spans="1:11" ht="14.25" customHeight="1" x14ac:dyDescent="0.3">
      <c r="A260" s="21">
        <f t="shared" si="29"/>
        <v>46229</v>
      </c>
      <c r="B260" s="21"/>
      <c r="C260" s="22" t="s">
        <v>19</v>
      </c>
      <c r="D260" s="23">
        <v>5.23</v>
      </c>
      <c r="E260" s="24">
        <f t="shared" si="30"/>
        <v>47.052271186440692</v>
      </c>
      <c r="F260">
        <f>IF($C260="","",COUNTIF($C$2:$C260,$C260))</f>
        <v>4</v>
      </c>
      <c r="H260" s="14"/>
      <c r="I260" s="14"/>
      <c r="J260" s="14"/>
      <c r="K260" s="33"/>
    </row>
    <row r="261" spans="1:11" ht="14.25" customHeight="1" x14ac:dyDescent="0.3">
      <c r="A261" s="21">
        <f t="shared" si="29"/>
        <v>46229</v>
      </c>
      <c r="B261" s="21"/>
      <c r="C261" s="22" t="s">
        <v>14</v>
      </c>
      <c r="D261" s="23">
        <v>5.47</v>
      </c>
      <c r="E261" s="24">
        <f t="shared" si="30"/>
        <v>49.211457627118648</v>
      </c>
      <c r="F261">
        <f>IF($C261="","",COUNTIF($C$2:$C261,$C261))</f>
        <v>7</v>
      </c>
      <c r="H261" s="14"/>
      <c r="I261" s="14"/>
      <c r="J261" s="14"/>
      <c r="K261" s="33"/>
    </row>
    <row r="262" spans="1:11" ht="14.25" customHeight="1" x14ac:dyDescent="0.3">
      <c r="A262" s="21">
        <f t="shared" si="29"/>
        <v>46229</v>
      </c>
      <c r="B262" s="21"/>
      <c r="C262" s="22" t="s">
        <v>21</v>
      </c>
      <c r="D262" s="23">
        <v>6.01</v>
      </c>
      <c r="E262" s="24">
        <f t="shared" si="30"/>
        <v>54.069627118644078</v>
      </c>
      <c r="F262">
        <f>IF($C262="","",COUNTIF($C$2:$C262,$C262))</f>
        <v>7</v>
      </c>
      <c r="H262" s="14"/>
      <c r="I262" s="14"/>
      <c r="J262" s="14"/>
      <c r="K262" s="33"/>
    </row>
    <row r="263" spans="1:11" ht="14.25" customHeight="1" x14ac:dyDescent="0.3">
      <c r="A263" s="21">
        <f t="shared" si="29"/>
        <v>46229</v>
      </c>
      <c r="B263" s="21"/>
      <c r="C263" s="22"/>
      <c r="D263" s="23"/>
      <c r="E263" s="24">
        <f t="shared" si="30"/>
        <v>0</v>
      </c>
      <c r="F263" t="str">
        <f>IF($C263="","",COUNTIF($C$2:$C263,$C263))</f>
        <v/>
      </c>
      <c r="H263" s="14"/>
      <c r="I263" s="14"/>
      <c r="J263" s="14"/>
      <c r="K263" s="33"/>
    </row>
    <row r="264" spans="1:11" ht="14.25" customHeight="1" x14ac:dyDescent="0.3">
      <c r="A264" s="21">
        <f t="shared" si="29"/>
        <v>46229</v>
      </c>
      <c r="B264" s="21"/>
      <c r="C264" s="22"/>
      <c r="D264" s="23"/>
      <c r="E264" s="24">
        <f t="shared" si="30"/>
        <v>0</v>
      </c>
      <c r="F264" t="str">
        <f>IF($C264="","",COUNTIF($C$2:$C264,$C264))</f>
        <v/>
      </c>
      <c r="H264" s="14"/>
      <c r="I264" s="14"/>
      <c r="J264" s="14"/>
      <c r="K264" s="33"/>
    </row>
    <row r="265" spans="1:11" ht="15" customHeight="1" x14ac:dyDescent="0.3">
      <c r="C265" s="25" t="s">
        <v>24</v>
      </c>
      <c r="D265" s="26"/>
      <c r="E265" s="27">
        <f>SUM(E258:E264)</f>
        <v>238.86</v>
      </c>
      <c r="H265" s="14"/>
      <c r="I265" s="14"/>
      <c r="J265" s="14"/>
      <c r="K265" s="33"/>
    </row>
    <row r="266" spans="1:11" ht="14.25" customHeight="1" x14ac:dyDescent="0.3">
      <c r="C266" s="39"/>
      <c r="D266" s="40"/>
      <c r="E266" s="40"/>
      <c r="H266" s="14"/>
      <c r="I266" s="14"/>
      <c r="J266" s="14"/>
      <c r="K266" s="33"/>
    </row>
    <row r="267" spans="1:11" ht="14.25" customHeight="1" x14ac:dyDescent="0.3">
      <c r="H267" s="33"/>
      <c r="I267" s="33"/>
      <c r="J267" s="33"/>
      <c r="K267" s="33"/>
    </row>
    <row r="268" spans="1:11" ht="14.25" customHeight="1" x14ac:dyDescent="0.3">
      <c r="H268" s="33"/>
      <c r="I268" s="33"/>
      <c r="J268" s="33"/>
      <c r="K268" s="33"/>
    </row>
    <row r="269" spans="1:11" ht="14.25" customHeight="1" x14ac:dyDescent="0.3">
      <c r="H269" s="33"/>
      <c r="I269" s="33"/>
      <c r="J269" s="33"/>
      <c r="K269" s="33"/>
    </row>
    <row r="270" spans="1:11" ht="14.25" customHeight="1" x14ac:dyDescent="0.3">
      <c r="H270" s="33"/>
      <c r="I270" s="33"/>
      <c r="J270" s="33"/>
      <c r="K270" s="33"/>
    </row>
    <row r="271" spans="1:11" ht="14.25" customHeight="1" x14ac:dyDescent="0.3">
      <c r="H271" s="33"/>
      <c r="I271" s="33"/>
      <c r="J271" s="33"/>
      <c r="K271" s="33"/>
    </row>
    <row r="272" spans="1:11" ht="14.25" customHeight="1" x14ac:dyDescent="0.3">
      <c r="H272" s="33"/>
      <c r="I272" s="33"/>
      <c r="J272" s="33"/>
      <c r="K272" s="33"/>
    </row>
    <row r="273" spans="8:11" ht="14.25" customHeight="1" x14ac:dyDescent="0.3">
      <c r="H273" s="33"/>
      <c r="I273" s="33"/>
      <c r="J273" s="33"/>
      <c r="K273" s="33"/>
    </row>
    <row r="274" spans="8:11" ht="14.25" customHeight="1" x14ac:dyDescent="0.3">
      <c r="H274" s="33"/>
      <c r="I274" s="33"/>
      <c r="J274" s="33"/>
      <c r="K274" s="33"/>
    </row>
    <row r="275" spans="8:11" ht="14.25" customHeight="1" x14ac:dyDescent="0.3">
      <c r="H275" s="33"/>
      <c r="I275" s="33"/>
      <c r="J275" s="33"/>
      <c r="K275" s="33"/>
    </row>
    <row r="276" spans="8:11" ht="14.25" customHeight="1" x14ac:dyDescent="0.3">
      <c r="H276" s="33"/>
      <c r="I276" s="33"/>
      <c r="J276" s="33"/>
      <c r="K276" s="33"/>
    </row>
    <row r="277" spans="8:11" ht="14.25" customHeight="1" x14ac:dyDescent="0.3">
      <c r="H277" s="33"/>
      <c r="I277" s="33"/>
      <c r="J277" s="33"/>
      <c r="K277" s="33"/>
    </row>
    <row r="278" spans="8:11" ht="14.25" customHeight="1" x14ac:dyDescent="0.3">
      <c r="H278" s="33"/>
      <c r="I278" s="33"/>
      <c r="J278" s="33"/>
      <c r="K278" s="33"/>
    </row>
    <row r="279" spans="8:11" ht="14.25" customHeight="1" x14ac:dyDescent="0.3">
      <c r="H279" s="33"/>
      <c r="I279" s="33"/>
      <c r="J279" s="33"/>
      <c r="K279" s="33"/>
    </row>
    <row r="280" spans="8:11" ht="14.25" customHeight="1" x14ac:dyDescent="0.3">
      <c r="H280" s="33"/>
      <c r="I280" s="33"/>
      <c r="J280" s="33"/>
      <c r="K280" s="33"/>
    </row>
    <row r="281" spans="8:11" ht="14.25" customHeight="1" x14ac:dyDescent="0.3">
      <c r="H281" s="33"/>
      <c r="I281" s="33"/>
      <c r="J281" s="33"/>
      <c r="K281" s="33"/>
    </row>
    <row r="282" spans="8:11" ht="14.25" customHeight="1" x14ac:dyDescent="0.3">
      <c r="H282" s="33"/>
      <c r="I282" s="33"/>
      <c r="J282" s="33"/>
      <c r="K282" s="33"/>
    </row>
    <row r="283" spans="8:11" ht="14.25" customHeight="1" x14ac:dyDescent="0.3">
      <c r="H283" s="33"/>
      <c r="I283" s="33"/>
      <c r="J283" s="33"/>
      <c r="K283" s="33"/>
    </row>
    <row r="284" spans="8:11" ht="14.25" customHeight="1" x14ac:dyDescent="0.3">
      <c r="H284" s="33"/>
      <c r="I284" s="33"/>
      <c r="J284" s="33"/>
      <c r="K284" s="33"/>
    </row>
    <row r="285" spans="8:11" ht="14.25" customHeight="1" x14ac:dyDescent="0.3">
      <c r="H285" s="33"/>
      <c r="I285" s="33"/>
      <c r="J285" s="33"/>
      <c r="K285" s="33"/>
    </row>
    <row r="286" spans="8:11" ht="14.25" customHeight="1" x14ac:dyDescent="0.3">
      <c r="H286" s="33"/>
      <c r="I286" s="33"/>
      <c r="J286" s="33"/>
      <c r="K286" s="33"/>
    </row>
    <row r="287" spans="8:11" ht="14.25" customHeight="1" x14ac:dyDescent="0.3">
      <c r="H287" s="33"/>
      <c r="I287" s="33"/>
      <c r="J287" s="33"/>
      <c r="K287" s="33"/>
    </row>
    <row r="288" spans="8:11" ht="14.25" customHeight="1" x14ac:dyDescent="0.3">
      <c r="H288" s="33"/>
      <c r="I288" s="33"/>
      <c r="J288" s="33"/>
      <c r="K288" s="33"/>
    </row>
    <row r="289" spans="8:11" ht="14.25" customHeight="1" x14ac:dyDescent="0.3">
      <c r="H289" s="33"/>
      <c r="I289" s="33"/>
      <c r="J289" s="33"/>
      <c r="K289" s="33"/>
    </row>
    <row r="290" spans="8:11" ht="14.25" customHeight="1" x14ac:dyDescent="0.3">
      <c r="H290" s="33"/>
      <c r="I290" s="33"/>
      <c r="J290" s="33"/>
      <c r="K290" s="33"/>
    </row>
    <row r="291" spans="8:11" ht="14.25" customHeight="1" x14ac:dyDescent="0.3">
      <c r="H291" s="33"/>
      <c r="I291" s="33"/>
      <c r="J291" s="33"/>
      <c r="K291" s="33"/>
    </row>
    <row r="292" spans="8:11" ht="14.25" customHeight="1" x14ac:dyDescent="0.3">
      <c r="H292" s="33"/>
      <c r="I292" s="33"/>
      <c r="J292" s="33"/>
      <c r="K292" s="33"/>
    </row>
    <row r="293" spans="8:11" ht="14.25" customHeight="1" x14ac:dyDescent="0.3">
      <c r="H293" s="33"/>
      <c r="I293" s="33"/>
      <c r="J293" s="33"/>
      <c r="K293" s="33"/>
    </row>
    <row r="294" spans="8:11" ht="14.25" customHeight="1" x14ac:dyDescent="0.3">
      <c r="H294" s="33"/>
      <c r="I294" s="33"/>
      <c r="J294" s="33"/>
      <c r="K294" s="33"/>
    </row>
    <row r="295" spans="8:11" ht="14.25" customHeight="1" x14ac:dyDescent="0.3">
      <c r="H295" s="33"/>
      <c r="I295" s="33"/>
      <c r="J295" s="33"/>
      <c r="K295" s="33"/>
    </row>
    <row r="296" spans="8:11" ht="14.25" customHeight="1" x14ac:dyDescent="0.3">
      <c r="H296" s="33"/>
      <c r="I296" s="33"/>
      <c r="J296" s="33"/>
      <c r="K296" s="33"/>
    </row>
    <row r="297" spans="8:11" ht="14.25" customHeight="1" x14ac:dyDescent="0.3">
      <c r="H297" s="33"/>
      <c r="I297" s="33"/>
      <c r="J297" s="33"/>
      <c r="K297" s="33"/>
    </row>
    <row r="298" spans="8:11" ht="14.25" customHeight="1" x14ac:dyDescent="0.3">
      <c r="H298" s="33"/>
      <c r="I298" s="33"/>
      <c r="J298" s="33"/>
      <c r="K298" s="33"/>
    </row>
    <row r="299" spans="8:11" ht="14.25" customHeight="1" x14ac:dyDescent="0.3">
      <c r="H299" s="33"/>
      <c r="I299" s="33"/>
      <c r="J299" s="33"/>
      <c r="K299" s="33"/>
    </row>
    <row r="300" spans="8:11" ht="14.25" customHeight="1" x14ac:dyDescent="0.3">
      <c r="H300" s="33"/>
      <c r="I300" s="33"/>
      <c r="J300" s="33"/>
      <c r="K300" s="33"/>
    </row>
    <row r="301" spans="8:11" ht="14.25" customHeight="1" x14ac:dyDescent="0.3">
      <c r="H301" s="33"/>
      <c r="I301" s="33"/>
      <c r="J301" s="33"/>
      <c r="K301" s="33"/>
    </row>
    <row r="302" spans="8:11" ht="14.25" customHeight="1" x14ac:dyDescent="0.3">
      <c r="H302" s="33"/>
      <c r="I302" s="33"/>
      <c r="J302" s="33"/>
      <c r="K302" s="33"/>
    </row>
    <row r="303" spans="8:11" ht="14.25" customHeight="1" x14ac:dyDescent="0.3">
      <c r="H303" s="33"/>
      <c r="I303" s="33"/>
      <c r="J303" s="33"/>
      <c r="K303" s="33"/>
    </row>
    <row r="304" spans="8:11" ht="14.25" customHeight="1" x14ac:dyDescent="0.3">
      <c r="H304" s="33"/>
      <c r="I304" s="33"/>
      <c r="J304" s="33"/>
      <c r="K304" s="33"/>
    </row>
    <row r="305" spans="8:11" ht="14.25" customHeight="1" x14ac:dyDescent="0.3">
      <c r="H305" s="33"/>
      <c r="I305" s="33"/>
      <c r="J305" s="33"/>
      <c r="K305" s="33"/>
    </row>
    <row r="306" spans="8:11" ht="14.25" customHeight="1" x14ac:dyDescent="0.3">
      <c r="H306" s="33"/>
      <c r="I306" s="33"/>
      <c r="J306" s="33"/>
      <c r="K306" s="33"/>
    </row>
    <row r="307" spans="8:11" ht="14.25" customHeight="1" x14ac:dyDescent="0.3">
      <c r="H307" s="33"/>
      <c r="I307" s="33"/>
      <c r="J307" s="33"/>
      <c r="K307" s="33"/>
    </row>
    <row r="308" spans="8:11" ht="14.25" customHeight="1" x14ac:dyDescent="0.3">
      <c r="H308" s="33"/>
      <c r="I308" s="33"/>
      <c r="J308" s="33"/>
      <c r="K308" s="33"/>
    </row>
    <row r="309" spans="8:11" ht="14.25" customHeight="1" x14ac:dyDescent="0.3">
      <c r="H309" s="33"/>
      <c r="I309" s="33"/>
      <c r="J309" s="33"/>
      <c r="K309" s="33"/>
    </row>
    <row r="310" spans="8:11" ht="14.25" customHeight="1" x14ac:dyDescent="0.3">
      <c r="H310" s="33"/>
      <c r="I310" s="33"/>
      <c r="J310" s="33"/>
      <c r="K310" s="33"/>
    </row>
    <row r="311" spans="8:11" ht="14.25" customHeight="1" x14ac:dyDescent="0.3">
      <c r="H311" s="33"/>
      <c r="I311" s="33"/>
      <c r="J311" s="33"/>
      <c r="K311" s="33"/>
    </row>
    <row r="312" spans="8:11" ht="14.25" customHeight="1" x14ac:dyDescent="0.3">
      <c r="H312" s="33"/>
      <c r="I312" s="33"/>
      <c r="J312" s="33"/>
      <c r="K312" s="33"/>
    </row>
    <row r="313" spans="8:11" ht="14.25" customHeight="1" x14ac:dyDescent="0.3">
      <c r="H313" s="33"/>
      <c r="I313" s="33"/>
      <c r="J313" s="33"/>
      <c r="K313" s="33"/>
    </row>
    <row r="314" spans="8:11" ht="14.25" customHeight="1" x14ac:dyDescent="0.3">
      <c r="H314" s="33"/>
      <c r="I314" s="33"/>
      <c r="J314" s="33"/>
      <c r="K314" s="33"/>
    </row>
    <row r="315" spans="8:11" ht="14.25" customHeight="1" x14ac:dyDescent="0.3">
      <c r="H315" s="33"/>
      <c r="I315" s="33"/>
      <c r="J315" s="33"/>
      <c r="K315" s="33"/>
    </row>
    <row r="316" spans="8:11" ht="14.25" customHeight="1" x14ac:dyDescent="0.3">
      <c r="H316" s="33"/>
      <c r="I316" s="33"/>
      <c r="J316" s="33"/>
      <c r="K316" s="33"/>
    </row>
    <row r="317" spans="8:11" ht="14.25" customHeight="1" x14ac:dyDescent="0.3">
      <c r="H317" s="33"/>
      <c r="I317" s="33"/>
      <c r="J317" s="33"/>
      <c r="K317" s="33"/>
    </row>
    <row r="318" spans="8:11" ht="14.25" customHeight="1" x14ac:dyDescent="0.3">
      <c r="H318" s="33"/>
      <c r="I318" s="33"/>
      <c r="J318" s="33"/>
      <c r="K318" s="33"/>
    </row>
    <row r="319" spans="8:11" ht="14.25" customHeight="1" x14ac:dyDescent="0.3">
      <c r="H319" s="33"/>
      <c r="I319" s="33"/>
      <c r="J319" s="33"/>
      <c r="K319" s="33"/>
    </row>
    <row r="320" spans="8:11" ht="14.25" customHeight="1" x14ac:dyDescent="0.3">
      <c r="H320" s="33"/>
      <c r="I320" s="33"/>
      <c r="J320" s="33"/>
      <c r="K320" s="33"/>
    </row>
    <row r="321" spans="8:11" ht="14.25" customHeight="1" x14ac:dyDescent="0.3">
      <c r="H321" s="33"/>
      <c r="I321" s="33"/>
      <c r="J321" s="33"/>
      <c r="K321" s="33"/>
    </row>
    <row r="322" spans="8:11" ht="14.25" customHeight="1" x14ac:dyDescent="0.3">
      <c r="H322" s="33"/>
      <c r="I322" s="33"/>
      <c r="J322" s="33"/>
      <c r="K322" s="33"/>
    </row>
    <row r="323" spans="8:11" ht="14.25" customHeight="1" x14ac:dyDescent="0.3">
      <c r="H323" s="33"/>
      <c r="I323" s="33"/>
      <c r="J323" s="33"/>
      <c r="K323" s="33"/>
    </row>
    <row r="324" spans="8:11" ht="14.25" customHeight="1" x14ac:dyDescent="0.3">
      <c r="H324" s="33"/>
      <c r="I324" s="33"/>
      <c r="J324" s="33"/>
      <c r="K324" s="33"/>
    </row>
    <row r="325" spans="8:11" ht="14.25" customHeight="1" x14ac:dyDescent="0.3">
      <c r="H325" s="33"/>
      <c r="I325" s="33"/>
      <c r="J325" s="33"/>
      <c r="K325" s="33"/>
    </row>
    <row r="326" spans="8:11" ht="14.25" customHeight="1" x14ac:dyDescent="0.3">
      <c r="H326" s="33"/>
      <c r="I326" s="33"/>
      <c r="J326" s="33"/>
      <c r="K326" s="33"/>
    </row>
    <row r="327" spans="8:11" ht="14.25" customHeight="1" x14ac:dyDescent="0.3">
      <c r="H327" s="33"/>
      <c r="I327" s="33"/>
      <c r="J327" s="33"/>
      <c r="K327" s="33"/>
    </row>
    <row r="328" spans="8:11" ht="14.25" customHeight="1" x14ac:dyDescent="0.3">
      <c r="H328" s="33"/>
      <c r="I328" s="33"/>
      <c r="J328" s="33"/>
      <c r="K328" s="33"/>
    </row>
    <row r="329" spans="8:11" ht="14.25" customHeight="1" x14ac:dyDescent="0.3">
      <c r="H329" s="33"/>
      <c r="I329" s="33"/>
      <c r="J329" s="33"/>
      <c r="K329" s="33"/>
    </row>
    <row r="330" spans="8:11" ht="14.25" customHeight="1" x14ac:dyDescent="0.3">
      <c r="H330" s="33"/>
      <c r="I330" s="33"/>
      <c r="J330" s="33"/>
      <c r="K330" s="33"/>
    </row>
    <row r="331" spans="8:11" ht="14.25" customHeight="1" x14ac:dyDescent="0.3">
      <c r="H331" s="33"/>
      <c r="I331" s="33"/>
      <c r="J331" s="33"/>
      <c r="K331" s="33"/>
    </row>
    <row r="332" spans="8:11" ht="14.25" customHeight="1" x14ac:dyDescent="0.3">
      <c r="H332" s="33"/>
      <c r="I332" s="33"/>
      <c r="J332" s="33"/>
      <c r="K332" s="33"/>
    </row>
    <row r="333" spans="8:11" ht="14.25" customHeight="1" x14ac:dyDescent="0.3">
      <c r="H333" s="33"/>
      <c r="I333" s="33"/>
      <c r="J333" s="33"/>
      <c r="K333" s="33"/>
    </row>
    <row r="334" spans="8:11" ht="14.25" customHeight="1" x14ac:dyDescent="0.3">
      <c r="H334" s="33"/>
      <c r="I334" s="33"/>
      <c r="J334" s="33"/>
      <c r="K334" s="33"/>
    </row>
    <row r="335" spans="8:11" ht="14.25" customHeight="1" x14ac:dyDescent="0.3">
      <c r="H335" s="33"/>
      <c r="I335" s="33"/>
      <c r="J335" s="33"/>
      <c r="K335" s="33"/>
    </row>
    <row r="336" spans="8:11" ht="14.25" customHeight="1" x14ac:dyDescent="0.3">
      <c r="H336" s="33"/>
      <c r="I336" s="33"/>
      <c r="J336" s="33"/>
      <c r="K336" s="33"/>
    </row>
    <row r="337" spans="8:11" ht="14.25" customHeight="1" x14ac:dyDescent="0.3">
      <c r="H337" s="33"/>
      <c r="I337" s="33"/>
      <c r="J337" s="33"/>
      <c r="K337" s="33"/>
    </row>
    <row r="338" spans="8:11" ht="14.25" customHeight="1" x14ac:dyDescent="0.3">
      <c r="H338" s="33"/>
      <c r="I338" s="33"/>
      <c r="J338" s="33"/>
      <c r="K338" s="33"/>
    </row>
    <row r="339" spans="8:11" ht="14.25" customHeight="1" x14ac:dyDescent="0.3">
      <c r="H339" s="33"/>
      <c r="I339" s="33"/>
      <c r="J339" s="33"/>
      <c r="K339" s="33"/>
    </row>
    <row r="340" spans="8:11" ht="14.25" customHeight="1" x14ac:dyDescent="0.3">
      <c r="H340" s="33"/>
      <c r="I340" s="33"/>
      <c r="J340" s="33"/>
      <c r="K340" s="33"/>
    </row>
    <row r="341" spans="8:11" ht="14.25" customHeight="1" x14ac:dyDescent="0.3">
      <c r="H341" s="33"/>
      <c r="I341" s="33"/>
      <c r="J341" s="33"/>
      <c r="K341" s="33"/>
    </row>
    <row r="342" spans="8:11" ht="14.25" customHeight="1" x14ac:dyDescent="0.3">
      <c r="H342" s="33"/>
      <c r="I342" s="33"/>
      <c r="J342" s="33"/>
      <c r="K342" s="33"/>
    </row>
    <row r="343" spans="8:11" ht="14.25" customHeight="1" x14ac:dyDescent="0.3">
      <c r="H343" s="33"/>
      <c r="I343" s="33"/>
      <c r="J343" s="33"/>
      <c r="K343" s="33"/>
    </row>
    <row r="344" spans="8:11" ht="14.25" customHeight="1" x14ac:dyDescent="0.3">
      <c r="H344" s="33"/>
      <c r="I344" s="33"/>
      <c r="J344" s="33"/>
      <c r="K344" s="33"/>
    </row>
    <row r="345" spans="8:11" ht="14.25" customHeight="1" x14ac:dyDescent="0.3">
      <c r="H345" s="33"/>
      <c r="I345" s="33"/>
      <c r="J345" s="33"/>
      <c r="K345" s="33"/>
    </row>
    <row r="346" spans="8:11" ht="14.25" customHeight="1" x14ac:dyDescent="0.3">
      <c r="H346" s="33"/>
      <c r="I346" s="33"/>
      <c r="J346" s="33"/>
      <c r="K346" s="33"/>
    </row>
    <row r="347" spans="8:11" ht="14.25" customHeight="1" x14ac:dyDescent="0.3">
      <c r="H347" s="33"/>
      <c r="I347" s="33"/>
      <c r="J347" s="33"/>
      <c r="K347" s="33"/>
    </row>
    <row r="348" spans="8:11" ht="14.25" customHeight="1" x14ac:dyDescent="0.3">
      <c r="H348" s="33"/>
      <c r="I348" s="33"/>
      <c r="J348" s="33"/>
      <c r="K348" s="33"/>
    </row>
    <row r="349" spans="8:11" ht="14.25" customHeight="1" x14ac:dyDescent="0.3">
      <c r="H349" s="33"/>
      <c r="I349" s="33"/>
      <c r="J349" s="33"/>
      <c r="K349" s="33"/>
    </row>
    <row r="350" spans="8:11" ht="14.25" customHeight="1" x14ac:dyDescent="0.3">
      <c r="H350" s="33"/>
      <c r="I350" s="33"/>
      <c r="J350" s="33"/>
      <c r="K350" s="33"/>
    </row>
    <row r="351" spans="8:11" ht="14.25" customHeight="1" x14ac:dyDescent="0.3">
      <c r="H351" s="33"/>
      <c r="I351" s="33"/>
      <c r="J351" s="33"/>
      <c r="K351" s="33"/>
    </row>
    <row r="352" spans="8:11" ht="14.25" customHeight="1" x14ac:dyDescent="0.3">
      <c r="H352" s="33"/>
      <c r="I352" s="33"/>
      <c r="J352" s="33"/>
      <c r="K352" s="33"/>
    </row>
    <row r="353" spans="8:11" ht="14.25" customHeight="1" x14ac:dyDescent="0.3">
      <c r="H353" s="33"/>
      <c r="I353" s="33"/>
      <c r="J353" s="33"/>
      <c r="K353" s="33"/>
    </row>
    <row r="354" spans="8:11" ht="14.25" customHeight="1" x14ac:dyDescent="0.3">
      <c r="H354" s="33"/>
      <c r="I354" s="33"/>
      <c r="J354" s="33"/>
      <c r="K354" s="33"/>
    </row>
    <row r="355" spans="8:11" ht="14.25" customHeight="1" x14ac:dyDescent="0.3">
      <c r="H355" s="33"/>
      <c r="I355" s="33"/>
      <c r="J355" s="33"/>
      <c r="K355" s="33"/>
    </row>
    <row r="356" spans="8:11" ht="14.25" customHeight="1" x14ac:dyDescent="0.3">
      <c r="H356" s="33"/>
      <c r="I356" s="33"/>
      <c r="J356" s="33"/>
      <c r="K356" s="33"/>
    </row>
    <row r="357" spans="8:11" ht="14.25" customHeight="1" x14ac:dyDescent="0.3">
      <c r="H357" s="33"/>
      <c r="I357" s="33"/>
      <c r="J357" s="33"/>
      <c r="K357" s="33"/>
    </row>
    <row r="358" spans="8:11" ht="14.25" customHeight="1" x14ac:dyDescent="0.3">
      <c r="H358" s="33"/>
      <c r="I358" s="33"/>
      <c r="J358" s="33"/>
      <c r="K358" s="33"/>
    </row>
    <row r="359" spans="8:11" ht="14.25" customHeight="1" x14ac:dyDescent="0.3">
      <c r="H359" s="33"/>
      <c r="I359" s="33"/>
      <c r="J359" s="33"/>
      <c r="K359" s="33"/>
    </row>
    <row r="360" spans="8:11" ht="14.25" customHeight="1" x14ac:dyDescent="0.3">
      <c r="H360" s="33"/>
      <c r="I360" s="33"/>
      <c r="J360" s="33"/>
      <c r="K360" s="33"/>
    </row>
    <row r="361" spans="8:11" ht="14.25" customHeight="1" x14ac:dyDescent="0.3">
      <c r="H361" s="33"/>
      <c r="I361" s="33"/>
      <c r="J361" s="33"/>
      <c r="K361" s="33"/>
    </row>
    <row r="362" spans="8:11" ht="14.25" customHeight="1" x14ac:dyDescent="0.3">
      <c r="H362" s="33"/>
      <c r="I362" s="33"/>
      <c r="J362" s="33"/>
      <c r="K362" s="33"/>
    </row>
    <row r="363" spans="8:11" ht="14.25" customHeight="1" x14ac:dyDescent="0.3">
      <c r="H363" s="33"/>
      <c r="I363" s="33"/>
      <c r="J363" s="33"/>
      <c r="K363" s="33"/>
    </row>
    <row r="364" spans="8:11" ht="14.25" customHeight="1" x14ac:dyDescent="0.3">
      <c r="H364" s="33"/>
      <c r="I364" s="33"/>
      <c r="J364" s="33"/>
      <c r="K364" s="33"/>
    </row>
    <row r="365" spans="8:11" ht="14.25" customHeight="1" x14ac:dyDescent="0.3">
      <c r="H365" s="33"/>
      <c r="I365" s="33"/>
      <c r="J365" s="33"/>
      <c r="K365" s="33"/>
    </row>
    <row r="366" spans="8:11" ht="14.25" customHeight="1" x14ac:dyDescent="0.3">
      <c r="H366" s="33"/>
      <c r="I366" s="33"/>
      <c r="J366" s="33"/>
      <c r="K366" s="33"/>
    </row>
    <row r="367" spans="8:11" ht="14.25" customHeight="1" x14ac:dyDescent="0.3">
      <c r="H367" s="33"/>
      <c r="I367" s="33"/>
      <c r="J367" s="33"/>
      <c r="K367" s="33"/>
    </row>
    <row r="368" spans="8:11" ht="14.25" customHeight="1" x14ac:dyDescent="0.3">
      <c r="H368" s="33"/>
      <c r="I368" s="33"/>
      <c r="J368" s="33"/>
      <c r="K368" s="33"/>
    </row>
    <row r="369" spans="8:11" ht="14.25" customHeight="1" x14ac:dyDescent="0.3">
      <c r="H369" s="33"/>
      <c r="I369" s="33"/>
      <c r="J369" s="33"/>
      <c r="K369" s="33"/>
    </row>
    <row r="370" spans="8:11" ht="14.25" customHeight="1" x14ac:dyDescent="0.3">
      <c r="H370" s="33"/>
      <c r="I370" s="33"/>
      <c r="J370" s="33"/>
      <c r="K370" s="33"/>
    </row>
    <row r="371" spans="8:11" ht="14.25" customHeight="1" x14ac:dyDescent="0.3">
      <c r="H371" s="33"/>
      <c r="I371" s="33"/>
      <c r="J371" s="33"/>
      <c r="K371" s="33"/>
    </row>
    <row r="372" spans="8:11" ht="14.25" customHeight="1" x14ac:dyDescent="0.3">
      <c r="H372" s="33"/>
      <c r="I372" s="33"/>
      <c r="J372" s="33"/>
      <c r="K372" s="33"/>
    </row>
    <row r="373" spans="8:11" ht="14.25" customHeight="1" x14ac:dyDescent="0.3">
      <c r="H373" s="33"/>
      <c r="I373" s="33"/>
      <c r="J373" s="33"/>
      <c r="K373" s="33"/>
    </row>
    <row r="374" spans="8:11" ht="14.25" customHeight="1" x14ac:dyDescent="0.3">
      <c r="H374" s="33"/>
      <c r="I374" s="33"/>
      <c r="J374" s="33"/>
      <c r="K374" s="33"/>
    </row>
    <row r="375" spans="8:11" ht="14.25" customHeight="1" x14ac:dyDescent="0.3">
      <c r="H375" s="33"/>
      <c r="I375" s="33"/>
      <c r="J375" s="33"/>
      <c r="K375" s="33"/>
    </row>
    <row r="376" spans="8:11" ht="14.25" customHeight="1" x14ac:dyDescent="0.3">
      <c r="H376" s="33"/>
      <c r="I376" s="33"/>
      <c r="J376" s="33"/>
      <c r="K376" s="33"/>
    </row>
    <row r="377" spans="8:11" ht="14.25" customHeight="1" x14ac:dyDescent="0.3">
      <c r="H377" s="33"/>
      <c r="I377" s="33"/>
      <c r="J377" s="33"/>
      <c r="K377" s="33"/>
    </row>
    <row r="378" spans="8:11" ht="14.25" customHeight="1" x14ac:dyDescent="0.3">
      <c r="H378" s="33"/>
      <c r="I378" s="33"/>
      <c r="J378" s="33"/>
      <c r="K378" s="33"/>
    </row>
    <row r="379" spans="8:11" ht="14.25" customHeight="1" x14ac:dyDescent="0.3">
      <c r="H379" s="33"/>
      <c r="I379" s="33"/>
      <c r="J379" s="33"/>
      <c r="K379" s="33"/>
    </row>
    <row r="380" spans="8:11" ht="14.25" customHeight="1" x14ac:dyDescent="0.3">
      <c r="H380" s="33"/>
      <c r="I380" s="33"/>
      <c r="J380" s="33"/>
      <c r="K380" s="33"/>
    </row>
    <row r="381" spans="8:11" ht="14.25" customHeight="1" x14ac:dyDescent="0.3">
      <c r="H381" s="33"/>
      <c r="I381" s="33"/>
      <c r="J381" s="33"/>
      <c r="K381" s="33"/>
    </row>
    <row r="382" spans="8:11" ht="14.25" customHeight="1" x14ac:dyDescent="0.3">
      <c r="H382" s="33"/>
      <c r="I382" s="33"/>
      <c r="J382" s="33"/>
      <c r="K382" s="33"/>
    </row>
    <row r="383" spans="8:11" ht="14.25" customHeight="1" x14ac:dyDescent="0.3">
      <c r="H383" s="33"/>
      <c r="I383" s="33"/>
      <c r="J383" s="33"/>
      <c r="K383" s="33"/>
    </row>
    <row r="384" spans="8:11" ht="14.25" customHeight="1" x14ac:dyDescent="0.3">
      <c r="H384" s="33"/>
      <c r="I384" s="33"/>
      <c r="J384" s="33"/>
      <c r="K384" s="33"/>
    </row>
    <row r="385" spans="8:11" ht="14.25" customHeight="1" x14ac:dyDescent="0.3">
      <c r="H385" s="33"/>
      <c r="I385" s="33"/>
      <c r="J385" s="33"/>
      <c r="K385" s="33"/>
    </row>
    <row r="386" spans="8:11" ht="14.25" customHeight="1" x14ac:dyDescent="0.3">
      <c r="H386" s="33"/>
      <c r="I386" s="33"/>
      <c r="J386" s="33"/>
      <c r="K386" s="33"/>
    </row>
    <row r="387" spans="8:11" ht="14.25" customHeight="1" x14ac:dyDescent="0.3">
      <c r="H387" s="33"/>
      <c r="I387" s="33"/>
      <c r="J387" s="33"/>
      <c r="K387" s="33"/>
    </row>
    <row r="388" spans="8:11" ht="14.25" customHeight="1" x14ac:dyDescent="0.3">
      <c r="H388" s="33"/>
      <c r="I388" s="33"/>
      <c r="J388" s="33"/>
      <c r="K388" s="33"/>
    </row>
    <row r="389" spans="8:11" ht="14.25" customHeight="1" x14ac:dyDescent="0.3">
      <c r="H389" s="33"/>
      <c r="I389" s="33"/>
      <c r="J389" s="33"/>
      <c r="K389" s="33"/>
    </row>
    <row r="390" spans="8:11" ht="14.25" customHeight="1" x14ac:dyDescent="0.3">
      <c r="H390" s="33"/>
      <c r="I390" s="33"/>
      <c r="J390" s="33"/>
      <c r="K390" s="33"/>
    </row>
    <row r="391" spans="8:11" ht="14.25" customHeight="1" x14ac:dyDescent="0.3">
      <c r="H391" s="33"/>
      <c r="I391" s="33"/>
      <c r="J391" s="33"/>
      <c r="K391" s="33"/>
    </row>
    <row r="392" spans="8:11" ht="14.25" customHeight="1" x14ac:dyDescent="0.3">
      <c r="H392" s="33"/>
      <c r="I392" s="33"/>
      <c r="J392" s="33"/>
      <c r="K392" s="33"/>
    </row>
    <row r="393" spans="8:11" ht="14.25" customHeight="1" x14ac:dyDescent="0.3">
      <c r="H393" s="33"/>
      <c r="I393" s="33"/>
      <c r="J393" s="33"/>
      <c r="K393" s="33"/>
    </row>
    <row r="394" spans="8:11" ht="14.25" customHeight="1" x14ac:dyDescent="0.3">
      <c r="H394" s="33"/>
      <c r="I394" s="33"/>
      <c r="J394" s="33"/>
      <c r="K394" s="33"/>
    </row>
    <row r="395" spans="8:11" ht="14.25" customHeight="1" x14ac:dyDescent="0.3">
      <c r="H395" s="33"/>
      <c r="I395" s="33"/>
      <c r="J395" s="33"/>
      <c r="K395" s="33"/>
    </row>
    <row r="396" spans="8:11" ht="14.25" customHeight="1" x14ac:dyDescent="0.3">
      <c r="H396" s="33"/>
      <c r="I396" s="33"/>
      <c r="J396" s="33"/>
      <c r="K396" s="33"/>
    </row>
    <row r="397" spans="8:11" ht="14.25" customHeight="1" x14ac:dyDescent="0.3">
      <c r="H397" s="33"/>
      <c r="I397" s="33"/>
      <c r="J397" s="33"/>
      <c r="K397" s="33"/>
    </row>
    <row r="398" spans="8:11" ht="14.25" customHeight="1" x14ac:dyDescent="0.3">
      <c r="H398" s="33"/>
      <c r="I398" s="33"/>
      <c r="J398" s="33"/>
      <c r="K398" s="33"/>
    </row>
    <row r="399" spans="8:11" ht="14.25" customHeight="1" x14ac:dyDescent="0.3">
      <c r="H399" s="33"/>
      <c r="I399" s="33"/>
      <c r="J399" s="33"/>
      <c r="K399" s="33"/>
    </row>
    <row r="400" spans="8:11" ht="14.25" customHeight="1" x14ac:dyDescent="0.3">
      <c r="H400" s="33"/>
      <c r="I400" s="33"/>
      <c r="J400" s="33"/>
      <c r="K400" s="33"/>
    </row>
  </sheetData>
  <sheetProtection algorithmName="SHA-512" hashValue="hmnOPvPQ8/B5j/8076pWM7MtZJj19ASpVbEsaToBSNneME6LA+ul2kndbC57ZZVzSt8/b9Zo9roUg0O8LwSctw==" saltValue="4/0biDeUDToycrsJcYaTXg==" spinCount="100000" sheet="1" formatCells="0" formatColumns="0" formatRows="0" insertColumns="0" insertRows="0" insertHyperlinks="0" deleteColumns="0" deleteRows="0" sort="0" autoFilter="0" pivotTables="0"/>
  <mergeCells count="16">
    <mergeCell ref="C248:E248"/>
    <mergeCell ref="C153:E153"/>
    <mergeCell ref="C172:E172"/>
    <mergeCell ref="C191:E191"/>
    <mergeCell ref="C210:E210"/>
    <mergeCell ref="C229:E229"/>
    <mergeCell ref="C58:E58"/>
    <mergeCell ref="C77:E77"/>
    <mergeCell ref="C96:E96"/>
    <mergeCell ref="C115:E115"/>
    <mergeCell ref="C134:E134"/>
    <mergeCell ref="C2:E2"/>
    <mergeCell ref="H2:K2"/>
    <mergeCell ref="C20:E20"/>
    <mergeCell ref="H23:J24"/>
    <mergeCell ref="C39:E39"/>
  </mergeCells>
  <dataValidations count="2">
    <dataValidation type="list" allowBlank="1" showErrorMessage="1" errorTitle="Invalid employee" error="Please pick a name from the dropdown list." sqref="C11:C17 C30:C36 C49:C55 C68:C74 C87:C93 C106:C112 C125:C131 C144:C150 C163:C169 C182:C188 C201:C207 C220:C226 C239:C245 C258:C264" xr:uid="{00000000-0002-0000-0100-000000000000}">
      <formula1>$H$4:$H$19</formula1>
      <formula2>0</formula2>
    </dataValidation>
    <dataValidation type="list" allowBlank="1" sqref="H4:H19" xr:uid="{00000000-0002-0000-0100-000001000000}">
      <formula1>$H$4:$H$19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1"/>
  <sheetViews>
    <sheetView showGridLines="0" topLeftCell="C1" zoomScale="145" zoomScaleNormal="145" workbookViewId="0">
      <selection activeCell="M21" sqref="M21"/>
    </sheetView>
  </sheetViews>
  <sheetFormatPr defaultColWidth="8.6640625" defaultRowHeight="14.4" x14ac:dyDescent="0.3"/>
  <cols>
    <col min="1" max="1" width="2.5546875" hidden="1" customWidth="1"/>
    <col min="2" max="2" width="2.5546875" customWidth="1"/>
    <col min="3" max="3" width="25.6640625" customWidth="1"/>
    <col min="4" max="4" width="15.6640625" customWidth="1"/>
    <col min="5" max="5" width="18.5546875" customWidth="1"/>
    <col min="6" max="6" width="15.6640625" hidden="1" customWidth="1"/>
    <col min="7" max="7" width="9.44140625" customWidth="1"/>
    <col min="8" max="8" width="23.88671875" customWidth="1"/>
    <col min="9" max="9" width="16.33203125" customWidth="1"/>
    <col min="10" max="11" width="16.44140625" customWidth="1"/>
    <col min="13" max="13" width="14.5546875" customWidth="1"/>
    <col min="14" max="14" width="12.5546875" customWidth="1"/>
  </cols>
  <sheetData>
    <row r="1" spans="1:14" ht="11.25" customHeight="1" x14ac:dyDescent="0.3"/>
    <row r="2" spans="1:14" ht="8.25" hidden="1" customHeight="1" x14ac:dyDescent="0.3"/>
    <row r="3" spans="1:14" ht="18" customHeight="1" x14ac:dyDescent="0.3">
      <c r="C3" s="4">
        <v>46272</v>
      </c>
      <c r="D3" s="4"/>
      <c r="E3" s="4"/>
      <c r="H3" s="3" t="s">
        <v>29</v>
      </c>
      <c r="I3" s="3"/>
      <c r="J3" s="3"/>
      <c r="K3" s="3"/>
    </row>
    <row r="4" spans="1:14" ht="15" customHeight="1" x14ac:dyDescent="0.3">
      <c r="C4" s="5"/>
      <c r="D4" s="6"/>
      <c r="E4" s="7"/>
      <c r="H4" s="8" t="s">
        <v>1</v>
      </c>
      <c r="I4" s="9" t="s">
        <v>2</v>
      </c>
      <c r="J4" s="9" t="s">
        <v>3</v>
      </c>
      <c r="K4" s="9" t="s">
        <v>4</v>
      </c>
    </row>
    <row r="5" spans="1:14" ht="14.25" customHeight="1" x14ac:dyDescent="0.3">
      <c r="C5" s="10" t="s">
        <v>5</v>
      </c>
      <c r="D5" s="11">
        <v>172.38</v>
      </c>
      <c r="E5" s="12"/>
      <c r="H5" s="13" t="s">
        <v>6</v>
      </c>
      <c r="I5" s="14">
        <f t="shared" ref="I5:I20" si="0">IFERROR(SUMIF($C$3:$C$267,H5,$E$3:$E$267),0)</f>
        <v>183.15943714523306</v>
      </c>
      <c r="J5" s="14">
        <f t="shared" ref="J5:J20" si="1">IFERROR(SUMIF($C$3:$C$267,H5,$D$3:$D$267),0)</f>
        <v>23.66</v>
      </c>
      <c r="K5" s="14">
        <f t="shared" ref="K5:K20" si="2">COUNTIF($C$3:$C$267,H5)</f>
        <v>5</v>
      </c>
    </row>
    <row r="6" spans="1:14" ht="14.25" customHeight="1" x14ac:dyDescent="0.3">
      <c r="C6" s="10" t="s">
        <v>7</v>
      </c>
      <c r="D6" s="15"/>
      <c r="E6" s="16"/>
      <c r="H6" s="13" t="s">
        <v>8</v>
      </c>
      <c r="I6" s="14">
        <f t="shared" si="0"/>
        <v>0</v>
      </c>
      <c r="J6" s="14">
        <f t="shared" si="1"/>
        <v>0</v>
      </c>
      <c r="K6" s="14">
        <f t="shared" si="2"/>
        <v>0</v>
      </c>
    </row>
    <row r="7" spans="1:14" ht="14.25" customHeight="1" x14ac:dyDescent="0.3">
      <c r="C7" s="10" t="s">
        <v>9</v>
      </c>
      <c r="D7" s="10"/>
      <c r="E7" s="12"/>
      <c r="H7" s="13" t="s">
        <v>10</v>
      </c>
      <c r="I7" s="14">
        <f t="shared" si="0"/>
        <v>314.82313815966285</v>
      </c>
      <c r="J7" s="14">
        <f t="shared" si="1"/>
        <v>44.86</v>
      </c>
      <c r="K7" s="14">
        <f t="shared" si="2"/>
        <v>9</v>
      </c>
    </row>
    <row r="8" spans="1:14" ht="14.25" customHeight="1" x14ac:dyDescent="0.3">
      <c r="C8" s="10" t="s">
        <v>2</v>
      </c>
      <c r="D8" s="17">
        <f>SUM(D5:D7)</f>
        <v>172.38</v>
      </c>
      <c r="E8" s="12"/>
      <c r="H8" s="13" t="s">
        <v>11</v>
      </c>
      <c r="I8" s="14">
        <f t="shared" si="0"/>
        <v>0</v>
      </c>
      <c r="J8" s="14">
        <f t="shared" si="1"/>
        <v>0</v>
      </c>
      <c r="K8" s="14">
        <f t="shared" si="2"/>
        <v>0</v>
      </c>
    </row>
    <row r="9" spans="1:14" ht="14.25" customHeight="1" x14ac:dyDescent="0.3">
      <c r="C9" s="10" t="s">
        <v>3</v>
      </c>
      <c r="D9" s="10">
        <f>SUM(D12:D18)</f>
        <v>21.43</v>
      </c>
      <c r="E9" s="12"/>
      <c r="H9" s="13" t="s">
        <v>12</v>
      </c>
      <c r="I9" s="14">
        <f t="shared" si="0"/>
        <v>430.0308799398947</v>
      </c>
      <c r="J9" s="14">
        <f t="shared" si="1"/>
        <v>55.69</v>
      </c>
      <c r="K9" s="14">
        <f t="shared" si="2"/>
        <v>9</v>
      </c>
    </row>
    <row r="10" spans="1:14" ht="16.5" customHeight="1" x14ac:dyDescent="0.3">
      <c r="C10" s="10" t="s">
        <v>13</v>
      </c>
      <c r="D10" s="17">
        <f>D8/D9</f>
        <v>8.0438637424171713</v>
      </c>
      <c r="E10" s="12"/>
      <c r="H10" s="13" t="s">
        <v>14</v>
      </c>
      <c r="I10" s="14">
        <f t="shared" si="0"/>
        <v>0</v>
      </c>
      <c r="J10" s="14">
        <f t="shared" si="1"/>
        <v>0</v>
      </c>
      <c r="K10" s="14">
        <f t="shared" si="2"/>
        <v>0</v>
      </c>
    </row>
    <row r="11" spans="1:14" ht="15" customHeight="1" x14ac:dyDescent="0.3">
      <c r="C11" s="18" t="s">
        <v>1</v>
      </c>
      <c r="D11" s="19" t="s">
        <v>15</v>
      </c>
      <c r="E11" s="20" t="s">
        <v>16</v>
      </c>
      <c r="H11" s="13" t="s">
        <v>17</v>
      </c>
      <c r="I11" s="14">
        <f t="shared" si="0"/>
        <v>405.95158933844766</v>
      </c>
      <c r="J11" s="14">
        <f t="shared" si="1"/>
        <v>43.78</v>
      </c>
      <c r="K11" s="14">
        <f t="shared" si="2"/>
        <v>7</v>
      </c>
    </row>
    <row r="12" spans="1:14" ht="14.25" customHeight="1" x14ac:dyDescent="0.3">
      <c r="A12" s="21">
        <f t="shared" ref="A12:A18" si="3">$C$3</f>
        <v>46272</v>
      </c>
      <c r="B12" s="21"/>
      <c r="C12" s="22" t="s">
        <v>17</v>
      </c>
      <c r="D12" s="23">
        <v>4.9800000000000004</v>
      </c>
      <c r="E12" s="24">
        <f t="shared" ref="E12:E18" si="4">D12*$D$10</f>
        <v>40.058441437237519</v>
      </c>
      <c r="F12">
        <f>IF($C12="","",COUNTIF($C$3:$C12,$C12))</f>
        <v>1</v>
      </c>
      <c r="H12" s="13" t="s">
        <v>18</v>
      </c>
      <c r="I12" s="14">
        <f t="shared" si="0"/>
        <v>215.48428799371635</v>
      </c>
      <c r="J12" s="14">
        <f t="shared" si="1"/>
        <v>37.22</v>
      </c>
      <c r="K12" s="14">
        <f t="shared" si="2"/>
        <v>6</v>
      </c>
      <c r="M12" s="41" t="s">
        <v>5</v>
      </c>
      <c r="N12" s="42">
        <v>2088.8200000000002</v>
      </c>
    </row>
    <row r="13" spans="1:14" ht="14.25" customHeight="1" x14ac:dyDescent="0.3">
      <c r="A13" s="21">
        <f t="shared" si="3"/>
        <v>46272</v>
      </c>
      <c r="B13" s="21"/>
      <c r="C13" s="22" t="s">
        <v>18</v>
      </c>
      <c r="D13" s="23">
        <v>5.89</v>
      </c>
      <c r="E13" s="24">
        <f t="shared" si="4"/>
        <v>47.378357442837135</v>
      </c>
      <c r="F13">
        <f>IF($C13="","",COUNTIF($C$3:$C13,$C13))</f>
        <v>1</v>
      </c>
      <c r="H13" s="13" t="s">
        <v>19</v>
      </c>
      <c r="I13" s="14">
        <f t="shared" si="0"/>
        <v>14.620315591144605</v>
      </c>
      <c r="J13" s="14">
        <f t="shared" si="1"/>
        <v>4.8099999999999996</v>
      </c>
      <c r="K13" s="14">
        <f t="shared" si="2"/>
        <v>1</v>
      </c>
      <c r="M13" s="41" t="s">
        <v>2</v>
      </c>
      <c r="N13" s="42">
        <f>I22</f>
        <v>2118.87</v>
      </c>
    </row>
    <row r="14" spans="1:14" ht="14.25" customHeight="1" x14ac:dyDescent="0.3">
      <c r="A14" s="21">
        <f t="shared" si="3"/>
        <v>46272</v>
      </c>
      <c r="B14" s="21"/>
      <c r="C14" s="22" t="s">
        <v>21</v>
      </c>
      <c r="D14" s="23">
        <v>6.48</v>
      </c>
      <c r="E14" s="24">
        <f t="shared" si="4"/>
        <v>52.124237050863272</v>
      </c>
      <c r="F14">
        <f>IF($C14="","",COUNTIF($C$3:$C14,$C14))</f>
        <v>1</v>
      </c>
      <c r="H14" s="13" t="s">
        <v>20</v>
      </c>
      <c r="I14" s="14">
        <f t="shared" si="0"/>
        <v>63.88836750875226</v>
      </c>
      <c r="J14" s="14">
        <f t="shared" si="1"/>
        <v>7.78</v>
      </c>
      <c r="K14" s="14">
        <f t="shared" si="2"/>
        <v>2</v>
      </c>
      <c r="M14" s="41" t="s">
        <v>30</v>
      </c>
      <c r="N14" s="43">
        <f>N12-N13</f>
        <v>-30.049999999999727</v>
      </c>
    </row>
    <row r="15" spans="1:14" ht="14.25" customHeight="1" x14ac:dyDescent="0.3">
      <c r="A15" s="21">
        <f t="shared" si="3"/>
        <v>46272</v>
      </c>
      <c r="B15" s="21"/>
      <c r="C15" s="22" t="s">
        <v>6</v>
      </c>
      <c r="D15" s="23">
        <v>4.08</v>
      </c>
      <c r="E15" s="24">
        <f t="shared" si="4"/>
        <v>32.818964069062062</v>
      </c>
      <c r="F15">
        <f>IF($C15="","",COUNTIF($C$3:$C15,$C15))</f>
        <v>1</v>
      </c>
      <c r="H15" s="13" t="s">
        <v>21</v>
      </c>
      <c r="I15" s="14">
        <f t="shared" si="0"/>
        <v>490.91198432314854</v>
      </c>
      <c r="J15" s="14">
        <f t="shared" si="1"/>
        <v>57.85</v>
      </c>
      <c r="K15" s="14">
        <f t="shared" si="2"/>
        <v>10</v>
      </c>
    </row>
    <row r="16" spans="1:14" ht="14.25" customHeight="1" x14ac:dyDescent="0.3">
      <c r="A16" s="21">
        <f t="shared" si="3"/>
        <v>46272</v>
      </c>
      <c r="B16" s="21"/>
      <c r="C16" s="22"/>
      <c r="D16" s="23"/>
      <c r="E16" s="24">
        <f t="shared" si="4"/>
        <v>0</v>
      </c>
      <c r="F16" t="str">
        <f>IF($C16="","",COUNTIF($C$3:$C16,$C16))</f>
        <v/>
      </c>
      <c r="H16" s="13" t="s">
        <v>22</v>
      </c>
      <c r="I16" s="14">
        <f t="shared" si="0"/>
        <v>0</v>
      </c>
      <c r="J16" s="14">
        <f t="shared" si="1"/>
        <v>0</v>
      </c>
      <c r="K16" s="14">
        <f t="shared" si="2"/>
        <v>0</v>
      </c>
    </row>
    <row r="17" spans="1:13" ht="14.25" customHeight="1" x14ac:dyDescent="0.3">
      <c r="A17" s="21">
        <f t="shared" si="3"/>
        <v>46272</v>
      </c>
      <c r="B17" s="21"/>
      <c r="C17" s="22"/>
      <c r="D17" s="23"/>
      <c r="E17" s="24">
        <f t="shared" si="4"/>
        <v>0</v>
      </c>
      <c r="F17" t="str">
        <f>IF($C17="","",COUNTIF($C$3:$C17,$C17))</f>
        <v/>
      </c>
      <c r="H17" s="13" t="s">
        <v>23</v>
      </c>
      <c r="I17" s="14">
        <f t="shared" si="0"/>
        <v>0</v>
      </c>
      <c r="J17" s="14">
        <f t="shared" si="1"/>
        <v>0</v>
      </c>
      <c r="K17" s="14">
        <f t="shared" si="2"/>
        <v>0</v>
      </c>
    </row>
    <row r="18" spans="1:13" ht="14.25" customHeight="1" x14ac:dyDescent="0.3">
      <c r="A18" s="21">
        <f t="shared" si="3"/>
        <v>46272</v>
      </c>
      <c r="B18" s="21"/>
      <c r="C18" s="22"/>
      <c r="D18" s="23"/>
      <c r="E18" s="24">
        <f t="shared" si="4"/>
        <v>0</v>
      </c>
      <c r="F18" t="str">
        <f>IF($C18="","",COUNTIF($C$3:$C18,$C18))</f>
        <v/>
      </c>
      <c r="H18" s="13"/>
      <c r="I18" s="14">
        <f t="shared" si="0"/>
        <v>0</v>
      </c>
      <c r="J18" s="14">
        <f t="shared" si="1"/>
        <v>0</v>
      </c>
      <c r="K18" s="14">
        <f t="shared" si="2"/>
        <v>0</v>
      </c>
    </row>
    <row r="19" spans="1:13" ht="15" customHeight="1" x14ac:dyDescent="0.3">
      <c r="C19" s="25" t="s">
        <v>24</v>
      </c>
      <c r="D19" s="26"/>
      <c r="E19" s="27">
        <f>SUM(E12:E18)</f>
        <v>172.38</v>
      </c>
      <c r="H19" s="13"/>
      <c r="I19" s="14">
        <f t="shared" si="0"/>
        <v>0</v>
      </c>
      <c r="J19" s="14">
        <f t="shared" si="1"/>
        <v>0</v>
      </c>
      <c r="K19" s="14">
        <f t="shared" si="2"/>
        <v>0</v>
      </c>
    </row>
    <row r="20" spans="1:13" ht="15" customHeight="1" x14ac:dyDescent="0.3">
      <c r="H20" s="13"/>
      <c r="I20" s="14">
        <f t="shared" si="0"/>
        <v>0</v>
      </c>
      <c r="J20" s="14">
        <f t="shared" si="1"/>
        <v>0</v>
      </c>
      <c r="K20" s="14">
        <f t="shared" si="2"/>
        <v>0</v>
      </c>
    </row>
    <row r="21" spans="1:13" ht="15" customHeight="1" x14ac:dyDescent="0.3">
      <c r="C21" s="4">
        <v>46273</v>
      </c>
      <c r="D21" s="4"/>
      <c r="E21" s="4"/>
      <c r="H21" s="14"/>
      <c r="I21" s="14"/>
      <c r="J21" s="14"/>
      <c r="K21" s="14"/>
      <c r="M21" t="s">
        <v>17</v>
      </c>
    </row>
    <row r="22" spans="1:13" ht="15" customHeight="1" x14ac:dyDescent="0.3">
      <c r="C22" s="28"/>
      <c r="E22" s="29"/>
      <c r="H22" s="30" t="s">
        <v>2</v>
      </c>
      <c r="I22" s="31">
        <f>SUM(I5:I20)</f>
        <v>2118.87</v>
      </c>
      <c r="J22" s="31">
        <f>SUM(J5:J20)</f>
        <v>275.65000000000003</v>
      </c>
      <c r="K22" s="14"/>
      <c r="M22">
        <v>43.78</v>
      </c>
    </row>
    <row r="23" spans="1:13" ht="14.25" customHeight="1" x14ac:dyDescent="0.3">
      <c r="C23" s="10" t="s">
        <v>5</v>
      </c>
      <c r="D23" s="11">
        <v>64.53</v>
      </c>
      <c r="E23" s="12"/>
      <c r="H23" s="33"/>
      <c r="I23" s="33"/>
      <c r="J23" s="33"/>
      <c r="K23" s="33"/>
    </row>
    <row r="24" spans="1:13" ht="14.25" customHeight="1" x14ac:dyDescent="0.3">
      <c r="C24" s="10" t="s">
        <v>7</v>
      </c>
      <c r="D24" s="15"/>
      <c r="E24" s="16"/>
      <c r="H24" s="2" t="s">
        <v>25</v>
      </c>
      <c r="I24" s="2"/>
      <c r="J24" s="2"/>
      <c r="K24" s="33"/>
    </row>
    <row r="25" spans="1:13" ht="14.25" customHeight="1" x14ac:dyDescent="0.3">
      <c r="C25" s="10" t="s">
        <v>9</v>
      </c>
      <c r="D25" s="10"/>
      <c r="E25" s="12"/>
      <c r="H25" s="2"/>
      <c r="I25" s="2"/>
      <c r="J25" s="2"/>
      <c r="K25" s="33"/>
    </row>
    <row r="26" spans="1:13" ht="14.25" customHeight="1" x14ac:dyDescent="0.3">
      <c r="C26" s="10" t="s">
        <v>2</v>
      </c>
      <c r="D26" s="17">
        <f>SUM(D23:D25)</f>
        <v>64.53</v>
      </c>
      <c r="E26" s="12"/>
      <c r="H26" s="14"/>
      <c r="I26" s="14"/>
      <c r="J26" s="14"/>
      <c r="K26" s="33"/>
    </row>
    <row r="27" spans="1:13" ht="14.25" customHeight="1" x14ac:dyDescent="0.3">
      <c r="C27" s="10" t="s">
        <v>3</v>
      </c>
      <c r="D27" s="10">
        <f>SUM(D31:D37)</f>
        <v>21.23</v>
      </c>
      <c r="E27" s="12"/>
      <c r="H27" s="34" t="str">
        <f>H5</f>
        <v>Cynthia Rosales Perez</v>
      </c>
      <c r="I27" s="14"/>
      <c r="J27" s="14"/>
      <c r="K27" s="33"/>
    </row>
    <row r="28" spans="1:13" ht="14.25" customHeight="1" x14ac:dyDescent="0.3">
      <c r="C28" s="10" t="s">
        <v>13</v>
      </c>
      <c r="D28" s="17">
        <f>D26/D27</f>
        <v>3.0395666509656145</v>
      </c>
      <c r="E28" s="12"/>
      <c r="H28" s="35" t="s">
        <v>26</v>
      </c>
      <c r="I28" s="32">
        <f>IFERROR(SUMIF($C$3:$C$267,H27,$D$3:$D$267),0)</f>
        <v>23.66</v>
      </c>
      <c r="J28" s="14"/>
      <c r="K28" s="33"/>
    </row>
    <row r="29" spans="1:13" ht="14.25" customHeight="1" x14ac:dyDescent="0.3">
      <c r="C29" s="12"/>
      <c r="D29" s="36"/>
      <c r="E29" s="12"/>
      <c r="H29" s="35" t="s">
        <v>27</v>
      </c>
      <c r="I29" s="32">
        <f>IFERROR(SUMIF($C$3:$C$267,H27,$E$3:$E$267),0)</f>
        <v>183.15943714523306</v>
      </c>
      <c r="J29" s="14"/>
      <c r="K29" s="33"/>
    </row>
    <row r="30" spans="1:13" ht="15" customHeight="1" x14ac:dyDescent="0.3">
      <c r="C30" s="18" t="s">
        <v>1</v>
      </c>
      <c r="D30" s="19" t="s">
        <v>15</v>
      </c>
      <c r="E30" s="20" t="s">
        <v>16</v>
      </c>
      <c r="H30" s="18" t="s">
        <v>28</v>
      </c>
      <c r="I30" s="20" t="s">
        <v>15</v>
      </c>
      <c r="J30" s="20" t="s">
        <v>16</v>
      </c>
      <c r="K30" s="33"/>
    </row>
    <row r="31" spans="1:13" ht="14.25" customHeight="1" x14ac:dyDescent="0.3">
      <c r="A31" s="21">
        <f t="shared" ref="A31:A37" si="5">$C$21</f>
        <v>46273</v>
      </c>
      <c r="B31" s="21"/>
      <c r="C31" s="22" t="s">
        <v>18</v>
      </c>
      <c r="D31" s="23">
        <v>6.49</v>
      </c>
      <c r="E31" s="24">
        <f t="shared" ref="E31:E37" si="6">D31*$D$28</f>
        <v>19.726787564766838</v>
      </c>
      <c r="F31">
        <f>IF($C31="","",COUNTIF($C$3:$C31,$C31))</f>
        <v>2</v>
      </c>
      <c r="H31" s="37">
        <f>IF(SUMPRODUCT(($C$3:$C$267=$H$27)*($F$3:$F$267=1))=0,"No entries yet",INDEX($A$3:$A$267,SUMPRODUCT(($C$3:$C$267=$H$27)*($F$3:$F$267=1)*(ROW($C$3:$C$267)-ROW($C$3)+1))))</f>
        <v>46272</v>
      </c>
      <c r="I31" s="38">
        <f>IFERROR(IF(SUMPRODUCT(($C$3:$C$267=$H$27)*($F$3:$F$267=1))=0,"",INDEX($D$3:$D$267,SUMPRODUCT(($C$3:$C$267=$H$27)*($F$3:$F$267=1)*(ROW($C$3:$C$267)-ROW($C$3)+1)))),"")</f>
        <v>4.08</v>
      </c>
      <c r="J31" s="38">
        <f>IFERROR(IF(SUMPRODUCT(($C$3:$C$267=$H$27)*($F$3:$F$267=1))=0,"",INDEX($E$3:$E$267,SUMPRODUCT(($C$3:$C$267=$H$27)*($F$3:$F$267=1)*(ROW($C$3:$C$267)-ROW($C$3)+1)))),"")</f>
        <v>32.818964069062062</v>
      </c>
      <c r="K31" s="33"/>
    </row>
    <row r="32" spans="1:13" ht="14.25" customHeight="1" x14ac:dyDescent="0.3">
      <c r="A32" s="21">
        <f t="shared" si="5"/>
        <v>46273</v>
      </c>
      <c r="B32" s="21"/>
      <c r="C32" s="22" t="s">
        <v>12</v>
      </c>
      <c r="D32" s="23">
        <v>5.93</v>
      </c>
      <c r="E32" s="24">
        <f t="shared" si="6"/>
        <v>18.024630240226092</v>
      </c>
      <c r="F32">
        <f>IF($C32="","",COUNTIF($C$3:$C32,$C32))</f>
        <v>1</v>
      </c>
      <c r="H32" s="37">
        <f>IF(SUMPRODUCT(($C$3:$C$267=$H$27)*($F$3:$F$267=2))=0,"",INDEX($A$3:$A$267,SUMPRODUCT(($C$3:$C$267=$H$27)*($F$3:$F$267=2)*(ROW($C$3:$C$267)-ROW($C$3)+1))))</f>
        <v>46274</v>
      </c>
      <c r="I32" s="38">
        <f>IFERROR(IF(SUMPRODUCT(($C$3:$C$267=$H$27)*($F$3:$F$267=2))=0,"",INDEX($D$3:$D$267,SUMPRODUCT(($C$3:$C$267=$H$27)*($F$3:$F$267=2)*(ROW($C$3:$C$267)-ROW($C$3)+1)))),"")</f>
        <v>4.91</v>
      </c>
      <c r="J32" s="38">
        <f>IFERROR(IF(SUMPRODUCT(($C$3:$C$267=$H$27)*($F$3:$F$267=2))=0,"",INDEX($E$3:$E$267,SUMPRODUCT(($C$3:$C$267=$H$27)*($F$3:$F$267=2)*(ROW($C$3:$C$267)-ROW($C$3)+1)))),"")</f>
        <v>23.223812104787715</v>
      </c>
      <c r="K32" s="33"/>
    </row>
    <row r="33" spans="1:11" ht="14.25" customHeight="1" x14ac:dyDescent="0.3">
      <c r="A33" s="21">
        <f t="shared" si="5"/>
        <v>46273</v>
      </c>
      <c r="B33" s="21"/>
      <c r="C33" s="22" t="s">
        <v>10</v>
      </c>
      <c r="D33" s="23">
        <v>4</v>
      </c>
      <c r="E33" s="24">
        <f t="shared" si="6"/>
        <v>12.158266603862458</v>
      </c>
      <c r="F33">
        <f>IF($C33="","",COUNTIF($C$3:$C33,$C33))</f>
        <v>1</v>
      </c>
      <c r="H33" s="37">
        <f>IF(SUMPRODUCT(($C$3:$C$267=$H$27)*($F$3:$F$267=3))=0,"",INDEX($A$3:$A$267,SUMPRODUCT(($C$3:$C$267=$H$27)*($F$3:$F$267=3)*(ROW($C$3:$C$267)-ROW($C$3)+1))))</f>
        <v>46278</v>
      </c>
      <c r="I33" s="38">
        <f>IFERROR(IF(SUMPRODUCT(($C$3:$C$267=$H$27)*($F$3:$F$267=3))=0,"",INDEX($D$3:$D$267,SUMPRODUCT(($C$3:$C$267=$H$27)*($F$3:$F$267=3)*(ROW($C$3:$C$267)-ROW($C$3)+1)))),"")</f>
        <v>5.0199999999999996</v>
      </c>
      <c r="J33" s="38">
        <f>IFERROR(IF(SUMPRODUCT(($C$3:$C$267=$H$27)*($F$3:$F$267=3))=0,"",INDEX($E$3:$E$267,SUMPRODUCT(($C$3:$C$267=$H$27)*($F$3:$F$267=3)*(ROW($C$3:$C$267)-ROW($C$3)+1)))),"")</f>
        <v>58.332935943060498</v>
      </c>
      <c r="K33" s="33"/>
    </row>
    <row r="34" spans="1:11" ht="14.25" customHeight="1" x14ac:dyDescent="0.3">
      <c r="A34" s="21">
        <f t="shared" si="5"/>
        <v>46273</v>
      </c>
      <c r="B34" s="21"/>
      <c r="C34" s="22" t="s">
        <v>19</v>
      </c>
      <c r="D34" s="23">
        <v>4.8099999999999996</v>
      </c>
      <c r="E34" s="24">
        <f t="shared" si="6"/>
        <v>14.620315591144605</v>
      </c>
      <c r="F34">
        <f>IF($C34="","",COUNTIF($C$3:$C34,$C34))</f>
        <v>1</v>
      </c>
      <c r="H34" s="37">
        <f>IF(SUMPRODUCT(($C$3:$C$267=$H$27)*($F$3:$F$267=4))=0,"",INDEX($A$3:$A$267,SUMPRODUCT(($C$3:$C$267=$H$27)*($F$3:$F$267=4)*(ROW($C$3:$C$267)-ROW($C$3)+1))))</f>
        <v>46282</v>
      </c>
      <c r="I34" s="38">
        <f>IFERROR(IF(SUMPRODUCT(($C$3:$C$267=$H$27)*($F$3:$F$267=4))=0,"",INDEX($D$3:$D$267,SUMPRODUCT(($C$3:$C$267=$H$27)*($F$3:$F$267=4)*(ROW($C$3:$C$267)-ROW($C$3)+1)))),"")</f>
        <v>5.01</v>
      </c>
      <c r="J34" s="38">
        <f>IFERROR(IF(SUMPRODUCT(($C$3:$C$267=$H$27)*($F$3:$F$267=4))=0,"",INDEX($E$3:$E$267,SUMPRODUCT(($C$3:$C$267=$H$27)*($F$3:$F$267=4)*(ROW($C$3:$C$267)-ROW($C$3)+1)))),"")</f>
        <v>25.750100235849054</v>
      </c>
      <c r="K34" s="33"/>
    </row>
    <row r="35" spans="1:11" ht="14.25" customHeight="1" x14ac:dyDescent="0.3">
      <c r="A35" s="21">
        <f t="shared" si="5"/>
        <v>46273</v>
      </c>
      <c r="B35" s="21"/>
      <c r="C35" s="22"/>
      <c r="D35" s="23"/>
      <c r="E35" s="24">
        <f t="shared" si="6"/>
        <v>0</v>
      </c>
      <c r="F35" t="str">
        <f>IF($C35="","",COUNTIF($C$3:$C35,$C35))</f>
        <v/>
      </c>
      <c r="H35" s="37">
        <f>IF(SUMPRODUCT(($C$3:$C$267=$H$27)*($F$3:$F$267=5))=0,"",INDEX($A$3:$A$267,SUMPRODUCT(($C$3:$C$267=$H$27)*($F$3:$F$267=5)*(ROW($C$3:$C$267)-ROW($C$3)+1))))</f>
        <v>46285</v>
      </c>
      <c r="I35" s="38">
        <f>IFERROR(IF(SUMPRODUCT(($C$3:$C$267=$H$27)*($F$3:$F$267=5))=0,"",INDEX($D$3:$D$267,SUMPRODUCT(($C$3:$C$267=$H$27)*($F$3:$F$267=5)*(ROW($C$3:$C$267)-ROW($C$3)+1)))),"")</f>
        <v>4.6399999999999997</v>
      </c>
      <c r="J35" s="38">
        <f>IFERROR(IF(SUMPRODUCT(($C$3:$C$267=$H$27)*($F$3:$F$267=5))=0,"",INDEX($E$3:$E$267,SUMPRODUCT(($C$3:$C$267=$H$27)*($F$3:$F$267=5)*(ROW($C$3:$C$267)-ROW($C$3)+1)))),"")</f>
        <v>43.033624792473709</v>
      </c>
      <c r="K35" s="33"/>
    </row>
    <row r="36" spans="1:11" ht="14.25" customHeight="1" x14ac:dyDescent="0.3">
      <c r="A36" s="21">
        <f t="shared" si="5"/>
        <v>46273</v>
      </c>
      <c r="B36" s="21"/>
      <c r="C36" s="22"/>
      <c r="D36" s="23"/>
      <c r="E36" s="24">
        <f t="shared" si="6"/>
        <v>0</v>
      </c>
      <c r="F36" t="str">
        <f>IF($C36="","",COUNTIF($C$3:$C36,$C36))</f>
        <v/>
      </c>
      <c r="H36" s="37" t="str">
        <f>IF(SUMPRODUCT(($C$3:$C$267=$H$27)*($F$3:$F$267=6))=0,"",INDEX($A$3:$A$267,SUMPRODUCT(($C$3:$C$267=$H$27)*($F$3:$F$267=6)*(ROW($C$3:$C$267)-ROW($C$3)+1))))</f>
        <v/>
      </c>
      <c r="I36" s="38" t="str">
        <f>IFERROR(IF(SUMPRODUCT(($C$3:$C$267=$H$27)*($F$3:$F$267=6))=0,"",INDEX($D$3:$D$267,SUMPRODUCT(($C$3:$C$267=$H$27)*($F$3:$F$267=6)*(ROW($C$3:$C$267)-ROW($C$3)+1)))),"")</f>
        <v/>
      </c>
      <c r="J36" s="38" t="str">
        <f>IFERROR(IF(SUMPRODUCT(($C$3:$C$267=$H$27)*($F$3:$F$267=6))=0,"",INDEX($E$3:$E$267,SUMPRODUCT(($C$3:$C$267=$H$27)*($F$3:$F$267=6)*(ROW($C$3:$C$267)-ROW($C$3)+1)))),"")</f>
        <v/>
      </c>
      <c r="K36" s="33"/>
    </row>
    <row r="37" spans="1:11" ht="14.25" customHeight="1" x14ac:dyDescent="0.3">
      <c r="A37" s="21">
        <f t="shared" si="5"/>
        <v>46273</v>
      </c>
      <c r="B37" s="21"/>
      <c r="C37" s="22"/>
      <c r="D37" s="23"/>
      <c r="E37" s="24">
        <f t="shared" si="6"/>
        <v>0</v>
      </c>
      <c r="F37" t="str">
        <f>IF($C37="","",COUNTIF($C$3:$C37,$C37))</f>
        <v/>
      </c>
      <c r="H37" s="37" t="str">
        <f>IF(SUMPRODUCT(($C$3:$C$267=$H$27)*($F$3:$F$267=7))=0,"",INDEX($A$3:$A$267,SUMPRODUCT(($C$3:$C$267=$H$27)*($F$3:$F$267=7)*(ROW($C$3:$C$267)-ROW($C$3)+1))))</f>
        <v/>
      </c>
      <c r="I37" s="38" t="str">
        <f>IFERROR(IF(SUMPRODUCT(($C$3:$C$267=$H$27)*($F$3:$F$267=7))=0,"",INDEX($D$3:$D$267,SUMPRODUCT(($C$3:$C$267=$H$27)*($F$3:$F$267=7)*(ROW($C$3:$C$267)-ROW($C$3)+1)))),"")</f>
        <v/>
      </c>
      <c r="J37" s="38" t="str">
        <f>IFERROR(IF(SUMPRODUCT(($C$3:$C$267=$H$27)*($F$3:$F$267=7))=0,"",INDEX($E$3:$E$267,SUMPRODUCT(($C$3:$C$267=$H$27)*($F$3:$F$267=7)*(ROW($C$3:$C$267)-ROW($C$3)+1)))),"")</f>
        <v/>
      </c>
      <c r="K37" s="33"/>
    </row>
    <row r="38" spans="1:11" ht="15" customHeight="1" x14ac:dyDescent="0.3">
      <c r="C38" s="25" t="s">
        <v>24</v>
      </c>
      <c r="D38" s="26"/>
      <c r="E38" s="27">
        <f>SUM(E31:E37)</f>
        <v>64.529999999999987</v>
      </c>
      <c r="H38" s="37" t="str">
        <f>IF(SUMPRODUCT(($C$3:$C$267=$H$27)*($F$3:$F$267=8))=0,"",INDEX($A$3:$A$267,SUMPRODUCT(($C$3:$C$267=$H$27)*($F$3:$F$267=8)*(ROW($C$3:$C$267)-ROW($C$3)+1))))</f>
        <v/>
      </c>
      <c r="I38" s="38" t="str">
        <f>IFERROR(IF(SUMPRODUCT(($C$3:$C$267=$H$27)*($F$3:$F$267=8))=0,"",INDEX($D$3:$D$267,SUMPRODUCT(($C$3:$C$267=$H$27)*($F$3:$F$267=8)*(ROW($C$3:$C$267)-ROW($C$3)+1)))),"")</f>
        <v/>
      </c>
      <c r="J38" s="38" t="str">
        <f>IFERROR(IF(SUMPRODUCT(($C$3:$C$267=$H$27)*($F$3:$F$267=8))=0,"",INDEX($E$3:$E$267,SUMPRODUCT(($C$3:$C$267=$H$27)*($F$3:$F$267=8)*(ROW($C$3:$C$267)-ROW($C$3)+1)))),"")</f>
        <v/>
      </c>
      <c r="K38" s="33"/>
    </row>
    <row r="39" spans="1:11" ht="15" customHeight="1" x14ac:dyDescent="0.3">
      <c r="H39" s="37" t="str">
        <f>IF(SUMPRODUCT(($C$3:$C$267=$H$27)*($F$3:$F$267=9))=0,"",INDEX($A$3:$A$267,SUMPRODUCT(($C$3:$C$267=$H$27)*($F$3:$F$267=9)*(ROW($C$3:$C$267)-ROW($C$3)+1))))</f>
        <v/>
      </c>
      <c r="I39" s="38" t="str">
        <f>IFERROR(IF(SUMPRODUCT(($C$3:$C$267=$H$27)*($F$3:$F$267=9))=0,"",INDEX($D$3:$D$267,SUMPRODUCT(($C$3:$C$267=$H$27)*($F$3:$F$267=9)*(ROW($C$3:$C$267)-ROW($C$3)+1)))),"")</f>
        <v/>
      </c>
      <c r="J39" s="38" t="str">
        <f>IFERROR(IF(SUMPRODUCT(($C$3:$C$267=$H$27)*($F$3:$F$267=9))=0,"",INDEX($E$3:$E$267,SUMPRODUCT(($C$3:$C$267=$H$27)*($F$3:$F$267=9)*(ROW($C$3:$C$267)-ROW($C$3)+1)))),"")</f>
        <v/>
      </c>
      <c r="K39" s="33"/>
    </row>
    <row r="40" spans="1:11" ht="15" customHeight="1" x14ac:dyDescent="0.3">
      <c r="C40" s="4">
        <v>46274</v>
      </c>
      <c r="D40" s="4"/>
      <c r="E40" s="4"/>
      <c r="H40" s="37" t="str">
        <f>IF(SUMPRODUCT(($C$3:$C$267=$H$27)*($F$3:$F$267=10))=0,"",INDEX($A$3:$A$267,SUMPRODUCT(($C$3:$C$267=$H$27)*($F$3:$F$267=10)*(ROW($C$3:$C$267)-ROW($C$3)+1))))</f>
        <v/>
      </c>
      <c r="I40" s="38" t="str">
        <f>IFERROR(IF(SUMPRODUCT(($C$3:$C$267=$H$27)*($F$3:$F$267=10))=0,"",INDEX($D$3:$D$267,SUMPRODUCT(($C$3:$C$267=$H$27)*($F$3:$F$267=10)*(ROW($C$3:$C$267)-ROW($C$3)+1)))),"")</f>
        <v/>
      </c>
      <c r="J40" s="38" t="str">
        <f>IFERROR(IF(SUMPRODUCT(($C$3:$C$267=$H$27)*($F$3:$F$267=10))=0,"",INDEX($E$3:$E$267,SUMPRODUCT(($C$3:$C$267=$H$27)*($F$3:$F$267=10)*(ROW($C$3:$C$267)-ROW($C$3)+1)))),"")</f>
        <v/>
      </c>
      <c r="K40" s="33"/>
    </row>
    <row r="41" spans="1:11" ht="15" customHeight="1" x14ac:dyDescent="0.3">
      <c r="C41" s="28"/>
      <c r="E41" s="29"/>
      <c r="H41" s="37" t="str">
        <f>IF(SUMPRODUCT(($C$3:$C$267=$H$27)*($F$3:$F$267=11))=0,"",INDEX($A$3:$A$267,SUMPRODUCT(($C$3:$C$267=$H$27)*($F$3:$F$267=11)*(ROW($C$3:$C$267)-ROW($C$3)+1))))</f>
        <v/>
      </c>
      <c r="I41" s="38" t="str">
        <f>IFERROR(IF(SUMPRODUCT(($C$3:$C$267=$H$27)*($F$3:$F$267=11))=0,"",INDEX($D$3:$D$267,SUMPRODUCT(($C$3:$C$267=$H$27)*($F$3:$F$267=11)*(ROW($C$3:$C$267)-ROW($C$3)+1)))),"")</f>
        <v/>
      </c>
      <c r="J41" s="38" t="str">
        <f>IFERROR(IF(SUMPRODUCT(($C$3:$C$267=$H$27)*($F$3:$F$267=11))=0,"",INDEX($E$3:$E$267,SUMPRODUCT(($C$3:$C$267=$H$27)*($F$3:$F$267=11)*(ROW($C$3:$C$267)-ROW($C$3)+1)))),"")</f>
        <v/>
      </c>
      <c r="K41" s="33"/>
    </row>
    <row r="42" spans="1:11" ht="14.25" customHeight="1" x14ac:dyDescent="0.3">
      <c r="C42" s="10" t="s">
        <v>5</v>
      </c>
      <c r="D42" s="11">
        <v>104.72</v>
      </c>
      <c r="E42" s="12"/>
      <c r="H42" s="37" t="str">
        <f>IF(SUMPRODUCT(($C$3:$C$267=$H$27)*($F$3:$F$267=12))=0,"",INDEX($A$3:$A$267,SUMPRODUCT(($C$3:$C$267=$H$27)*($F$3:$F$267=12)*(ROW($C$3:$C$267)-ROW($C$3)+1))))</f>
        <v/>
      </c>
      <c r="I42" s="38" t="str">
        <f>IFERROR(IF(SUMPRODUCT(($C$3:$C$267=$H$27)*($F$3:$F$267=12))=0,"",INDEX($D$3:$D$267,SUMPRODUCT(($C$3:$C$267=$H$27)*($F$3:$F$267=12)*(ROW($C$3:$C$267)-ROW($C$3)+1)))),"")</f>
        <v/>
      </c>
      <c r="J42" s="38" t="str">
        <f>IFERROR(IF(SUMPRODUCT(($C$3:$C$267=$H$27)*($F$3:$F$267=12))=0,"",INDEX($E$3:$E$267,SUMPRODUCT(($C$3:$C$267=$H$27)*($F$3:$F$267=12)*(ROW($C$3:$C$267)-ROW($C$3)+1)))),"")</f>
        <v/>
      </c>
      <c r="K42" s="33"/>
    </row>
    <row r="43" spans="1:11" ht="14.25" customHeight="1" x14ac:dyDescent="0.3">
      <c r="C43" s="10" t="s">
        <v>7</v>
      </c>
      <c r="D43" s="15"/>
      <c r="E43" s="16"/>
      <c r="H43" s="37" t="str">
        <f>IF(SUMPRODUCT(($C$3:$C$267=$H$27)*($F$3:$F$267=13))=0,"",INDEX($A$3:$A$267,SUMPRODUCT(($C$3:$C$267=$H$27)*($F$3:$F$267=13)*(ROW($C$3:$C$267)-ROW($C$3)+1))))</f>
        <v/>
      </c>
      <c r="I43" s="38" t="str">
        <f>IFERROR(IF(SUMPRODUCT(($C$3:$C$267=$H$27)*($F$3:$F$267=13))=0,"",INDEX($D$3:$D$267,SUMPRODUCT(($C$3:$C$267=$H$27)*($F$3:$F$267=13)*(ROW($C$3:$C$267)-ROW($C$3)+1)))),"")</f>
        <v/>
      </c>
      <c r="J43" s="38" t="str">
        <f>IFERROR(IF(SUMPRODUCT(($C$3:$C$267=$H$27)*($F$3:$F$267=13))=0,"",INDEX($E$3:$E$267,SUMPRODUCT(($C$3:$C$267=$H$27)*($F$3:$F$267=13)*(ROW($C$3:$C$267)-ROW($C$3)+1)))),"")</f>
        <v/>
      </c>
      <c r="K43" s="33"/>
    </row>
    <row r="44" spans="1:11" ht="14.25" customHeight="1" x14ac:dyDescent="0.3">
      <c r="C44" s="10" t="s">
        <v>9</v>
      </c>
      <c r="D44" s="10"/>
      <c r="E44" s="12"/>
      <c r="H44" s="37" t="str">
        <f>IF(SUMPRODUCT(($C$3:$C$267=$H$27)*($F$3:$F$267=14))=0,"",INDEX($A$3:$A$267,SUMPRODUCT(($C$3:$C$267=$H$27)*($F$3:$F$267=14)*(ROW($C$3:$C$267)-ROW($C$3)+1))))</f>
        <v/>
      </c>
      <c r="I44" s="38" t="str">
        <f>IFERROR(IF(SUMPRODUCT(($C$3:$C$267=$H$27)*($F$3:$F$267=14))=0,"",INDEX($D$3:$D$267,SUMPRODUCT(($C$3:$C$267=$H$27)*($F$3:$F$267=14)*(ROW($C$3:$C$267)-ROW($C$3)+1)))),"")</f>
        <v/>
      </c>
      <c r="J44" s="38" t="str">
        <f>IFERROR(IF(SUMPRODUCT(($C$3:$C$267=$H$27)*($F$3:$F$267=14))=0,"",INDEX($E$3:$E$267,SUMPRODUCT(($C$3:$C$267=$H$27)*($F$3:$F$267=14)*(ROW($C$3:$C$267)-ROW($C$3)+1)))),"")</f>
        <v/>
      </c>
      <c r="K44" s="33"/>
    </row>
    <row r="45" spans="1:11" ht="14.25" customHeight="1" x14ac:dyDescent="0.3">
      <c r="C45" s="10" t="s">
        <v>2</v>
      </c>
      <c r="D45" s="17">
        <f>SUM(D42:D44)</f>
        <v>104.72</v>
      </c>
      <c r="E45" s="12"/>
      <c r="H45" s="37" t="str">
        <f>IF(SUMPRODUCT(($C$3:$C$267=$H$27)*($F$3:$F$267=15))=0,"",INDEX($A$3:$A$267,SUMPRODUCT(($C$3:$C$267=$H$27)*($F$3:$F$267=15)*(ROW($C$3:$C$267)-ROW($C$3)+1))))</f>
        <v/>
      </c>
      <c r="I45" s="38" t="str">
        <f>IFERROR(IF(SUMPRODUCT(($C$3:$C$267=$H$27)*($F$3:$F$267=15))=0,"",INDEX($D$3:$D$267,SUMPRODUCT(($C$3:$C$267=$H$27)*($F$3:$F$267=15)*(ROW($C$3:$C$267)-ROW($C$3)+1)))),"")</f>
        <v/>
      </c>
      <c r="J45" s="38" t="str">
        <f>IFERROR(IF(SUMPRODUCT(($C$3:$C$267=$H$27)*($F$3:$F$267=15))=0,"",INDEX($E$3:$E$267,SUMPRODUCT(($C$3:$C$267=$H$27)*($F$3:$F$267=15)*(ROW($C$3:$C$267)-ROW($C$3)+1)))),"")</f>
        <v/>
      </c>
      <c r="K45" s="33"/>
    </row>
    <row r="46" spans="1:11" ht="14.25" customHeight="1" x14ac:dyDescent="0.3">
      <c r="C46" s="10" t="s">
        <v>3</v>
      </c>
      <c r="D46" s="10">
        <f>SUM(D50:D56)</f>
        <v>22.14</v>
      </c>
      <c r="E46" s="12"/>
      <c r="H46" s="37" t="str">
        <f>IF(SUMPRODUCT(($C$3:$C$267=$H$27)*($F$3:$F$267=16))=0,"",INDEX($A$3:$A$267,SUMPRODUCT(($C$3:$C$267=$H$27)*($F$3:$F$267=16)*(ROW($C$3:$C$267)-ROW($C$3)+1))))</f>
        <v/>
      </c>
      <c r="I46" s="38" t="str">
        <f>IFERROR(IF(SUMPRODUCT(($C$3:$C$267=$H$27)*($F$3:$F$267=16))=0,"",INDEX($D$3:$D$267,SUMPRODUCT(($C$3:$C$267=$H$27)*($F$3:$F$267=16)*(ROW($C$3:$C$267)-ROW($C$3)+1)))),"")</f>
        <v/>
      </c>
      <c r="J46" s="38" t="str">
        <f>IFERROR(IF(SUMPRODUCT(($C$3:$C$267=$H$27)*($F$3:$F$267=16))=0,"",INDEX($E$3:$E$267,SUMPRODUCT(($C$3:$C$267=$H$27)*($F$3:$F$267=16)*(ROW($C$3:$C$267)-ROW($C$3)+1)))),"")</f>
        <v/>
      </c>
      <c r="K46" s="33"/>
    </row>
    <row r="47" spans="1:11" ht="14.25" customHeight="1" x14ac:dyDescent="0.3">
      <c r="C47" s="10" t="s">
        <v>13</v>
      </c>
      <c r="D47" s="17">
        <f>D45/D46</f>
        <v>4.7299006323396569</v>
      </c>
      <c r="E47" s="12"/>
      <c r="H47" s="34" t="str">
        <f>H7</f>
        <v>Lauren Sanders</v>
      </c>
      <c r="I47" s="14"/>
      <c r="J47" s="14"/>
      <c r="K47" s="33"/>
    </row>
    <row r="48" spans="1:11" ht="14.25" customHeight="1" x14ac:dyDescent="0.3">
      <c r="C48" s="12"/>
      <c r="D48" s="36"/>
      <c r="E48" s="12"/>
      <c r="H48" s="35" t="s">
        <v>26</v>
      </c>
      <c r="I48" s="32">
        <f>IFERROR(SUMIF($C$3:$C$267,H47,$D$3:$D$267),0)</f>
        <v>44.86</v>
      </c>
      <c r="J48" s="14"/>
      <c r="K48" s="33"/>
    </row>
    <row r="49" spans="1:11" ht="15" customHeight="1" x14ac:dyDescent="0.3">
      <c r="C49" s="18" t="s">
        <v>1</v>
      </c>
      <c r="D49" s="19" t="s">
        <v>15</v>
      </c>
      <c r="E49" s="20" t="s">
        <v>16</v>
      </c>
      <c r="H49" s="35" t="s">
        <v>27</v>
      </c>
      <c r="I49" s="32">
        <f>IFERROR(SUMIF($C$3:$C$267,H47,$E$3:$E$267),0)</f>
        <v>314.82313815966285</v>
      </c>
      <c r="J49" s="14"/>
      <c r="K49" s="33"/>
    </row>
    <row r="50" spans="1:11" ht="14.25" customHeight="1" x14ac:dyDescent="0.3">
      <c r="A50" s="21">
        <f t="shared" ref="A50:A56" si="7">$C$40</f>
        <v>46274</v>
      </c>
      <c r="B50" s="21"/>
      <c r="C50" s="22" t="s">
        <v>18</v>
      </c>
      <c r="D50" s="23">
        <v>6.17</v>
      </c>
      <c r="E50" s="24">
        <f t="shared" ref="E50:E56" si="8">D50*$D$47</f>
        <v>29.183486901535684</v>
      </c>
      <c r="F50">
        <f>IF($C50="","",COUNTIF($C$3:$C50,$C50))</f>
        <v>3</v>
      </c>
      <c r="H50" s="18" t="s">
        <v>28</v>
      </c>
      <c r="I50" s="20" t="s">
        <v>15</v>
      </c>
      <c r="J50" s="20" t="s">
        <v>16</v>
      </c>
      <c r="K50" s="33"/>
    </row>
    <row r="51" spans="1:11" ht="14.25" customHeight="1" x14ac:dyDescent="0.3">
      <c r="A51" s="21">
        <f t="shared" si="7"/>
        <v>46274</v>
      </c>
      <c r="B51" s="21"/>
      <c r="C51" s="22" t="s">
        <v>12</v>
      </c>
      <c r="D51" s="23">
        <v>6.03</v>
      </c>
      <c r="E51" s="24">
        <f t="shared" si="8"/>
        <v>28.521300813008132</v>
      </c>
      <c r="F51">
        <f>IF($C51="","",COUNTIF($C$3:$C51,$C51))</f>
        <v>2</v>
      </c>
      <c r="H51" s="37">
        <f>IF(SUMPRODUCT(($C$3:$C$267=$H$47)*($F$3:$F$267=1))=0,"No entries yet",INDEX($A$3:$A$267,SUMPRODUCT(($C$3:$C$267=$H$47)*($F$3:$F$267=1)*(ROW($C$3:$C$267)-ROW($C$3)+1))))</f>
        <v>46273</v>
      </c>
      <c r="I51" s="38">
        <f>IFERROR(IF(SUMPRODUCT(($C$3:$C$267=$H$47)*($F$3:$F$267=1))=0,"",INDEX($D$3:$D$267,SUMPRODUCT(($C$3:$C$267=$H$47)*($F$3:$F$267=1)*(ROW($C$3:$C$267)-ROW($C$3)+1)))),"")</f>
        <v>4</v>
      </c>
      <c r="J51" s="38">
        <f>IFERROR(IF(SUMPRODUCT(($C$3:$C$267=$H$47)*($F$3:$F$267=1))=0,"",INDEX($E$3:$E$267,SUMPRODUCT(($C$3:$C$267=$H$47)*($F$3:$F$267=1)*(ROW($C$3:$C$267)-ROW($C$3)+1)))),"")</f>
        <v>12.158266603862458</v>
      </c>
      <c r="K51" s="33"/>
    </row>
    <row r="52" spans="1:11" ht="14.25" customHeight="1" x14ac:dyDescent="0.3">
      <c r="A52" s="21">
        <f t="shared" si="7"/>
        <v>46274</v>
      </c>
      <c r="B52" s="21"/>
      <c r="C52" s="22" t="s">
        <v>6</v>
      </c>
      <c r="D52" s="23">
        <v>4.91</v>
      </c>
      <c r="E52" s="24">
        <f t="shared" si="8"/>
        <v>23.223812104787715</v>
      </c>
      <c r="F52">
        <f>IF($C52="","",COUNTIF($C$3:$C52,$C52))</f>
        <v>2</v>
      </c>
      <c r="H52" s="37">
        <f>IF(SUMPRODUCT(($C$3:$C$267=$H$47)*($F$3:$F$267=2))=0,"",INDEX($A$3:$A$267,SUMPRODUCT(($C$3:$C$267=$H$47)*($F$3:$F$267=2)*(ROW($C$3:$C$267)-ROW($C$3)+1))))</f>
        <v>46274</v>
      </c>
      <c r="I52" s="38">
        <f>IFERROR(IF(SUMPRODUCT(($C$3:$C$267=$H$47)*($F$3:$F$267=2))=0,"",INDEX($D$3:$D$267,SUMPRODUCT(($C$3:$C$267=$H$47)*($F$3:$F$267=2)*(ROW($C$3:$C$267)-ROW($C$3)+1)))),"")</f>
        <v>5.03</v>
      </c>
      <c r="J52" s="38">
        <f>IFERROR(IF(SUMPRODUCT(($C$3:$C$267=$H$47)*($F$3:$F$267=2))=0,"",INDEX($E$3:$E$267,SUMPRODUCT(($C$3:$C$267=$H$47)*($F$3:$F$267=2)*(ROW($C$3:$C$267)-ROW($C$3)+1)))),"")</f>
        <v>23.791400180668475</v>
      </c>
      <c r="K52" s="33"/>
    </row>
    <row r="53" spans="1:11" ht="14.25" customHeight="1" x14ac:dyDescent="0.3">
      <c r="A53" s="21">
        <f t="shared" si="7"/>
        <v>46274</v>
      </c>
      <c r="B53" s="21"/>
      <c r="C53" s="22" t="s">
        <v>10</v>
      </c>
      <c r="D53" s="23">
        <v>5.03</v>
      </c>
      <c r="E53" s="24">
        <f t="shared" si="8"/>
        <v>23.791400180668475</v>
      </c>
      <c r="F53">
        <f>IF($C53="","",COUNTIF($C$3:$C53,$C53))</f>
        <v>2</v>
      </c>
      <c r="H53" s="37">
        <f>IF(SUMPRODUCT(($C$3:$C$267=$H$47)*($F$3:$F$267=3))=0,"",INDEX($A$3:$A$267,SUMPRODUCT(($C$3:$C$267=$H$47)*($F$3:$F$267=3)*(ROW($C$3:$C$267)-ROW($C$3)+1))))</f>
        <v>46275</v>
      </c>
      <c r="I53" s="38">
        <f>IFERROR(IF(SUMPRODUCT(($C$3:$C$267=$H$47)*($F$3:$F$267=3))=0,"",INDEX($D$3:$D$267,SUMPRODUCT(($C$3:$C$267=$H$47)*($F$3:$F$267=3)*(ROW($C$3:$C$267)-ROW($C$3)+1)))),"")</f>
        <v>5.08</v>
      </c>
      <c r="J53" s="38">
        <f>IFERROR(IF(SUMPRODUCT(($C$3:$C$267=$H$47)*($F$3:$F$267=3))=0,"",INDEX($E$3:$E$267,SUMPRODUCT(($C$3:$C$267=$H$47)*($F$3:$F$267=3)*(ROW($C$3:$C$267)-ROW($C$3)+1)))),"")</f>
        <v>28.366926994906617</v>
      </c>
      <c r="K53" s="33"/>
    </row>
    <row r="54" spans="1:11" ht="14.25" customHeight="1" x14ac:dyDescent="0.3">
      <c r="A54" s="21">
        <f t="shared" si="7"/>
        <v>46274</v>
      </c>
      <c r="B54" s="21"/>
      <c r="C54" s="22"/>
      <c r="D54" s="23"/>
      <c r="E54" s="24">
        <f t="shared" si="8"/>
        <v>0</v>
      </c>
      <c r="F54" t="str">
        <f>IF($C54="","",COUNTIF($C$3:$C54,$C54))</f>
        <v/>
      </c>
      <c r="H54" s="37">
        <f>IF(SUMPRODUCT(($C$3:$C$267=$H$47)*($F$3:$F$267=4))=0,"",INDEX($A$3:$A$267,SUMPRODUCT(($C$3:$C$267=$H$47)*($F$3:$F$267=4)*(ROW($C$3:$C$267)-ROW($C$3)+1))))</f>
        <v>46277</v>
      </c>
      <c r="I54" s="38">
        <f>IFERROR(IF(SUMPRODUCT(($C$3:$C$267=$H$47)*($F$3:$F$267=4))=0,"",INDEX($D$3:$D$267,SUMPRODUCT(($C$3:$C$267=$H$47)*($F$3:$F$267=4)*(ROW($C$3:$C$267)-ROW($C$3)+1)))),"")</f>
        <v>5.0599999999999996</v>
      </c>
      <c r="J54" s="38">
        <f>IFERROR(IF(SUMPRODUCT(($C$3:$C$267=$H$47)*($F$3:$F$267=4))=0,"",INDEX($E$3:$E$267,SUMPRODUCT(($C$3:$C$267=$H$47)*($F$3:$F$267=4)*(ROW($C$3:$C$267)-ROW($C$3)+1)))),"")</f>
        <v>73.071471526195907</v>
      </c>
      <c r="K54" s="33"/>
    </row>
    <row r="55" spans="1:11" ht="14.25" customHeight="1" x14ac:dyDescent="0.3">
      <c r="A55" s="21">
        <f t="shared" si="7"/>
        <v>46274</v>
      </c>
      <c r="B55" s="21"/>
      <c r="C55" s="22"/>
      <c r="D55" s="23"/>
      <c r="E55" s="24">
        <f t="shared" si="8"/>
        <v>0</v>
      </c>
      <c r="F55" t="str">
        <f>IF($C55="","",COUNTIF($C$3:$C55,$C55))</f>
        <v/>
      </c>
      <c r="H55" s="37">
        <f>IF(SUMPRODUCT(($C$3:$C$267=$H$47)*($F$3:$F$267=5))=0,"",INDEX($A$3:$A$267,SUMPRODUCT(($C$3:$C$267=$H$47)*($F$3:$F$267=5)*(ROW($C$3:$C$267)-ROW($C$3)+1))))</f>
        <v>46278</v>
      </c>
      <c r="I55" s="38">
        <f>IFERROR(IF(SUMPRODUCT(($C$3:$C$267=$H$47)*($F$3:$F$267=5))=0,"",INDEX($D$3:$D$267,SUMPRODUCT(($C$3:$C$267=$H$47)*($F$3:$F$267=5)*(ROW($C$3:$C$267)-ROW($C$3)+1)))),"")</f>
        <v>5.04</v>
      </c>
      <c r="J55" s="38">
        <f>IFERROR(IF(SUMPRODUCT(($C$3:$C$267=$H$47)*($F$3:$F$267=5))=0,"",INDEX($E$3:$E$267,SUMPRODUCT(($C$3:$C$267=$H$47)*($F$3:$F$267=5)*(ROW($C$3:$C$267)-ROW($C$3)+1)))),"")</f>
        <v>58.565338078291823</v>
      </c>
      <c r="K55" s="33"/>
    </row>
    <row r="56" spans="1:11" ht="14.25" customHeight="1" x14ac:dyDescent="0.3">
      <c r="A56" s="21">
        <f t="shared" si="7"/>
        <v>46274</v>
      </c>
      <c r="B56" s="21"/>
      <c r="C56" s="22"/>
      <c r="D56" s="23"/>
      <c r="E56" s="24">
        <f t="shared" si="8"/>
        <v>0</v>
      </c>
      <c r="F56" t="str">
        <f>IF($C56="","",COUNTIF($C$3:$C56,$C56))</f>
        <v/>
      </c>
      <c r="H56" s="37">
        <f>IF(SUMPRODUCT(($C$3:$C$267=$H$47)*($F$3:$F$267=6))=0,"",INDEX($A$3:$A$267,SUMPRODUCT(($C$3:$C$267=$H$47)*($F$3:$F$267=6)*(ROW($C$3:$C$267)-ROW($C$3)+1))))</f>
        <v>46279</v>
      </c>
      <c r="I56" s="38">
        <f>IFERROR(IF(SUMPRODUCT(($C$3:$C$267=$H$47)*($F$3:$F$267=6))=0,"",INDEX($D$3:$D$267,SUMPRODUCT(($C$3:$C$267=$H$47)*($F$3:$F$267=6)*(ROW($C$3:$C$267)-ROW($C$3)+1)))),"")</f>
        <v>5.0599999999999996</v>
      </c>
      <c r="J56" s="38">
        <f>IFERROR(IF(SUMPRODUCT(($C$3:$C$267=$H$47)*($F$3:$F$267=6))=0,"",INDEX($E$3:$E$267,SUMPRODUCT(($C$3:$C$267=$H$47)*($F$3:$F$267=6)*(ROW($C$3:$C$267)-ROW($C$3)+1)))),"")</f>
        <v>26.790096645821492</v>
      </c>
      <c r="K56" s="33"/>
    </row>
    <row r="57" spans="1:11" ht="15" customHeight="1" x14ac:dyDescent="0.3">
      <c r="C57" s="25" t="s">
        <v>24</v>
      </c>
      <c r="D57" s="26"/>
      <c r="E57" s="27">
        <f>SUM(E50:E56)</f>
        <v>104.72</v>
      </c>
      <c r="H57" s="37">
        <f>IF(SUMPRODUCT(($C$3:$C$267=$H$47)*($F$3:$F$267=7))=0,"",INDEX($A$3:$A$267,SUMPRODUCT(($C$3:$C$267=$H$47)*($F$3:$F$267=7)*(ROW($C$3:$C$267)-ROW($C$3)+1))))</f>
        <v>46280</v>
      </c>
      <c r="I57" s="38">
        <f>IFERROR(IF(SUMPRODUCT(($C$3:$C$267=$H$47)*($F$3:$F$267=7))=0,"",INDEX($D$3:$D$267,SUMPRODUCT(($C$3:$C$267=$H$47)*($F$3:$F$267=7)*(ROW($C$3:$C$267)-ROW($C$3)+1)))),"")</f>
        <v>4.92</v>
      </c>
      <c r="J57" s="38">
        <f>IFERROR(IF(SUMPRODUCT(($C$3:$C$267=$H$47)*($F$3:$F$267=7))=0,"",INDEX($E$3:$E$267,SUMPRODUCT(($C$3:$C$267=$H$47)*($F$3:$F$267=7)*(ROW($C$3:$C$267)-ROW($C$3)+1)))),"")</f>
        <v>29.261358535144712</v>
      </c>
      <c r="K57" s="33"/>
    </row>
    <row r="58" spans="1:11" ht="15" customHeight="1" x14ac:dyDescent="0.3">
      <c r="H58" s="37">
        <f>IF(SUMPRODUCT(($C$3:$C$267=$H$47)*($F$3:$F$267=8))=0,"",INDEX($A$3:$A$267,SUMPRODUCT(($C$3:$C$267=$H$47)*($F$3:$F$267=8)*(ROW($C$3:$C$267)-ROW($C$3)+1))))</f>
        <v>46281</v>
      </c>
      <c r="I58" s="38">
        <f>IFERROR(IF(SUMPRODUCT(($C$3:$C$267=$H$47)*($F$3:$F$267=8))=0,"",INDEX($D$3:$D$267,SUMPRODUCT(($C$3:$C$267=$H$47)*($F$3:$F$267=8)*(ROW($C$3:$C$267)-ROW($C$3)+1)))),"")</f>
        <v>5.0999999999999996</v>
      </c>
      <c r="J58" s="38">
        <f>IFERROR(IF(SUMPRODUCT(($C$3:$C$267=$H$47)*($F$3:$F$267=8))=0,"",INDEX($E$3:$E$267,SUMPRODUCT(($C$3:$C$267=$H$47)*($F$3:$F$267=8)*(ROW($C$3:$C$267)-ROW($C$3)+1)))),"")</f>
        <v>13.199119373776906</v>
      </c>
      <c r="K58" s="33"/>
    </row>
    <row r="59" spans="1:11" ht="15" customHeight="1" x14ac:dyDescent="0.3">
      <c r="C59" s="4">
        <v>46275</v>
      </c>
      <c r="D59" s="4"/>
      <c r="E59" s="4"/>
      <c r="H59" s="37">
        <f>IF(SUMPRODUCT(($C$3:$C$267=$H$47)*($F$3:$F$267=9))=0,"",INDEX($A$3:$A$267,SUMPRODUCT(($C$3:$C$267=$H$47)*($F$3:$F$267=9)*(ROW($C$3:$C$267)-ROW($C$3)+1))))</f>
        <v>46283</v>
      </c>
      <c r="I59" s="38">
        <f>IFERROR(IF(SUMPRODUCT(($C$3:$C$267=$H$47)*($F$3:$F$267=9))=0,"",INDEX($D$3:$D$267,SUMPRODUCT(($C$3:$C$267=$H$47)*($F$3:$F$267=9)*(ROW($C$3:$C$267)-ROW($C$3)+1)))),"")</f>
        <v>5.57</v>
      </c>
      <c r="J59" s="38">
        <f>IFERROR(IF(SUMPRODUCT(($C$3:$C$267=$H$47)*($F$3:$F$267=9))=0,"",INDEX($E$3:$E$267,SUMPRODUCT(($C$3:$C$267=$H$47)*($F$3:$F$267=9)*(ROW($C$3:$C$267)-ROW($C$3)+1)))),"")</f>
        <v>49.619160220994466</v>
      </c>
      <c r="K59" s="33"/>
    </row>
    <row r="60" spans="1:11" ht="15" customHeight="1" x14ac:dyDescent="0.3">
      <c r="C60" s="28"/>
      <c r="E60" s="29"/>
      <c r="H60" s="37" t="str">
        <f>IF(SUMPRODUCT(($C$3:$C$267=$H$47)*($F$3:$F$267=10))=0,"",INDEX($A$3:$A$267,SUMPRODUCT(($C$3:$C$267=$H$47)*($F$3:$F$267=10)*(ROW($C$3:$C$267)-ROW($C$3)+1))))</f>
        <v/>
      </c>
      <c r="I60" s="38" t="str">
        <f>IFERROR(IF(SUMPRODUCT(($C$3:$C$267=$H$47)*($F$3:$F$267=10))=0,"",INDEX($D$3:$D$267,SUMPRODUCT(($C$3:$C$267=$H$47)*($F$3:$F$267=10)*(ROW($C$3:$C$267)-ROW($C$3)+1)))),"")</f>
        <v/>
      </c>
      <c r="J60" s="38" t="str">
        <f>IFERROR(IF(SUMPRODUCT(($C$3:$C$267=$H$47)*($F$3:$F$267=10))=0,"",INDEX($E$3:$E$267,SUMPRODUCT(($C$3:$C$267=$H$47)*($F$3:$F$267=10)*(ROW($C$3:$C$267)-ROW($C$3)+1)))),"")</f>
        <v/>
      </c>
      <c r="K60" s="33"/>
    </row>
    <row r="61" spans="1:11" ht="14.25" customHeight="1" x14ac:dyDescent="0.3">
      <c r="C61" s="10" t="s">
        <v>5</v>
      </c>
      <c r="D61" s="11">
        <v>98.67</v>
      </c>
      <c r="E61" s="12"/>
      <c r="H61" s="37" t="str">
        <f>IF(SUMPRODUCT(($C$3:$C$267=$H$47)*($F$3:$F$267=11))=0,"",INDEX($A$3:$A$267,SUMPRODUCT(($C$3:$C$267=$H$47)*($F$3:$F$267=11)*(ROW($C$3:$C$267)-ROW($C$3)+1))))</f>
        <v/>
      </c>
      <c r="I61" s="38" t="str">
        <f>IFERROR(IF(SUMPRODUCT(($C$3:$C$267=$H$47)*($F$3:$F$267=11))=0,"",INDEX($D$3:$D$267,SUMPRODUCT(($C$3:$C$267=$H$47)*($F$3:$F$267=11)*(ROW($C$3:$C$267)-ROW($C$3)+1)))),"")</f>
        <v/>
      </c>
      <c r="J61" s="38" t="str">
        <f>IFERROR(IF(SUMPRODUCT(($C$3:$C$267=$H$47)*($F$3:$F$267=11))=0,"",INDEX($E$3:$E$267,SUMPRODUCT(($C$3:$C$267=$H$47)*($F$3:$F$267=11)*(ROW($C$3:$C$267)-ROW($C$3)+1)))),"")</f>
        <v/>
      </c>
      <c r="K61" s="33"/>
    </row>
    <row r="62" spans="1:11" ht="14.25" customHeight="1" x14ac:dyDescent="0.3">
      <c r="C62" s="10" t="s">
        <v>7</v>
      </c>
      <c r="D62" s="15"/>
      <c r="E62" s="16"/>
      <c r="H62" s="37" t="str">
        <f>IF(SUMPRODUCT(($C$3:$C$267=$H$47)*($F$3:$F$267=12))=0,"",INDEX($A$3:$A$267,SUMPRODUCT(($C$3:$C$267=$H$47)*($F$3:$F$267=12)*(ROW($C$3:$C$267)-ROW($C$3)+1))))</f>
        <v/>
      </c>
      <c r="I62" s="38" t="str">
        <f>IFERROR(IF(SUMPRODUCT(($C$3:$C$267=$H$47)*($F$3:$F$267=12))=0,"",INDEX($D$3:$D$267,SUMPRODUCT(($C$3:$C$267=$H$47)*($F$3:$F$267=12)*(ROW($C$3:$C$267)-ROW($C$3)+1)))),"")</f>
        <v/>
      </c>
      <c r="J62" s="38" t="str">
        <f>IFERROR(IF(SUMPRODUCT(($C$3:$C$267=$H$47)*($F$3:$F$267=12))=0,"",INDEX($E$3:$E$267,SUMPRODUCT(($C$3:$C$267=$H$47)*($F$3:$F$267=12)*(ROW($C$3:$C$267)-ROW($C$3)+1)))),"")</f>
        <v/>
      </c>
      <c r="K62" s="33"/>
    </row>
    <row r="63" spans="1:11" ht="14.25" customHeight="1" x14ac:dyDescent="0.3">
      <c r="C63" s="10" t="s">
        <v>9</v>
      </c>
      <c r="D63" s="10"/>
      <c r="E63" s="12"/>
      <c r="H63" s="37" t="str">
        <f>IF(SUMPRODUCT(($C$3:$C$267=$H$47)*($F$3:$F$267=13))=0,"",INDEX($A$3:$A$267,SUMPRODUCT(($C$3:$C$267=$H$47)*($F$3:$F$267=13)*(ROW($C$3:$C$267)-ROW($C$3)+1))))</f>
        <v/>
      </c>
      <c r="I63" s="38" t="str">
        <f>IFERROR(IF(SUMPRODUCT(($C$3:$C$267=$H$47)*($F$3:$F$267=13))=0,"",INDEX($D$3:$D$267,SUMPRODUCT(($C$3:$C$267=$H$47)*($F$3:$F$267=13)*(ROW($C$3:$C$267)-ROW($C$3)+1)))),"")</f>
        <v/>
      </c>
      <c r="J63" s="38" t="str">
        <f>IFERROR(IF(SUMPRODUCT(($C$3:$C$267=$H$47)*($F$3:$F$267=13))=0,"",INDEX($E$3:$E$267,SUMPRODUCT(($C$3:$C$267=$H$47)*($F$3:$F$267=13)*(ROW($C$3:$C$267)-ROW($C$3)+1)))),"")</f>
        <v/>
      </c>
      <c r="K63" s="33"/>
    </row>
    <row r="64" spans="1:11" ht="14.25" customHeight="1" x14ac:dyDescent="0.3">
      <c r="C64" s="10" t="s">
        <v>2</v>
      </c>
      <c r="D64" s="17">
        <f>SUM(D61:D63)</f>
        <v>98.67</v>
      </c>
      <c r="E64" s="12"/>
      <c r="H64" s="37" t="str">
        <f>IF(SUMPRODUCT(($C$3:$C$267=$H$47)*($F$3:$F$267=14))=0,"",INDEX($A$3:$A$267,SUMPRODUCT(($C$3:$C$267=$H$47)*($F$3:$F$267=14)*(ROW($C$3:$C$267)-ROW($C$3)+1))))</f>
        <v/>
      </c>
      <c r="I64" s="38" t="str">
        <f>IFERROR(IF(SUMPRODUCT(($C$3:$C$267=$H$47)*($F$3:$F$267=14))=0,"",INDEX($D$3:$D$267,SUMPRODUCT(($C$3:$C$267=$H$47)*($F$3:$F$267=14)*(ROW($C$3:$C$267)-ROW($C$3)+1)))),"")</f>
        <v/>
      </c>
      <c r="J64" s="38" t="str">
        <f>IFERROR(IF(SUMPRODUCT(($C$3:$C$267=$H$47)*($F$3:$F$267=14))=0,"",INDEX($E$3:$E$267,SUMPRODUCT(($C$3:$C$267=$H$47)*($F$3:$F$267=14)*(ROW($C$3:$C$267)-ROW($C$3)+1)))),"")</f>
        <v/>
      </c>
      <c r="K64" s="33"/>
    </row>
    <row r="65" spans="1:11" ht="14.25" customHeight="1" x14ac:dyDescent="0.3">
      <c r="C65" s="10" t="s">
        <v>3</v>
      </c>
      <c r="D65" s="10">
        <f>SUM(D69:D75)</f>
        <v>17.670000000000002</v>
      </c>
      <c r="E65" s="12"/>
      <c r="H65" s="37" t="str">
        <f>IF(SUMPRODUCT(($C$3:$C$267=$H$47)*($F$3:$F$267=15))=0,"",INDEX($A$3:$A$267,SUMPRODUCT(($C$3:$C$267=$H$47)*($F$3:$F$267=15)*(ROW($C$3:$C$267)-ROW($C$3)+1))))</f>
        <v/>
      </c>
      <c r="I65" s="38" t="str">
        <f>IFERROR(IF(SUMPRODUCT(($C$3:$C$267=$H$47)*($F$3:$F$267=15))=0,"",INDEX($D$3:$D$267,SUMPRODUCT(($C$3:$C$267=$H$47)*($F$3:$F$267=15)*(ROW($C$3:$C$267)-ROW($C$3)+1)))),"")</f>
        <v/>
      </c>
      <c r="J65" s="38" t="str">
        <f>IFERROR(IF(SUMPRODUCT(($C$3:$C$267=$H$47)*($F$3:$F$267=15))=0,"",INDEX($E$3:$E$267,SUMPRODUCT(($C$3:$C$267=$H$47)*($F$3:$F$267=15)*(ROW($C$3:$C$267)-ROW($C$3)+1)))),"")</f>
        <v/>
      </c>
      <c r="K65" s="33"/>
    </row>
    <row r="66" spans="1:11" ht="14.25" customHeight="1" x14ac:dyDescent="0.3">
      <c r="C66" s="10" t="s">
        <v>13</v>
      </c>
      <c r="D66" s="17">
        <f>D64/D65</f>
        <v>5.5840407470288618</v>
      </c>
      <c r="E66" s="12"/>
      <c r="H66" s="37" t="str">
        <f>IF(SUMPRODUCT(($C$3:$C$267=$H$47)*($F$3:$F$267=16))=0,"",INDEX($A$3:$A$267,SUMPRODUCT(($C$3:$C$267=$H$47)*($F$3:$F$267=16)*(ROW($C$3:$C$267)-ROW($C$3)+1))))</f>
        <v/>
      </c>
      <c r="I66" s="38" t="str">
        <f>IFERROR(IF(SUMPRODUCT(($C$3:$C$267=$H$47)*($F$3:$F$267=16))=0,"",INDEX($D$3:$D$267,SUMPRODUCT(($C$3:$C$267=$H$47)*($F$3:$F$267=16)*(ROW($C$3:$C$267)-ROW($C$3)+1)))),"")</f>
        <v/>
      </c>
      <c r="J66" s="38" t="str">
        <f>IFERROR(IF(SUMPRODUCT(($C$3:$C$267=$H$47)*($F$3:$F$267=16))=0,"",INDEX($E$3:$E$267,SUMPRODUCT(($C$3:$C$267=$H$47)*($F$3:$F$267=16)*(ROW($C$3:$C$267)-ROW($C$3)+1)))),"")</f>
        <v/>
      </c>
      <c r="K66" s="33"/>
    </row>
    <row r="67" spans="1:11" ht="14.25" customHeight="1" x14ac:dyDescent="0.3">
      <c r="C67" s="12"/>
      <c r="D67" s="36"/>
      <c r="E67" s="12"/>
      <c r="H67" s="34" t="str">
        <f>H8</f>
        <v>Maya Snyder</v>
      </c>
      <c r="I67" s="14"/>
      <c r="J67" s="14"/>
      <c r="K67" s="33"/>
    </row>
    <row r="68" spans="1:11" ht="15" customHeight="1" x14ac:dyDescent="0.3">
      <c r="C68" s="18" t="s">
        <v>1</v>
      </c>
      <c r="D68" s="19" t="s">
        <v>15</v>
      </c>
      <c r="E68" s="20" t="s">
        <v>16</v>
      </c>
      <c r="H68" s="35" t="s">
        <v>26</v>
      </c>
      <c r="I68" s="32">
        <f>IFERROR(SUMIF($C$3:$C$267,H67,$D$3:$D$267),0)</f>
        <v>0</v>
      </c>
      <c r="J68" s="14"/>
      <c r="K68" s="33"/>
    </row>
    <row r="69" spans="1:11" ht="14.25" customHeight="1" x14ac:dyDescent="0.3">
      <c r="A69" s="21">
        <f t="shared" ref="A69:A75" si="9">$C$59</f>
        <v>46275</v>
      </c>
      <c r="B69" s="21"/>
      <c r="C69" s="22" t="s">
        <v>12</v>
      </c>
      <c r="D69" s="23">
        <v>6.59</v>
      </c>
      <c r="E69" s="24">
        <f t="shared" ref="E69:E75" si="10">D69*$D$66</f>
        <v>36.798828522920196</v>
      </c>
      <c r="F69">
        <f>IF($C69="","",COUNTIF($C$3:$C69,$C69))</f>
        <v>3</v>
      </c>
      <c r="H69" s="35" t="s">
        <v>27</v>
      </c>
      <c r="I69" s="32">
        <f>IFERROR(SUMIF($C$3:$C$267,H67,$E$3:$E$267),0)</f>
        <v>0</v>
      </c>
      <c r="J69" s="14"/>
      <c r="K69" s="33"/>
    </row>
    <row r="70" spans="1:11" ht="14.25" customHeight="1" x14ac:dyDescent="0.3">
      <c r="A70" s="21">
        <f t="shared" si="9"/>
        <v>46275</v>
      </c>
      <c r="B70" s="21"/>
      <c r="C70" s="22" t="s">
        <v>21</v>
      </c>
      <c r="D70" s="23">
        <v>6</v>
      </c>
      <c r="E70" s="24">
        <f t="shared" si="10"/>
        <v>33.504244482173171</v>
      </c>
      <c r="F70">
        <f>IF($C70="","",COUNTIF($C$3:$C70,$C70))</f>
        <v>2</v>
      </c>
      <c r="H70" s="18" t="s">
        <v>28</v>
      </c>
      <c r="I70" s="20" t="s">
        <v>15</v>
      </c>
      <c r="J70" s="20" t="s">
        <v>16</v>
      </c>
      <c r="K70" s="33"/>
    </row>
    <row r="71" spans="1:11" ht="14.25" customHeight="1" x14ac:dyDescent="0.3">
      <c r="A71" s="21">
        <f t="shared" si="9"/>
        <v>46275</v>
      </c>
      <c r="B71" s="21"/>
      <c r="C71" s="22" t="s">
        <v>10</v>
      </c>
      <c r="D71" s="23">
        <v>5.08</v>
      </c>
      <c r="E71" s="24">
        <f t="shared" si="10"/>
        <v>28.366926994906617</v>
      </c>
      <c r="F71">
        <f>IF($C71="","",COUNTIF($C$3:$C71,$C71))</f>
        <v>3</v>
      </c>
      <c r="H71" s="37" t="str">
        <f>IF(SUMPRODUCT(($C$3:$C$267=$H$67)*($F$3:$F$267=1))=0,"No entries yet",INDEX($A$3:$A$267,SUMPRODUCT(($C$3:$C$267=$H$67)*($F$3:$F$267=1)*(ROW($C$3:$C$267)-ROW($C$3)+1))))</f>
        <v>No entries yet</v>
      </c>
      <c r="I71" s="38" t="str">
        <f>IFERROR(IF(SUMPRODUCT(($C$3:$C$267=$H$67)*($F$3:$F$267=1))=0,"",INDEX($D$3:$D$267,SUMPRODUCT(($C$3:$C$267=$H$67)*($F$3:$F$267=1)*(ROW($C$3:$C$267)-ROW($C$3)+1)))),"")</f>
        <v/>
      </c>
      <c r="J71" s="38" t="str">
        <f>IFERROR(IF(SUMPRODUCT(($C$3:$C$267=$H$67)*($F$3:$F$267=1))=0,"",INDEX($E$3:$E$267,SUMPRODUCT(($C$3:$C$267=$H$67)*($F$3:$F$267=1)*(ROW($C$3:$C$267)-ROW($C$3)+1)))),"")</f>
        <v/>
      </c>
      <c r="K71" s="33"/>
    </row>
    <row r="72" spans="1:11" ht="14.25" customHeight="1" x14ac:dyDescent="0.3">
      <c r="A72" s="21">
        <f t="shared" si="9"/>
        <v>46275</v>
      </c>
      <c r="B72" s="21"/>
      <c r="C72" s="22"/>
      <c r="D72" s="23"/>
      <c r="E72" s="24">
        <f t="shared" si="10"/>
        <v>0</v>
      </c>
      <c r="F72" t="str">
        <f>IF($C72="","",COUNTIF($C$3:$C72,$C72))</f>
        <v/>
      </c>
      <c r="H72" s="37" t="str">
        <f>IF(SUMPRODUCT(($C$3:$C$267=$H$67)*($F$3:$F$267=2))=0,"",INDEX($A$3:$A$267,SUMPRODUCT(($C$3:$C$267=$H$67)*($F$3:$F$267=2)*(ROW($C$3:$C$267)-ROW($C$3)+1))))</f>
        <v/>
      </c>
      <c r="I72" s="38" t="str">
        <f>IFERROR(IF(SUMPRODUCT(($C$3:$C$267=$H$67)*($F$3:$F$267=2))=0,"",INDEX($D$3:$D$267,SUMPRODUCT(($C$3:$C$267=$H$67)*($F$3:$F$267=2)*(ROW($C$3:$C$267)-ROW($C$3)+1)))),"")</f>
        <v/>
      </c>
      <c r="J72" s="38" t="str">
        <f>IFERROR(IF(SUMPRODUCT(($C$3:$C$267=$H$67)*($F$3:$F$267=2))=0,"",INDEX($E$3:$E$267,SUMPRODUCT(($C$3:$C$267=$H$67)*($F$3:$F$267=2)*(ROW($C$3:$C$267)-ROW($C$3)+1)))),"")</f>
        <v/>
      </c>
      <c r="K72" s="33"/>
    </row>
    <row r="73" spans="1:11" ht="14.25" customHeight="1" x14ac:dyDescent="0.3">
      <c r="A73" s="21">
        <f t="shared" si="9"/>
        <v>46275</v>
      </c>
      <c r="B73" s="21"/>
      <c r="C73" s="22"/>
      <c r="D73" s="23"/>
      <c r="E73" s="24">
        <f t="shared" si="10"/>
        <v>0</v>
      </c>
      <c r="F73" t="str">
        <f>IF($C73="","",COUNTIF($C$3:$C73,$C73))</f>
        <v/>
      </c>
      <c r="H73" s="37" t="str">
        <f>IF(SUMPRODUCT(($C$3:$C$267=$H$67)*($F$3:$F$267=3))=0,"",INDEX($A$3:$A$267,SUMPRODUCT(($C$3:$C$267=$H$67)*($F$3:$F$267=3)*(ROW($C$3:$C$267)-ROW($C$3)+1))))</f>
        <v/>
      </c>
      <c r="I73" s="38" t="str">
        <f>IFERROR(IF(SUMPRODUCT(($C$3:$C$267=$H$67)*($F$3:$F$267=3))=0,"",INDEX($D$3:$D$267,SUMPRODUCT(($C$3:$C$267=$H$67)*($F$3:$F$267=3)*(ROW($C$3:$C$267)-ROW($C$3)+1)))),"")</f>
        <v/>
      </c>
      <c r="J73" s="38" t="str">
        <f>IFERROR(IF(SUMPRODUCT(($C$3:$C$267=$H$67)*($F$3:$F$267=3))=0,"",INDEX($E$3:$E$267,SUMPRODUCT(($C$3:$C$267=$H$67)*($F$3:$F$267=3)*(ROW($C$3:$C$267)-ROW($C$3)+1)))),"")</f>
        <v/>
      </c>
      <c r="K73" s="33"/>
    </row>
    <row r="74" spans="1:11" ht="14.25" customHeight="1" x14ac:dyDescent="0.3">
      <c r="A74" s="21">
        <f t="shared" si="9"/>
        <v>46275</v>
      </c>
      <c r="B74" s="21"/>
      <c r="C74" s="22"/>
      <c r="D74" s="23"/>
      <c r="E74" s="24">
        <f t="shared" si="10"/>
        <v>0</v>
      </c>
      <c r="F74" t="str">
        <f>IF($C74="","",COUNTIF($C$3:$C74,$C74))</f>
        <v/>
      </c>
      <c r="H74" s="37" t="str">
        <f>IF(SUMPRODUCT(($C$3:$C$267=$H$67)*($F$3:$F$267=4))=0,"",INDEX($A$3:$A$267,SUMPRODUCT(($C$3:$C$267=$H$67)*($F$3:$F$267=4)*(ROW($C$3:$C$267)-ROW($C$3)+1))))</f>
        <v/>
      </c>
      <c r="I74" s="38" t="str">
        <f>IFERROR(IF(SUMPRODUCT(($C$3:$C$267=$H$67)*($F$3:$F$267=4))=0,"",INDEX($D$3:$D$267,SUMPRODUCT(($C$3:$C$267=$H$67)*($F$3:$F$267=4)*(ROW($C$3:$C$267)-ROW($C$3)+1)))),"")</f>
        <v/>
      </c>
      <c r="J74" s="38" t="str">
        <f>IFERROR(IF(SUMPRODUCT(($C$3:$C$267=$H$67)*($F$3:$F$267=4))=0,"",INDEX($E$3:$E$267,SUMPRODUCT(($C$3:$C$267=$H$67)*($F$3:$F$267=4)*(ROW($C$3:$C$267)-ROW($C$3)+1)))),"")</f>
        <v/>
      </c>
      <c r="K74" s="33"/>
    </row>
    <row r="75" spans="1:11" ht="14.25" customHeight="1" x14ac:dyDescent="0.3">
      <c r="A75" s="21">
        <f t="shared" si="9"/>
        <v>46275</v>
      </c>
      <c r="B75" s="21"/>
      <c r="C75" s="22"/>
      <c r="D75" s="23"/>
      <c r="E75" s="24">
        <f t="shared" si="10"/>
        <v>0</v>
      </c>
      <c r="F75" t="str">
        <f>IF($C75="","",COUNTIF($C$3:$C75,$C75))</f>
        <v/>
      </c>
      <c r="H75" s="37" t="str">
        <f>IF(SUMPRODUCT(($C$3:$C$267=$H$67)*($F$3:$F$267=5))=0,"",INDEX($A$3:$A$267,SUMPRODUCT(($C$3:$C$267=$H$67)*($F$3:$F$267=5)*(ROW($C$3:$C$267)-ROW($C$3)+1))))</f>
        <v/>
      </c>
      <c r="I75" s="38" t="str">
        <f>IFERROR(IF(SUMPRODUCT(($C$3:$C$267=$H$67)*($F$3:$F$267=5))=0,"",INDEX($D$3:$D$267,SUMPRODUCT(($C$3:$C$267=$H$67)*($F$3:$F$267=5)*(ROW($C$3:$C$267)-ROW($C$3)+1)))),"")</f>
        <v/>
      </c>
      <c r="J75" s="38" t="str">
        <f>IFERROR(IF(SUMPRODUCT(($C$3:$C$267=$H$67)*($F$3:$F$267=5))=0,"",INDEX($E$3:$E$267,SUMPRODUCT(($C$3:$C$267=$H$67)*($F$3:$F$267=5)*(ROW($C$3:$C$267)-ROW($C$3)+1)))),"")</f>
        <v/>
      </c>
      <c r="K75" s="33"/>
    </row>
    <row r="76" spans="1:11" ht="15" customHeight="1" x14ac:dyDescent="0.3">
      <c r="C76" s="25" t="s">
        <v>24</v>
      </c>
      <c r="D76" s="26"/>
      <c r="E76" s="27">
        <f>SUM(E69:E75)</f>
        <v>98.669999999999987</v>
      </c>
      <c r="H76" s="37" t="str">
        <f>IF(SUMPRODUCT(($C$3:$C$267=$H$67)*($F$3:$F$267=6))=0,"",INDEX($A$3:$A$267,SUMPRODUCT(($C$3:$C$267=$H$67)*($F$3:$F$267=6)*(ROW($C$3:$C$267)-ROW($C$3)+1))))</f>
        <v/>
      </c>
      <c r="I76" s="38" t="str">
        <f>IFERROR(IF(SUMPRODUCT(($C$3:$C$267=$H$67)*($F$3:$F$267=6))=0,"",INDEX($D$3:$D$267,SUMPRODUCT(($C$3:$C$267=$H$67)*($F$3:$F$267=6)*(ROW($C$3:$C$267)-ROW($C$3)+1)))),"")</f>
        <v/>
      </c>
      <c r="J76" s="38" t="str">
        <f>IFERROR(IF(SUMPRODUCT(($C$3:$C$267=$H$67)*($F$3:$F$267=6))=0,"",INDEX($E$3:$E$267,SUMPRODUCT(($C$3:$C$267=$H$67)*($F$3:$F$267=6)*(ROW($C$3:$C$267)-ROW($C$3)+1)))),"")</f>
        <v/>
      </c>
      <c r="K76" s="33"/>
    </row>
    <row r="77" spans="1:11" ht="15" customHeight="1" x14ac:dyDescent="0.3">
      <c r="H77" s="37" t="str">
        <f>IF(SUMPRODUCT(($C$3:$C$267=$H$67)*($F$3:$F$267=7))=0,"",INDEX($A$3:$A$267,SUMPRODUCT(($C$3:$C$267=$H$67)*($F$3:$F$267=7)*(ROW($C$3:$C$267)-ROW($C$3)+1))))</f>
        <v/>
      </c>
      <c r="I77" s="38" t="str">
        <f>IFERROR(IF(SUMPRODUCT(($C$3:$C$267=$H$67)*($F$3:$F$267=7))=0,"",INDEX($D$3:$D$267,SUMPRODUCT(($C$3:$C$267=$H$67)*($F$3:$F$267=7)*(ROW($C$3:$C$267)-ROW($C$3)+1)))),"")</f>
        <v/>
      </c>
      <c r="J77" s="38" t="str">
        <f>IFERROR(IF(SUMPRODUCT(($C$3:$C$267=$H$67)*($F$3:$F$267=7))=0,"",INDEX($E$3:$E$267,SUMPRODUCT(($C$3:$C$267=$H$67)*($F$3:$F$267=7)*(ROW($C$3:$C$267)-ROW($C$3)+1)))),"")</f>
        <v/>
      </c>
      <c r="K77" s="33"/>
    </row>
    <row r="78" spans="1:11" ht="15" customHeight="1" x14ac:dyDescent="0.3">
      <c r="C78" s="4">
        <v>46276</v>
      </c>
      <c r="D78" s="4"/>
      <c r="E78" s="4"/>
      <c r="H78" s="37" t="str">
        <f>IF(SUMPRODUCT(($C$3:$C$267=$H$67)*($F$3:$F$267=8))=0,"",INDEX($A$3:$A$267,SUMPRODUCT(($C$3:$C$267=$H$67)*($F$3:$F$267=8)*(ROW($C$3:$C$267)-ROW($C$3)+1))))</f>
        <v/>
      </c>
      <c r="I78" s="38" t="str">
        <f>IFERROR(IF(SUMPRODUCT(($C$3:$C$267=$H$67)*($F$3:$F$267=8))=0,"",INDEX($D$3:$D$267,SUMPRODUCT(($C$3:$C$267=$H$67)*($F$3:$F$267=8)*(ROW($C$3:$C$267)-ROW($C$3)+1)))),"")</f>
        <v/>
      </c>
      <c r="J78" s="38" t="str">
        <f>IFERROR(IF(SUMPRODUCT(($C$3:$C$267=$H$67)*($F$3:$F$267=8))=0,"",INDEX($E$3:$E$267,SUMPRODUCT(($C$3:$C$267=$H$67)*($F$3:$F$267=8)*(ROW($C$3:$C$267)-ROW($C$3)+1)))),"")</f>
        <v/>
      </c>
      <c r="K78" s="33"/>
    </row>
    <row r="79" spans="1:11" ht="15" customHeight="1" x14ac:dyDescent="0.3">
      <c r="C79" s="28"/>
      <c r="E79" s="29"/>
      <c r="H79" s="37" t="str">
        <f>IF(SUMPRODUCT(($C$3:$C$267=$H$67)*($F$3:$F$267=9))=0,"",INDEX($A$3:$A$267,SUMPRODUCT(($C$3:$C$267=$H$67)*($F$3:$F$267=9)*(ROW($C$3:$C$267)-ROW($C$3)+1))))</f>
        <v/>
      </c>
      <c r="I79" s="38" t="str">
        <f>IFERROR(IF(SUMPRODUCT(($C$3:$C$267=$H$67)*($F$3:$F$267=9))=0,"",INDEX($D$3:$D$267,SUMPRODUCT(($C$3:$C$267=$H$67)*($F$3:$F$267=9)*(ROW($C$3:$C$267)-ROW($C$3)+1)))),"")</f>
        <v/>
      </c>
      <c r="J79" s="38" t="str">
        <f>IFERROR(IF(SUMPRODUCT(($C$3:$C$267=$H$67)*($F$3:$F$267=9))=0,"",INDEX($E$3:$E$267,SUMPRODUCT(($C$3:$C$267=$H$67)*($F$3:$F$267=9)*(ROW($C$3:$C$267)-ROW($C$3)+1)))),"")</f>
        <v/>
      </c>
      <c r="K79" s="33"/>
    </row>
    <row r="80" spans="1:11" ht="14.25" customHeight="1" x14ac:dyDescent="0.3">
      <c r="C80" s="10" t="s">
        <v>5</v>
      </c>
      <c r="D80" s="11">
        <v>173.17</v>
      </c>
      <c r="E80" s="12"/>
      <c r="H80" s="37" t="str">
        <f>IF(SUMPRODUCT(($C$3:$C$267=$H$67)*($F$3:$F$267=10))=0,"",INDEX($A$3:$A$267,SUMPRODUCT(($C$3:$C$267=$H$67)*($F$3:$F$267=10)*(ROW($C$3:$C$267)-ROW($C$3)+1))))</f>
        <v/>
      </c>
      <c r="I80" s="38" t="str">
        <f>IFERROR(IF(SUMPRODUCT(($C$3:$C$267=$H$67)*($F$3:$F$267=10))=0,"",INDEX($D$3:$D$267,SUMPRODUCT(($C$3:$C$267=$H$67)*($F$3:$F$267=10)*(ROW($C$3:$C$267)-ROW($C$3)+1)))),"")</f>
        <v/>
      </c>
      <c r="J80" s="38" t="str">
        <f>IFERROR(IF(SUMPRODUCT(($C$3:$C$267=$H$67)*($F$3:$F$267=10))=0,"",INDEX($E$3:$E$267,SUMPRODUCT(($C$3:$C$267=$H$67)*($F$3:$F$267=10)*(ROW($C$3:$C$267)-ROW($C$3)+1)))),"")</f>
        <v/>
      </c>
      <c r="K80" s="33"/>
    </row>
    <row r="81" spans="1:11" ht="14.25" customHeight="1" x14ac:dyDescent="0.3">
      <c r="C81" s="10" t="s">
        <v>7</v>
      </c>
      <c r="D81" s="15"/>
      <c r="E81" s="16"/>
      <c r="H81" s="37" t="str">
        <f>IF(SUMPRODUCT(($C$3:$C$267=$H$67)*($F$3:$F$267=11))=0,"",INDEX($A$3:$A$267,SUMPRODUCT(($C$3:$C$267=$H$67)*($F$3:$F$267=11)*(ROW($C$3:$C$267)-ROW($C$3)+1))))</f>
        <v/>
      </c>
      <c r="I81" s="38" t="str">
        <f>IFERROR(IF(SUMPRODUCT(($C$3:$C$267=$H$67)*($F$3:$F$267=11))=0,"",INDEX($D$3:$D$267,SUMPRODUCT(($C$3:$C$267=$H$67)*($F$3:$F$267=11)*(ROW($C$3:$C$267)-ROW($C$3)+1)))),"")</f>
        <v/>
      </c>
      <c r="J81" s="38" t="str">
        <f>IFERROR(IF(SUMPRODUCT(($C$3:$C$267=$H$67)*($F$3:$F$267=11))=0,"",INDEX($E$3:$E$267,SUMPRODUCT(($C$3:$C$267=$H$67)*($F$3:$F$267=11)*(ROW($C$3:$C$267)-ROW($C$3)+1)))),"")</f>
        <v/>
      </c>
      <c r="K81" s="33"/>
    </row>
    <row r="82" spans="1:11" ht="14.25" customHeight="1" x14ac:dyDescent="0.3">
      <c r="C82" s="10" t="s">
        <v>9</v>
      </c>
      <c r="D82" s="10">
        <v>6.21</v>
      </c>
      <c r="E82" s="12"/>
      <c r="H82" s="37" t="str">
        <f>IF(SUMPRODUCT(($C$3:$C$267=$H$67)*($F$3:$F$267=12))=0,"",INDEX($A$3:$A$267,SUMPRODUCT(($C$3:$C$267=$H$67)*($F$3:$F$267=12)*(ROW($C$3:$C$267)-ROW($C$3)+1))))</f>
        <v/>
      </c>
      <c r="I82" s="38" t="str">
        <f>IFERROR(IF(SUMPRODUCT(($C$3:$C$267=$H$67)*($F$3:$F$267=12))=0,"",INDEX($D$3:$D$267,SUMPRODUCT(($C$3:$C$267=$H$67)*($F$3:$F$267=12)*(ROW($C$3:$C$267)-ROW($C$3)+1)))),"")</f>
        <v/>
      </c>
      <c r="J82" s="38" t="str">
        <f>IFERROR(IF(SUMPRODUCT(($C$3:$C$267=$H$67)*($F$3:$F$267=12))=0,"",INDEX($E$3:$E$267,SUMPRODUCT(($C$3:$C$267=$H$67)*($F$3:$F$267=12)*(ROW($C$3:$C$267)-ROW($C$3)+1)))),"")</f>
        <v/>
      </c>
      <c r="K82" s="33"/>
    </row>
    <row r="83" spans="1:11" ht="14.25" customHeight="1" x14ac:dyDescent="0.3">
      <c r="C83" s="10" t="s">
        <v>2</v>
      </c>
      <c r="D83" s="17">
        <f>SUM(D80:D82)</f>
        <v>179.38</v>
      </c>
      <c r="E83" s="12"/>
      <c r="H83" s="37" t="str">
        <f>IF(SUMPRODUCT(($C$3:$C$267=$H$67)*($F$3:$F$267=13))=0,"",INDEX($A$3:$A$267,SUMPRODUCT(($C$3:$C$267=$H$67)*($F$3:$F$267=13)*(ROW($C$3:$C$267)-ROW($C$3)+1))))</f>
        <v/>
      </c>
      <c r="I83" s="38" t="str">
        <f>IFERROR(IF(SUMPRODUCT(($C$3:$C$267=$H$67)*($F$3:$F$267=13))=0,"",INDEX($D$3:$D$267,SUMPRODUCT(($C$3:$C$267=$H$67)*($F$3:$F$267=13)*(ROW($C$3:$C$267)-ROW($C$3)+1)))),"")</f>
        <v/>
      </c>
      <c r="J83" s="38" t="str">
        <f>IFERROR(IF(SUMPRODUCT(($C$3:$C$267=$H$67)*($F$3:$F$267=13))=0,"",INDEX($E$3:$E$267,SUMPRODUCT(($C$3:$C$267=$H$67)*($F$3:$F$267=13)*(ROW($C$3:$C$267)-ROW($C$3)+1)))),"")</f>
        <v/>
      </c>
      <c r="K83" s="33"/>
    </row>
    <row r="84" spans="1:11" ht="14.25" customHeight="1" x14ac:dyDescent="0.3">
      <c r="C84" s="10" t="s">
        <v>3</v>
      </c>
      <c r="D84" s="10">
        <f>SUM(D88:D94)</f>
        <v>18.200000000000003</v>
      </c>
      <c r="E84" s="12"/>
      <c r="H84" s="37" t="str">
        <f>IF(SUMPRODUCT(($C$3:$C$267=$H$67)*($F$3:$F$267=14))=0,"",INDEX($A$3:$A$267,SUMPRODUCT(($C$3:$C$267=$H$67)*($F$3:$F$267=14)*(ROW($C$3:$C$267)-ROW($C$3)+1))))</f>
        <v/>
      </c>
      <c r="I84" s="38" t="str">
        <f>IFERROR(IF(SUMPRODUCT(($C$3:$C$267=$H$67)*($F$3:$F$267=14))=0,"",INDEX($D$3:$D$267,SUMPRODUCT(($C$3:$C$267=$H$67)*($F$3:$F$267=14)*(ROW($C$3:$C$267)-ROW($C$3)+1)))),"")</f>
        <v/>
      </c>
      <c r="J84" s="38" t="str">
        <f>IFERROR(IF(SUMPRODUCT(($C$3:$C$267=$H$67)*($F$3:$F$267=14))=0,"",INDEX($E$3:$E$267,SUMPRODUCT(($C$3:$C$267=$H$67)*($F$3:$F$267=14)*(ROW($C$3:$C$267)-ROW($C$3)+1)))),"")</f>
        <v/>
      </c>
      <c r="K84" s="33"/>
    </row>
    <row r="85" spans="1:11" ht="14.25" customHeight="1" x14ac:dyDescent="0.3">
      <c r="C85" s="10" t="s">
        <v>13</v>
      </c>
      <c r="D85" s="17">
        <f>D83/D84</f>
        <v>9.8560439560439548</v>
      </c>
      <c r="E85" s="12"/>
      <c r="H85" s="37" t="str">
        <f>IF(SUMPRODUCT(($C$3:$C$267=$H$67)*($F$3:$F$267=15))=0,"",INDEX($A$3:$A$267,SUMPRODUCT(($C$3:$C$267=$H$67)*($F$3:$F$267=15)*(ROW($C$3:$C$267)-ROW($C$3)+1))))</f>
        <v/>
      </c>
      <c r="I85" s="38" t="str">
        <f>IFERROR(IF(SUMPRODUCT(($C$3:$C$267=$H$67)*($F$3:$F$267=15))=0,"",INDEX($D$3:$D$267,SUMPRODUCT(($C$3:$C$267=$H$67)*($F$3:$F$267=15)*(ROW($C$3:$C$267)-ROW($C$3)+1)))),"")</f>
        <v/>
      </c>
      <c r="J85" s="38" t="str">
        <f>IFERROR(IF(SUMPRODUCT(($C$3:$C$267=$H$67)*($F$3:$F$267=15))=0,"",INDEX($E$3:$E$267,SUMPRODUCT(($C$3:$C$267=$H$67)*($F$3:$F$267=15)*(ROW($C$3:$C$267)-ROW($C$3)+1)))),"")</f>
        <v/>
      </c>
      <c r="K85" s="33"/>
    </row>
    <row r="86" spans="1:11" ht="14.25" customHeight="1" x14ac:dyDescent="0.3">
      <c r="C86" s="12"/>
      <c r="D86" s="36"/>
      <c r="E86" s="12"/>
      <c r="H86" s="37" t="str">
        <f>IF(SUMPRODUCT(($C$3:$C$267=$H$67)*($F$3:$F$267=16))=0,"",INDEX($A$3:$A$267,SUMPRODUCT(($C$3:$C$267=$H$67)*($F$3:$F$267=16)*(ROW($C$3:$C$267)-ROW($C$3)+1))))</f>
        <v/>
      </c>
      <c r="I86" s="38" t="str">
        <f>IFERROR(IF(SUMPRODUCT(($C$3:$C$267=$H$67)*($F$3:$F$267=16))=0,"",INDEX($D$3:$D$267,SUMPRODUCT(($C$3:$C$267=$H$67)*($F$3:$F$267=16)*(ROW($C$3:$C$267)-ROW($C$3)+1)))),"")</f>
        <v/>
      </c>
      <c r="J86" s="38" t="str">
        <f>IFERROR(IF(SUMPRODUCT(($C$3:$C$267=$H$67)*($F$3:$F$267=16))=0,"",INDEX($E$3:$E$267,SUMPRODUCT(($C$3:$C$267=$H$67)*($F$3:$F$267=16)*(ROW($C$3:$C$267)-ROW($C$3)+1)))),"")</f>
        <v/>
      </c>
      <c r="K86" s="33"/>
    </row>
    <row r="87" spans="1:11" ht="15" customHeight="1" x14ac:dyDescent="0.3">
      <c r="C87" s="18" t="s">
        <v>1</v>
      </c>
      <c r="D87" s="20" t="s">
        <v>15</v>
      </c>
      <c r="E87" s="20" t="s">
        <v>16</v>
      </c>
      <c r="H87" s="34" t="str">
        <f>H9</f>
        <v>Meckenzie Anderson</v>
      </c>
      <c r="I87" s="14"/>
      <c r="J87" s="14"/>
      <c r="K87" s="33"/>
    </row>
    <row r="88" spans="1:11" ht="14.25" customHeight="1" x14ac:dyDescent="0.3">
      <c r="A88" s="21">
        <f t="shared" ref="A88:A94" si="11">$C$78</f>
        <v>46276</v>
      </c>
      <c r="B88" s="21"/>
      <c r="C88" s="22" t="s">
        <v>17</v>
      </c>
      <c r="D88" s="23">
        <v>6.3</v>
      </c>
      <c r="E88" s="24">
        <f t="shared" ref="E88:E94" si="12">D88*$D$85</f>
        <v>62.093076923076914</v>
      </c>
      <c r="F88">
        <f>IF($C88="","",COUNTIF($C$3:$C88,$C88))</f>
        <v>2</v>
      </c>
      <c r="H88" s="35" t="s">
        <v>26</v>
      </c>
      <c r="I88" s="32">
        <f>IFERROR(SUMIF($C$3:$C$267,H87,$D$3:$D$267),0)</f>
        <v>55.69</v>
      </c>
      <c r="J88" s="14"/>
      <c r="K88" s="33"/>
    </row>
    <row r="89" spans="1:11" ht="14.25" customHeight="1" x14ac:dyDescent="0.3">
      <c r="A89" s="21">
        <f t="shared" si="11"/>
        <v>46276</v>
      </c>
      <c r="B89" s="21"/>
      <c r="C89" s="22" t="s">
        <v>21</v>
      </c>
      <c r="D89" s="23">
        <v>6</v>
      </c>
      <c r="E89" s="24">
        <f t="shared" si="12"/>
        <v>59.136263736263729</v>
      </c>
      <c r="F89">
        <f>IF($C89="","",COUNTIF($C$3:$C89,$C89))</f>
        <v>3</v>
      </c>
      <c r="H89" s="35" t="s">
        <v>27</v>
      </c>
      <c r="I89" s="32">
        <f>IFERROR(SUMIF($C$3:$C$267,H87,$E$3:$E$267),0)</f>
        <v>430.0308799398947</v>
      </c>
      <c r="J89" s="14"/>
      <c r="K89" s="33"/>
    </row>
    <row r="90" spans="1:11" ht="14.25" customHeight="1" x14ac:dyDescent="0.3">
      <c r="A90" s="21">
        <f t="shared" si="11"/>
        <v>46276</v>
      </c>
      <c r="B90" s="21"/>
      <c r="C90" s="22" t="s">
        <v>12</v>
      </c>
      <c r="D90" s="23">
        <v>5.9</v>
      </c>
      <c r="E90" s="24">
        <f t="shared" si="12"/>
        <v>58.150659340659338</v>
      </c>
      <c r="F90">
        <f>IF($C90="","",COUNTIF($C$3:$C90,$C90))</f>
        <v>4</v>
      </c>
      <c r="H90" s="18" t="s">
        <v>28</v>
      </c>
      <c r="I90" s="20" t="s">
        <v>15</v>
      </c>
      <c r="J90" s="20" t="s">
        <v>16</v>
      </c>
      <c r="K90" s="33"/>
    </row>
    <row r="91" spans="1:11" ht="14.25" customHeight="1" x14ac:dyDescent="0.3">
      <c r="A91" s="21">
        <f t="shared" si="11"/>
        <v>46276</v>
      </c>
      <c r="B91" s="21"/>
      <c r="C91" s="22"/>
      <c r="D91" s="23"/>
      <c r="E91" s="24">
        <f t="shared" si="12"/>
        <v>0</v>
      </c>
      <c r="F91" t="str">
        <f>IF($C91="","",COUNTIF($C$3:$C91,$C91))</f>
        <v/>
      </c>
      <c r="H91" s="37">
        <f>IF(SUMPRODUCT(($C$3:$C$267=$H$87)*($F$3:$F$267=1))=0,"No entries yet",INDEX($A$3:$A$267,SUMPRODUCT(($C$3:$C$267=$H$87)*($F$3:$F$267=1)*(ROW($C$3:$C$267)-ROW($C$3)+1))))</f>
        <v>46273</v>
      </c>
      <c r="I91" s="38">
        <f>IFERROR(IF(SUMPRODUCT(($C$3:$C$267=$H$87)*($F$3:$F$267=1))=0,"",INDEX($D$3:$D$267,SUMPRODUCT(($C$3:$C$267=$H$87)*($F$3:$F$267=1)*(ROW($C$3:$C$267)-ROW($C$3)+1)))),"")</f>
        <v>5.93</v>
      </c>
      <c r="J91" s="38">
        <f>IFERROR(IF(SUMPRODUCT(($C$3:$C$267=$H$87)*($F$3:$F$267=1))=0,"",INDEX($E$3:$E$267,SUMPRODUCT(($C$3:$C$267=$H$87)*($F$3:$F$267=1)*(ROW($C$3:$C$267)-ROW($C$3)+1)))),"")</f>
        <v>18.024630240226092</v>
      </c>
      <c r="K91" s="33"/>
    </row>
    <row r="92" spans="1:11" ht="14.25" customHeight="1" x14ac:dyDescent="0.3">
      <c r="A92" s="21">
        <f t="shared" si="11"/>
        <v>46276</v>
      </c>
      <c r="B92" s="21"/>
      <c r="C92" s="22"/>
      <c r="D92" s="23"/>
      <c r="E92" s="24">
        <f t="shared" si="12"/>
        <v>0</v>
      </c>
      <c r="F92" t="str">
        <f>IF($C92="","",COUNTIF($C$3:$C92,$C92))</f>
        <v/>
      </c>
      <c r="H92" s="37">
        <f>IF(SUMPRODUCT(($C$3:$C$267=$H$87)*($F$3:$F$267=2))=0,"",INDEX($A$3:$A$267,SUMPRODUCT(($C$3:$C$267=$H$87)*($F$3:$F$267=2)*(ROW($C$3:$C$267)-ROW($C$3)+1))))</f>
        <v>46274</v>
      </c>
      <c r="I92" s="38">
        <f>IFERROR(IF(SUMPRODUCT(($C$3:$C$267=$H$87)*($F$3:$F$267=2))=0,"",INDEX($D$3:$D$267,SUMPRODUCT(($C$3:$C$267=$H$87)*($F$3:$F$267=2)*(ROW($C$3:$C$267)-ROW($C$3)+1)))),"")</f>
        <v>6.03</v>
      </c>
      <c r="J92" s="38">
        <f>IFERROR(IF(SUMPRODUCT(($C$3:$C$267=$H$87)*($F$3:$F$267=2))=0,"",INDEX($E$3:$E$267,SUMPRODUCT(($C$3:$C$267=$H$87)*($F$3:$F$267=2)*(ROW($C$3:$C$267)-ROW($C$3)+1)))),"")</f>
        <v>28.521300813008132</v>
      </c>
      <c r="K92" s="33"/>
    </row>
    <row r="93" spans="1:11" ht="14.25" customHeight="1" x14ac:dyDescent="0.3">
      <c r="A93" s="21">
        <f t="shared" si="11"/>
        <v>46276</v>
      </c>
      <c r="B93" s="21"/>
      <c r="C93" s="22"/>
      <c r="D93" s="23"/>
      <c r="E93" s="24">
        <f t="shared" si="12"/>
        <v>0</v>
      </c>
      <c r="F93" t="str">
        <f>IF($C93="","",COUNTIF($C$3:$C93,$C93))</f>
        <v/>
      </c>
      <c r="H93" s="37">
        <f>IF(SUMPRODUCT(($C$3:$C$267=$H$87)*($F$3:$F$267=3))=0,"",INDEX($A$3:$A$267,SUMPRODUCT(($C$3:$C$267=$H$87)*($F$3:$F$267=3)*(ROW($C$3:$C$267)-ROW($C$3)+1))))</f>
        <v>46275</v>
      </c>
      <c r="I93" s="38">
        <f>IFERROR(IF(SUMPRODUCT(($C$3:$C$267=$H$87)*($F$3:$F$267=3))=0,"",INDEX($D$3:$D$267,SUMPRODUCT(($C$3:$C$267=$H$87)*($F$3:$F$267=3)*(ROW($C$3:$C$267)-ROW($C$3)+1)))),"")</f>
        <v>6.59</v>
      </c>
      <c r="J93" s="38">
        <f>IFERROR(IF(SUMPRODUCT(($C$3:$C$267=$H$87)*($F$3:$F$267=3))=0,"",INDEX($E$3:$E$267,SUMPRODUCT(($C$3:$C$267=$H$87)*($F$3:$F$267=3)*(ROW($C$3:$C$267)-ROW($C$3)+1)))),"")</f>
        <v>36.798828522920196</v>
      </c>
      <c r="K93" s="33"/>
    </row>
    <row r="94" spans="1:11" ht="14.25" customHeight="1" x14ac:dyDescent="0.3">
      <c r="A94" s="21">
        <f t="shared" si="11"/>
        <v>46276</v>
      </c>
      <c r="B94" s="21"/>
      <c r="C94" s="22"/>
      <c r="D94" s="23"/>
      <c r="E94" s="24">
        <f t="shared" si="12"/>
        <v>0</v>
      </c>
      <c r="F94" t="str">
        <f>IF($C94="","",COUNTIF($C$3:$C94,$C94))</f>
        <v/>
      </c>
      <c r="H94" s="37">
        <f>IF(SUMPRODUCT(($C$3:$C$267=$H$87)*($F$3:$F$267=4))=0,"",INDEX($A$3:$A$267,SUMPRODUCT(($C$3:$C$267=$H$87)*($F$3:$F$267=4)*(ROW($C$3:$C$267)-ROW($C$3)+1))))</f>
        <v>46276</v>
      </c>
      <c r="I94" s="38">
        <f>IFERROR(IF(SUMPRODUCT(($C$3:$C$267=$H$87)*($F$3:$F$267=4))=0,"",INDEX($D$3:$D$267,SUMPRODUCT(($C$3:$C$267=$H$87)*($F$3:$F$267=4)*(ROW($C$3:$C$267)-ROW($C$3)+1)))),"")</f>
        <v>5.9</v>
      </c>
      <c r="J94" s="38">
        <f>IFERROR(IF(SUMPRODUCT(($C$3:$C$267=$H$87)*($F$3:$F$267=4))=0,"",INDEX($E$3:$E$267,SUMPRODUCT(($C$3:$C$267=$H$87)*($F$3:$F$267=4)*(ROW($C$3:$C$267)-ROW($C$3)+1)))),"")</f>
        <v>58.150659340659338</v>
      </c>
      <c r="K94" s="33"/>
    </row>
    <row r="95" spans="1:11" ht="15" customHeight="1" x14ac:dyDescent="0.3">
      <c r="C95" s="25" t="s">
        <v>24</v>
      </c>
      <c r="D95" s="26"/>
      <c r="E95" s="27">
        <f>SUM(E88:E94)</f>
        <v>179.37999999999997</v>
      </c>
      <c r="H95" s="37">
        <f>IF(SUMPRODUCT(($C$3:$C$267=$H$87)*($F$3:$F$267=5))=0,"",INDEX($A$3:$A$267,SUMPRODUCT(($C$3:$C$267=$H$87)*($F$3:$F$267=5)*(ROW($C$3:$C$267)-ROW($C$3)+1))))</f>
        <v>46277</v>
      </c>
      <c r="I95" s="38">
        <f>IFERROR(IF(SUMPRODUCT(($C$3:$C$267=$H$87)*($F$3:$F$267=5))=0,"",INDEX($D$3:$D$267,SUMPRODUCT(($C$3:$C$267=$H$87)*($F$3:$F$267=5)*(ROW($C$3:$C$267)-ROW($C$3)+1)))),"")</f>
        <v>5.44</v>
      </c>
      <c r="J95" s="38">
        <f>IFERROR(IF(SUMPRODUCT(($C$3:$C$267=$H$87)*($F$3:$F$267=5))=0,"",INDEX($E$3:$E$267,SUMPRODUCT(($C$3:$C$267=$H$87)*($F$3:$F$267=5)*(ROW($C$3:$C$267)-ROW($C$3)+1)))),"")</f>
        <v>78.559052391799554</v>
      </c>
      <c r="K95" s="33"/>
    </row>
    <row r="96" spans="1:11" ht="15" customHeight="1" x14ac:dyDescent="0.3">
      <c r="H96" s="37">
        <f>IF(SUMPRODUCT(($C$3:$C$267=$H$87)*($F$3:$F$267=6))=0,"",INDEX($A$3:$A$267,SUMPRODUCT(($C$3:$C$267=$H$87)*($F$3:$F$267=6)*(ROW($C$3:$C$267)-ROW($C$3)+1))))</f>
        <v>46281</v>
      </c>
      <c r="I96" s="38">
        <f>IFERROR(IF(SUMPRODUCT(($C$3:$C$267=$H$87)*($F$3:$F$267=6))=0,"",INDEX($D$3:$D$267,SUMPRODUCT(($C$3:$C$267=$H$87)*($F$3:$F$267=6)*(ROW($C$3:$C$267)-ROW($C$3)+1)))),"")</f>
        <v>6</v>
      </c>
      <c r="J96" s="38">
        <f>IFERROR(IF(SUMPRODUCT(($C$3:$C$267=$H$87)*($F$3:$F$267=6))=0,"",INDEX($E$3:$E$267,SUMPRODUCT(($C$3:$C$267=$H$87)*($F$3:$F$267=6)*(ROW($C$3:$C$267)-ROW($C$3)+1)))),"")</f>
        <v>15.528375733855185</v>
      </c>
      <c r="K96" s="33"/>
    </row>
    <row r="97" spans="1:11" ht="15" customHeight="1" x14ac:dyDescent="0.3">
      <c r="C97" s="4">
        <v>46277</v>
      </c>
      <c r="D97" s="4"/>
      <c r="E97" s="4"/>
      <c r="H97" s="37">
        <f>IF(SUMPRODUCT(($C$3:$C$267=$H$87)*($F$3:$F$267=7))=0,"",INDEX($A$3:$A$267,SUMPRODUCT(($C$3:$C$267=$H$87)*($F$3:$F$267=7)*(ROW($C$3:$C$267)-ROW($C$3)+1))))</f>
        <v>46283</v>
      </c>
      <c r="I97" s="38">
        <f>IFERROR(IF(SUMPRODUCT(($C$3:$C$267=$H$87)*($F$3:$F$267=7))=0,"",INDEX($D$3:$D$267,SUMPRODUCT(($C$3:$C$267=$H$87)*($F$3:$F$267=7)*(ROW($C$3:$C$267)-ROW($C$3)+1)))),"")</f>
        <v>6.01</v>
      </c>
      <c r="J97" s="38">
        <f>IFERROR(IF(SUMPRODUCT(($C$3:$C$267=$H$87)*($F$3:$F$267=7))=0,"",INDEX($E$3:$E$267,SUMPRODUCT(($C$3:$C$267=$H$87)*($F$3:$F$267=7)*(ROW($C$3:$C$267)-ROW($C$3)+1)))),"")</f>
        <v>53.538806629834241</v>
      </c>
      <c r="K97" s="33"/>
    </row>
    <row r="98" spans="1:11" ht="15" customHeight="1" x14ac:dyDescent="0.3">
      <c r="C98" s="28"/>
      <c r="E98" s="29"/>
      <c r="H98" s="37">
        <f>IF(SUMPRODUCT(($C$3:$C$267=$H$87)*($F$3:$F$267=8))=0,"",INDEX($A$3:$A$267,SUMPRODUCT(($C$3:$C$267=$H$87)*($F$3:$F$267=8)*(ROW($C$3:$C$267)-ROW($C$3)+1))))</f>
        <v>46284</v>
      </c>
      <c r="I98" s="38">
        <f>IFERROR(IF(SUMPRODUCT(($C$3:$C$267=$H$87)*($F$3:$F$267=8))=0,"",INDEX($D$3:$D$267,SUMPRODUCT(($C$3:$C$267=$H$87)*($F$3:$F$267=8)*(ROW($C$3:$C$267)-ROW($C$3)+1)))),"")</f>
        <v>5.85</v>
      </c>
      <c r="J98" s="38">
        <f>IFERROR(IF(SUMPRODUCT(($C$3:$C$267=$H$87)*($F$3:$F$267=8))=0,"",INDEX($E$3:$E$267,SUMPRODUCT(($C$3:$C$267=$H$87)*($F$3:$F$267=8)*(ROW($C$3:$C$267)-ROW($C$3)+1)))),"")</f>
        <v>67.269790739091732</v>
      </c>
      <c r="K98" s="33"/>
    </row>
    <row r="99" spans="1:11" ht="14.25" customHeight="1" x14ac:dyDescent="0.3">
      <c r="C99" s="10" t="s">
        <v>5</v>
      </c>
      <c r="D99" s="11">
        <v>311.3</v>
      </c>
      <c r="E99" s="12"/>
      <c r="H99" s="37">
        <f>IF(SUMPRODUCT(($C$3:$C$267=$H$87)*($F$3:$F$267=9))=0,"",INDEX($A$3:$A$267,SUMPRODUCT(($C$3:$C$267=$H$87)*($F$3:$F$267=9)*(ROW($C$3:$C$267)-ROW($C$3)+1))))</f>
        <v>46285</v>
      </c>
      <c r="I99" s="38">
        <f>IFERROR(IF(SUMPRODUCT(($C$3:$C$267=$H$87)*($F$3:$F$267=9))=0,"",INDEX($D$3:$D$267,SUMPRODUCT(($C$3:$C$267=$H$87)*($F$3:$F$267=9)*(ROW($C$3:$C$267)-ROW($C$3)+1)))),"")</f>
        <v>7.94</v>
      </c>
      <c r="J99" s="38">
        <f>IFERROR(IF(SUMPRODUCT(($C$3:$C$267=$H$87)*($F$3:$F$267=9))=0,"",INDEX($E$3:$E$267,SUMPRODUCT(($C$3:$C$267=$H$87)*($F$3:$F$267=9)*(ROW($C$3:$C$267)-ROW($C$3)+1)))),"")</f>
        <v>73.639435528500272</v>
      </c>
      <c r="K99" s="33"/>
    </row>
    <row r="100" spans="1:11" ht="14.25" customHeight="1" x14ac:dyDescent="0.3">
      <c r="C100" s="10" t="s">
        <v>7</v>
      </c>
      <c r="D100" s="15"/>
      <c r="E100" s="16"/>
      <c r="H100" s="37" t="str">
        <f>IF(SUMPRODUCT(($C$3:$C$267=$H$87)*($F$3:$F$267=10))=0,"",INDEX($A$3:$A$267,SUMPRODUCT(($C$3:$C$267=$H$87)*($F$3:$F$267=10)*(ROW($C$3:$C$267)-ROW($C$3)+1))))</f>
        <v/>
      </c>
      <c r="I100" s="38" t="str">
        <f>IFERROR(IF(SUMPRODUCT(($C$3:$C$267=$H$87)*($F$3:$F$267=10))=0,"",INDEX($D$3:$D$267,SUMPRODUCT(($C$3:$C$267=$H$87)*($F$3:$F$267=10)*(ROW($C$3:$C$267)-ROW($C$3)+1)))),"")</f>
        <v/>
      </c>
      <c r="J100" s="38" t="str">
        <f>IFERROR(IF(SUMPRODUCT(($C$3:$C$267=$H$87)*($F$3:$F$267=10))=0,"",INDEX($E$3:$E$267,SUMPRODUCT(($C$3:$C$267=$H$87)*($F$3:$F$267=10)*(ROW($C$3:$C$267)-ROW($C$3)+1)))),"")</f>
        <v/>
      </c>
      <c r="K100" s="33"/>
    </row>
    <row r="101" spans="1:11" ht="14.25" customHeight="1" x14ac:dyDescent="0.3">
      <c r="C101" s="10" t="s">
        <v>9</v>
      </c>
      <c r="D101" s="10">
        <v>5.68</v>
      </c>
      <c r="E101" s="12"/>
      <c r="H101" s="37" t="str">
        <f>IF(SUMPRODUCT(($C$3:$C$267=$H$87)*($F$3:$F$267=11))=0,"",INDEX($A$3:$A$267,SUMPRODUCT(($C$3:$C$267=$H$87)*($F$3:$F$267=11)*(ROW($C$3:$C$267)-ROW($C$3)+1))))</f>
        <v/>
      </c>
      <c r="I101" s="38" t="str">
        <f>IFERROR(IF(SUMPRODUCT(($C$3:$C$267=$H$87)*($F$3:$F$267=11))=0,"",INDEX($D$3:$D$267,SUMPRODUCT(($C$3:$C$267=$H$87)*($F$3:$F$267=11)*(ROW($C$3:$C$267)-ROW($C$3)+1)))),"")</f>
        <v/>
      </c>
      <c r="J101" s="38" t="str">
        <f>IFERROR(IF(SUMPRODUCT(($C$3:$C$267=$H$87)*($F$3:$F$267=11))=0,"",INDEX($E$3:$E$267,SUMPRODUCT(($C$3:$C$267=$H$87)*($F$3:$F$267=11)*(ROW($C$3:$C$267)-ROW($C$3)+1)))),"")</f>
        <v/>
      </c>
      <c r="K101" s="33"/>
    </row>
    <row r="102" spans="1:11" ht="14.25" customHeight="1" x14ac:dyDescent="0.3">
      <c r="C102" s="10" t="s">
        <v>2</v>
      </c>
      <c r="D102" s="17">
        <f>SUM(D99:D101)</f>
        <v>316.98</v>
      </c>
      <c r="E102" s="12"/>
      <c r="H102" s="37" t="str">
        <f>IF(SUMPRODUCT(($C$3:$C$267=$H$87)*($F$3:$F$267=12))=0,"",INDEX($A$3:$A$267,SUMPRODUCT(($C$3:$C$267=$H$87)*($F$3:$F$267=12)*(ROW($C$3:$C$267)-ROW($C$3)+1))))</f>
        <v/>
      </c>
      <c r="I102" s="38" t="str">
        <f>IFERROR(IF(SUMPRODUCT(($C$3:$C$267=$H$87)*($F$3:$F$267=12))=0,"",INDEX($D$3:$D$267,SUMPRODUCT(($C$3:$C$267=$H$87)*($F$3:$F$267=12)*(ROW($C$3:$C$267)-ROW($C$3)+1)))),"")</f>
        <v/>
      </c>
      <c r="J102" s="38" t="str">
        <f>IFERROR(IF(SUMPRODUCT(($C$3:$C$267=$H$87)*($F$3:$F$267=12))=0,"",INDEX($E$3:$E$267,SUMPRODUCT(($C$3:$C$267=$H$87)*($F$3:$F$267=12)*(ROW($C$3:$C$267)-ROW($C$3)+1)))),"")</f>
        <v/>
      </c>
      <c r="K102" s="33"/>
    </row>
    <row r="103" spans="1:11" ht="14.25" customHeight="1" x14ac:dyDescent="0.3">
      <c r="C103" s="10" t="s">
        <v>3</v>
      </c>
      <c r="D103" s="10">
        <f>SUM(D107:D113)</f>
        <v>21.95</v>
      </c>
      <c r="E103" s="12"/>
      <c r="H103" s="37" t="str">
        <f>IF(SUMPRODUCT(($C$3:$C$267=$H$87)*($F$3:$F$267=13))=0,"",INDEX($A$3:$A$267,SUMPRODUCT(($C$3:$C$267=$H$87)*($F$3:$F$267=13)*(ROW($C$3:$C$267)-ROW($C$3)+1))))</f>
        <v/>
      </c>
      <c r="I103" s="38" t="str">
        <f>IFERROR(IF(SUMPRODUCT(($C$3:$C$267=$H$87)*($F$3:$F$267=13))=0,"",INDEX($D$3:$D$267,SUMPRODUCT(($C$3:$C$267=$H$87)*($F$3:$F$267=13)*(ROW($C$3:$C$267)-ROW($C$3)+1)))),"")</f>
        <v/>
      </c>
      <c r="J103" s="38" t="str">
        <f>IFERROR(IF(SUMPRODUCT(($C$3:$C$267=$H$87)*($F$3:$F$267=13))=0,"",INDEX($E$3:$E$267,SUMPRODUCT(($C$3:$C$267=$H$87)*($F$3:$F$267=13)*(ROW($C$3:$C$267)-ROW($C$3)+1)))),"")</f>
        <v/>
      </c>
      <c r="K103" s="33"/>
    </row>
    <row r="104" spans="1:11" ht="14.25" customHeight="1" x14ac:dyDescent="0.3">
      <c r="C104" s="10" t="s">
        <v>13</v>
      </c>
      <c r="D104" s="17">
        <f>D102/D103</f>
        <v>14.44100227790433</v>
      </c>
      <c r="E104" s="12"/>
      <c r="H104" s="37" t="str">
        <f>IF(SUMPRODUCT(($C$3:$C$267=$H$87)*($F$3:$F$267=14))=0,"",INDEX($A$3:$A$267,SUMPRODUCT(($C$3:$C$267=$H$87)*($F$3:$F$267=14)*(ROW($C$3:$C$267)-ROW($C$3)+1))))</f>
        <v/>
      </c>
      <c r="I104" s="38" t="str">
        <f>IFERROR(IF(SUMPRODUCT(($C$3:$C$267=$H$87)*($F$3:$F$267=14))=0,"",INDEX($D$3:$D$267,SUMPRODUCT(($C$3:$C$267=$H$87)*($F$3:$F$267=14)*(ROW($C$3:$C$267)-ROW($C$3)+1)))),"")</f>
        <v/>
      </c>
      <c r="J104" s="38" t="str">
        <f>IFERROR(IF(SUMPRODUCT(($C$3:$C$267=$H$87)*($F$3:$F$267=14))=0,"",INDEX($E$3:$E$267,SUMPRODUCT(($C$3:$C$267=$H$87)*($F$3:$F$267=14)*(ROW($C$3:$C$267)-ROW($C$3)+1)))),"")</f>
        <v/>
      </c>
      <c r="K104" s="33"/>
    </row>
    <row r="105" spans="1:11" ht="14.25" customHeight="1" x14ac:dyDescent="0.3">
      <c r="C105" s="12"/>
      <c r="D105" s="36"/>
      <c r="E105" s="12"/>
      <c r="H105" s="37" t="str">
        <f>IF(SUMPRODUCT(($C$3:$C$267=$H$87)*($F$3:$F$267=15))=0,"",INDEX($A$3:$A$267,SUMPRODUCT(($C$3:$C$267=$H$87)*($F$3:$F$267=15)*(ROW($C$3:$C$267)-ROW($C$3)+1))))</f>
        <v/>
      </c>
      <c r="I105" s="38" t="str">
        <f>IFERROR(IF(SUMPRODUCT(($C$3:$C$267=$H$87)*($F$3:$F$267=15))=0,"",INDEX($D$3:$D$267,SUMPRODUCT(($C$3:$C$267=$H$87)*($F$3:$F$267=15)*(ROW($C$3:$C$267)-ROW($C$3)+1)))),"")</f>
        <v/>
      </c>
      <c r="J105" s="38" t="str">
        <f>IFERROR(IF(SUMPRODUCT(($C$3:$C$267=$H$87)*($F$3:$F$267=15))=0,"",INDEX($E$3:$E$267,SUMPRODUCT(($C$3:$C$267=$H$87)*($F$3:$F$267=15)*(ROW($C$3:$C$267)-ROW($C$3)+1)))),"")</f>
        <v/>
      </c>
      <c r="K105" s="33"/>
    </row>
    <row r="106" spans="1:11" ht="15" customHeight="1" x14ac:dyDescent="0.3">
      <c r="C106" s="18" t="s">
        <v>1</v>
      </c>
      <c r="D106" s="20" t="s">
        <v>15</v>
      </c>
      <c r="E106" s="20" t="s">
        <v>16</v>
      </c>
      <c r="H106" s="37" t="str">
        <f>IF(SUMPRODUCT(($C$3:$C$267=$H$87)*($F$3:$F$267=16))=0,"",INDEX($A$3:$A$267,SUMPRODUCT(($C$3:$C$267=$H$87)*($F$3:$F$267=16)*(ROW($C$3:$C$267)-ROW($C$3)+1))))</f>
        <v/>
      </c>
      <c r="I106" s="38" t="str">
        <f>IFERROR(IF(SUMPRODUCT(($C$3:$C$267=$H$87)*($F$3:$F$267=16))=0,"",INDEX($D$3:$D$267,SUMPRODUCT(($C$3:$C$267=$H$87)*($F$3:$F$267=16)*(ROW($C$3:$C$267)-ROW($C$3)+1)))),"")</f>
        <v/>
      </c>
      <c r="J106" s="38" t="str">
        <f>IFERROR(IF(SUMPRODUCT(($C$3:$C$267=$H$87)*($F$3:$F$267=16))=0,"",INDEX($E$3:$E$267,SUMPRODUCT(($C$3:$C$267=$H$87)*($F$3:$F$267=16)*(ROW($C$3:$C$267)-ROW($C$3)+1)))),"")</f>
        <v/>
      </c>
      <c r="K106" s="33"/>
    </row>
    <row r="107" spans="1:11" ht="14.25" customHeight="1" x14ac:dyDescent="0.3">
      <c r="A107" s="21">
        <f t="shared" ref="A107:A113" si="13">$C$97</f>
        <v>46277</v>
      </c>
      <c r="B107" s="21"/>
      <c r="C107" s="22" t="s">
        <v>12</v>
      </c>
      <c r="D107" s="23">
        <v>5.44</v>
      </c>
      <c r="E107" s="24">
        <f t="shared" ref="E107:E113" si="14">D107*$D$104</f>
        <v>78.559052391799554</v>
      </c>
      <c r="F107">
        <f>IF($C107="","",COUNTIF($C$3:$C107,$C107))</f>
        <v>5</v>
      </c>
      <c r="H107" s="34" t="str">
        <f>H10</f>
        <v>Mia badillo</v>
      </c>
      <c r="I107" s="14"/>
      <c r="J107" s="14"/>
      <c r="K107" s="33"/>
    </row>
    <row r="108" spans="1:11" ht="14.25" customHeight="1" x14ac:dyDescent="0.3">
      <c r="A108" s="21">
        <f t="shared" si="13"/>
        <v>46277</v>
      </c>
      <c r="B108" s="21"/>
      <c r="C108" s="22" t="s">
        <v>10</v>
      </c>
      <c r="D108" s="23">
        <v>5.0599999999999996</v>
      </c>
      <c r="E108" s="24">
        <f t="shared" si="14"/>
        <v>73.071471526195907</v>
      </c>
      <c r="F108">
        <f>IF($C108="","",COUNTIF($C$3:$C108,$C108))</f>
        <v>4</v>
      </c>
      <c r="H108" s="35" t="s">
        <v>26</v>
      </c>
      <c r="I108" s="32">
        <f>IFERROR(SUMIF($C$3:$C$267,H107,$D$3:$D$267),0)</f>
        <v>0</v>
      </c>
      <c r="J108" s="14"/>
      <c r="K108" s="33"/>
    </row>
    <row r="109" spans="1:11" ht="14.25" customHeight="1" x14ac:dyDescent="0.3">
      <c r="A109" s="21">
        <f t="shared" si="13"/>
        <v>46277</v>
      </c>
      <c r="B109" s="21"/>
      <c r="C109" s="22" t="s">
        <v>17</v>
      </c>
      <c r="D109" s="23">
        <v>6.59</v>
      </c>
      <c r="E109" s="24">
        <f t="shared" si="14"/>
        <v>95.166205011389536</v>
      </c>
      <c r="F109">
        <f>IF($C109="","",COUNTIF($C$3:$C109,$C109))</f>
        <v>3</v>
      </c>
      <c r="H109" s="35" t="s">
        <v>27</v>
      </c>
      <c r="I109" s="32">
        <f>IFERROR(SUMIF($C$3:$C$267,H107,$E$3:$E$267),0)</f>
        <v>0</v>
      </c>
      <c r="J109" s="14"/>
      <c r="K109" s="33"/>
    </row>
    <row r="110" spans="1:11" ht="14.25" customHeight="1" x14ac:dyDescent="0.3">
      <c r="A110" s="21">
        <f t="shared" si="13"/>
        <v>46277</v>
      </c>
      <c r="B110" s="21"/>
      <c r="C110" s="22" t="s">
        <v>21</v>
      </c>
      <c r="D110" s="23">
        <v>4.8600000000000003</v>
      </c>
      <c r="E110" s="24">
        <f t="shared" si="14"/>
        <v>70.183271070615049</v>
      </c>
      <c r="F110">
        <f>IF($C110="","",COUNTIF($C$3:$C110,$C110))</f>
        <v>4</v>
      </c>
      <c r="H110" s="18" t="s">
        <v>28</v>
      </c>
      <c r="I110" s="20" t="s">
        <v>15</v>
      </c>
      <c r="J110" s="20" t="s">
        <v>16</v>
      </c>
      <c r="K110" s="33"/>
    </row>
    <row r="111" spans="1:11" ht="14.25" customHeight="1" x14ac:dyDescent="0.3">
      <c r="A111" s="21">
        <f t="shared" si="13"/>
        <v>46277</v>
      </c>
      <c r="B111" s="21"/>
      <c r="C111" s="22"/>
      <c r="D111" s="23"/>
      <c r="E111" s="24">
        <f t="shared" si="14"/>
        <v>0</v>
      </c>
      <c r="F111" t="str">
        <f>IF($C111="","",COUNTIF($C$3:$C111,$C111))</f>
        <v/>
      </c>
      <c r="H111" s="37" t="str">
        <f>IF(SUMPRODUCT(($C$3:$C$267=$H$107)*($F$3:$F$267=1))=0,"No entries yet",INDEX($A$3:$A$267,SUMPRODUCT(($C$3:$C$267=$H$107)*($F$3:$F$267=1)*(ROW($C$3:$C$267)-ROW($C$3)+1))))</f>
        <v>No entries yet</v>
      </c>
      <c r="I111" s="38" t="str">
        <f>IFERROR(IF(SUMPRODUCT(($C$3:$C$267=$H$107)*($F$3:$F$267=1))=0,"",INDEX($D$3:$D$267,SUMPRODUCT(($C$3:$C$267=$H$107)*($F$3:$F$267=1)*(ROW($C$3:$C$267)-ROW($C$3)+1)))),"")</f>
        <v/>
      </c>
      <c r="J111" s="38" t="str">
        <f>IFERROR(IF(SUMPRODUCT(($C$3:$C$267=$H$107)*($F$3:$F$267=1))=0,"",INDEX($E$3:$E$267,SUMPRODUCT(($C$3:$C$267=$H$107)*($F$3:$F$267=1)*(ROW($C$3:$C$267)-ROW($C$3)+1)))),"")</f>
        <v/>
      </c>
      <c r="K111" s="33"/>
    </row>
    <row r="112" spans="1:11" ht="14.25" customHeight="1" x14ac:dyDescent="0.3">
      <c r="A112" s="21">
        <f t="shared" si="13"/>
        <v>46277</v>
      </c>
      <c r="B112" s="21"/>
      <c r="C112" s="22"/>
      <c r="D112" s="23"/>
      <c r="E112" s="24">
        <f t="shared" si="14"/>
        <v>0</v>
      </c>
      <c r="F112" t="str">
        <f>IF($C112="","",COUNTIF($C$3:$C112,$C112))</f>
        <v/>
      </c>
      <c r="H112" s="37" t="str">
        <f>IF(SUMPRODUCT(($C$3:$C$267=$H$107)*($F$3:$F$267=2))=0,"",INDEX($A$3:$A$267,SUMPRODUCT(($C$3:$C$267=$H$107)*($F$3:$F$267=2)*(ROW($C$3:$C$267)-ROW($C$3)+1))))</f>
        <v/>
      </c>
      <c r="I112" s="38" t="str">
        <f>IFERROR(IF(SUMPRODUCT(($C$3:$C$267=$H$107)*($F$3:$F$267=2))=0,"",INDEX($D$3:$D$267,SUMPRODUCT(($C$3:$C$267=$H$107)*($F$3:$F$267=2)*(ROW($C$3:$C$267)-ROW($C$3)+1)))),"")</f>
        <v/>
      </c>
      <c r="J112" s="38" t="str">
        <f>IFERROR(IF(SUMPRODUCT(($C$3:$C$267=$H$107)*($F$3:$F$267=2))=0,"",INDEX($E$3:$E$267,SUMPRODUCT(($C$3:$C$267=$H$107)*($F$3:$F$267=2)*(ROW($C$3:$C$267)-ROW($C$3)+1)))),"")</f>
        <v/>
      </c>
      <c r="K112" s="33"/>
    </row>
    <row r="113" spans="1:11" ht="14.25" customHeight="1" x14ac:dyDescent="0.3">
      <c r="A113" s="21">
        <f t="shared" si="13"/>
        <v>46277</v>
      </c>
      <c r="B113" s="21"/>
      <c r="C113" s="22"/>
      <c r="D113" s="23"/>
      <c r="E113" s="24">
        <f t="shared" si="14"/>
        <v>0</v>
      </c>
      <c r="F113" t="str">
        <f>IF($C113="","",COUNTIF($C$3:$C113,$C113))</f>
        <v/>
      </c>
      <c r="H113" s="37" t="str">
        <f>IF(SUMPRODUCT(($C$3:$C$267=$H$107)*($F$3:$F$267=3))=0,"",INDEX($A$3:$A$267,SUMPRODUCT(($C$3:$C$267=$H$107)*($F$3:$F$267=3)*(ROW($C$3:$C$267)-ROW($C$3)+1))))</f>
        <v/>
      </c>
      <c r="I113" s="38" t="str">
        <f>IFERROR(IF(SUMPRODUCT(($C$3:$C$267=$H$107)*($F$3:$F$267=3))=0,"",INDEX($D$3:$D$267,SUMPRODUCT(($C$3:$C$267=$H$107)*($F$3:$F$267=3)*(ROW($C$3:$C$267)-ROW($C$3)+1)))),"")</f>
        <v/>
      </c>
      <c r="J113" s="38" t="str">
        <f>IFERROR(IF(SUMPRODUCT(($C$3:$C$267=$H$107)*($F$3:$F$267=3))=0,"",INDEX($E$3:$E$267,SUMPRODUCT(($C$3:$C$267=$H$107)*($F$3:$F$267=3)*(ROW($C$3:$C$267)-ROW($C$3)+1)))),"")</f>
        <v/>
      </c>
      <c r="K113" s="33"/>
    </row>
    <row r="114" spans="1:11" ht="15" customHeight="1" x14ac:dyDescent="0.3">
      <c r="C114" s="25" t="s">
        <v>24</v>
      </c>
      <c r="D114" s="26"/>
      <c r="E114" s="27">
        <f>SUM(E107:E113)</f>
        <v>316.98</v>
      </c>
      <c r="H114" s="37" t="str">
        <f>IF(SUMPRODUCT(($C$3:$C$267=$H$107)*($F$3:$F$267=4))=0,"",INDEX($A$3:$A$267,SUMPRODUCT(($C$3:$C$267=$H$107)*($F$3:$F$267=4)*(ROW($C$3:$C$267)-ROW($C$3)+1))))</f>
        <v/>
      </c>
      <c r="I114" s="38" t="str">
        <f>IFERROR(IF(SUMPRODUCT(($C$3:$C$267=$H$107)*($F$3:$F$267=4))=0,"",INDEX($D$3:$D$267,SUMPRODUCT(($C$3:$C$267=$H$107)*($F$3:$F$267=4)*(ROW($C$3:$C$267)-ROW($C$3)+1)))),"")</f>
        <v/>
      </c>
      <c r="J114" s="38" t="str">
        <f>IFERROR(IF(SUMPRODUCT(($C$3:$C$267=$H$107)*($F$3:$F$267=4))=0,"",INDEX($E$3:$E$267,SUMPRODUCT(($C$3:$C$267=$H$107)*($F$3:$F$267=4)*(ROW($C$3:$C$267)-ROW($C$3)+1)))),"")</f>
        <v/>
      </c>
      <c r="K114" s="33"/>
    </row>
    <row r="115" spans="1:11" ht="15" customHeight="1" x14ac:dyDescent="0.3">
      <c r="H115" s="37" t="str">
        <f>IF(SUMPRODUCT(($C$3:$C$267=$H$107)*($F$3:$F$267=5))=0,"",INDEX($A$3:$A$267,SUMPRODUCT(($C$3:$C$267=$H$107)*($F$3:$F$267=5)*(ROW($C$3:$C$267)-ROW($C$3)+1))))</f>
        <v/>
      </c>
      <c r="I115" s="38" t="str">
        <f>IFERROR(IF(SUMPRODUCT(($C$3:$C$267=$H$107)*($F$3:$F$267=5))=0,"",INDEX($D$3:$D$267,SUMPRODUCT(($C$3:$C$267=$H$107)*($F$3:$F$267=5)*(ROW($C$3:$C$267)-ROW($C$3)+1)))),"")</f>
        <v/>
      </c>
      <c r="J115" s="38" t="str">
        <f>IFERROR(IF(SUMPRODUCT(($C$3:$C$267=$H$107)*($F$3:$F$267=5))=0,"",INDEX($E$3:$E$267,SUMPRODUCT(($C$3:$C$267=$H$107)*($F$3:$F$267=5)*(ROW($C$3:$C$267)-ROW($C$3)+1)))),"")</f>
        <v/>
      </c>
      <c r="K115" s="33"/>
    </row>
    <row r="116" spans="1:11" ht="15" customHeight="1" x14ac:dyDescent="0.3">
      <c r="C116" s="4">
        <v>46278</v>
      </c>
      <c r="D116" s="4"/>
      <c r="E116" s="4"/>
      <c r="H116" s="37" t="str">
        <f>IF(SUMPRODUCT(($C$3:$C$267=$H$107)*($F$3:$F$267=6))=0,"",INDEX($A$3:$A$267,SUMPRODUCT(($C$3:$C$267=$H$107)*($F$3:$F$267=6)*(ROW($C$3:$C$267)-ROW($C$3)+1))))</f>
        <v/>
      </c>
      <c r="I116" s="38" t="str">
        <f>IFERROR(IF(SUMPRODUCT(($C$3:$C$267=$H$107)*($F$3:$F$267=6))=0,"",INDEX($D$3:$D$267,SUMPRODUCT(($C$3:$C$267=$H$107)*($F$3:$F$267=6)*(ROW($C$3:$C$267)-ROW($C$3)+1)))),"")</f>
        <v/>
      </c>
      <c r="J116" s="38" t="str">
        <f>IFERROR(IF(SUMPRODUCT(($C$3:$C$267=$H$107)*($F$3:$F$267=6))=0,"",INDEX($E$3:$E$267,SUMPRODUCT(($C$3:$C$267=$H$107)*($F$3:$F$267=6)*(ROW($C$3:$C$267)-ROW($C$3)+1)))),"")</f>
        <v/>
      </c>
      <c r="K116" s="33"/>
    </row>
    <row r="117" spans="1:11" ht="15" customHeight="1" x14ac:dyDescent="0.3">
      <c r="C117" s="28"/>
      <c r="E117" s="29"/>
      <c r="H117" s="37" t="str">
        <f>IF(SUMPRODUCT(($C$3:$C$267=$H$107)*($F$3:$F$267=7))=0,"",INDEX($A$3:$A$267,SUMPRODUCT(($C$3:$C$267=$H$107)*($F$3:$F$267=7)*(ROW($C$3:$C$267)-ROW($C$3)+1))))</f>
        <v/>
      </c>
      <c r="I117" s="38" t="str">
        <f>IFERROR(IF(SUMPRODUCT(($C$3:$C$267=$H$107)*($F$3:$F$267=7))=0,"",INDEX($D$3:$D$267,SUMPRODUCT(($C$3:$C$267=$H$107)*($F$3:$F$267=7)*(ROW($C$3:$C$267)-ROW($C$3)+1)))),"")</f>
        <v/>
      </c>
      <c r="J117" s="38" t="str">
        <f>IFERROR(IF(SUMPRODUCT(($C$3:$C$267=$H$107)*($F$3:$F$267=7))=0,"",INDEX($E$3:$E$267,SUMPRODUCT(($C$3:$C$267=$H$107)*($F$3:$F$267=7)*(ROW($C$3:$C$267)-ROW($C$3)+1)))),"")</f>
        <v/>
      </c>
      <c r="K117" s="33"/>
    </row>
    <row r="118" spans="1:11" ht="14.25" customHeight="1" x14ac:dyDescent="0.3">
      <c r="C118" s="10" t="s">
        <v>5</v>
      </c>
      <c r="D118" s="11">
        <v>258.47000000000003</v>
      </c>
      <c r="E118" s="12"/>
      <c r="H118" s="37" t="str">
        <f>IF(SUMPRODUCT(($C$3:$C$267=$H$107)*($F$3:$F$267=8))=0,"",INDEX($A$3:$A$267,SUMPRODUCT(($C$3:$C$267=$H$107)*($F$3:$F$267=8)*(ROW($C$3:$C$267)-ROW($C$3)+1))))</f>
        <v/>
      </c>
      <c r="I118" s="38" t="str">
        <f>IFERROR(IF(SUMPRODUCT(($C$3:$C$267=$H$107)*($F$3:$F$267=8))=0,"",INDEX($D$3:$D$267,SUMPRODUCT(($C$3:$C$267=$H$107)*($F$3:$F$267=8)*(ROW($C$3:$C$267)-ROW($C$3)+1)))),"")</f>
        <v/>
      </c>
      <c r="J118" s="38" t="str">
        <f>IFERROR(IF(SUMPRODUCT(($C$3:$C$267=$H$107)*($F$3:$F$267=8))=0,"",INDEX($E$3:$E$267,SUMPRODUCT(($C$3:$C$267=$H$107)*($F$3:$F$267=8)*(ROW($C$3:$C$267)-ROW($C$3)+1)))),"")</f>
        <v/>
      </c>
      <c r="K118" s="33"/>
    </row>
    <row r="119" spans="1:11" ht="14.25" customHeight="1" x14ac:dyDescent="0.3">
      <c r="C119" s="10" t="s">
        <v>7</v>
      </c>
      <c r="D119" s="15"/>
      <c r="E119" s="16"/>
      <c r="H119" s="37" t="str">
        <f>IF(SUMPRODUCT(($C$3:$C$267=$H$107)*($F$3:$F$267=9))=0,"",INDEX($A$3:$A$267,SUMPRODUCT(($C$3:$C$267=$H$107)*($F$3:$F$267=9)*(ROW($C$3:$C$267)-ROW($C$3)+1))))</f>
        <v/>
      </c>
      <c r="I119" s="38" t="str">
        <f>IFERROR(IF(SUMPRODUCT(($C$3:$C$267=$H$107)*($F$3:$F$267=9))=0,"",INDEX($D$3:$D$267,SUMPRODUCT(($C$3:$C$267=$H$107)*($F$3:$F$267=9)*(ROW($C$3:$C$267)-ROW($C$3)+1)))),"")</f>
        <v/>
      </c>
      <c r="J119" s="38" t="str">
        <f>IFERROR(IF(SUMPRODUCT(($C$3:$C$267=$H$107)*($F$3:$F$267=9))=0,"",INDEX($E$3:$E$267,SUMPRODUCT(($C$3:$C$267=$H$107)*($F$3:$F$267=9)*(ROW($C$3:$C$267)-ROW($C$3)+1)))),"")</f>
        <v/>
      </c>
      <c r="K119" s="33"/>
    </row>
    <row r="120" spans="1:11" ht="14.25" customHeight="1" x14ac:dyDescent="0.3">
      <c r="C120" s="10" t="s">
        <v>9</v>
      </c>
      <c r="D120" s="10">
        <v>2.75</v>
      </c>
      <c r="E120" s="12"/>
      <c r="H120" s="37" t="str">
        <f>IF(SUMPRODUCT(($C$3:$C$267=$H$107)*($F$3:$F$267=10))=0,"",INDEX($A$3:$A$267,SUMPRODUCT(($C$3:$C$267=$H$107)*($F$3:$F$267=10)*(ROW($C$3:$C$267)-ROW($C$3)+1))))</f>
        <v/>
      </c>
      <c r="I120" s="38" t="str">
        <f>IFERROR(IF(SUMPRODUCT(($C$3:$C$267=$H$107)*($F$3:$F$267=10))=0,"",INDEX($D$3:$D$267,SUMPRODUCT(($C$3:$C$267=$H$107)*($F$3:$F$267=10)*(ROW($C$3:$C$267)-ROW($C$3)+1)))),"")</f>
        <v/>
      </c>
      <c r="J120" s="38" t="str">
        <f>IFERROR(IF(SUMPRODUCT(($C$3:$C$267=$H$107)*($F$3:$F$267=10))=0,"",INDEX($E$3:$E$267,SUMPRODUCT(($C$3:$C$267=$H$107)*($F$3:$F$267=10)*(ROW($C$3:$C$267)-ROW($C$3)+1)))),"")</f>
        <v/>
      </c>
      <c r="K120" s="33"/>
    </row>
    <row r="121" spans="1:11" ht="14.25" customHeight="1" x14ac:dyDescent="0.3">
      <c r="C121" s="10" t="s">
        <v>2</v>
      </c>
      <c r="D121" s="17">
        <f>SUM(D118:D120)</f>
        <v>261.22000000000003</v>
      </c>
      <c r="E121" s="12"/>
      <c r="H121" s="37" t="str">
        <f>IF(SUMPRODUCT(($C$3:$C$267=$H$107)*($F$3:$F$267=11))=0,"",INDEX($A$3:$A$267,SUMPRODUCT(($C$3:$C$267=$H$107)*($F$3:$F$267=11)*(ROW($C$3:$C$267)-ROW($C$3)+1))))</f>
        <v/>
      </c>
      <c r="I121" s="38" t="str">
        <f>IFERROR(IF(SUMPRODUCT(($C$3:$C$267=$H$107)*($F$3:$F$267=11))=0,"",INDEX($D$3:$D$267,SUMPRODUCT(($C$3:$C$267=$H$107)*($F$3:$F$267=11)*(ROW($C$3:$C$267)-ROW($C$3)+1)))),"")</f>
        <v/>
      </c>
      <c r="J121" s="38" t="str">
        <f>IFERROR(IF(SUMPRODUCT(($C$3:$C$267=$H$107)*($F$3:$F$267=11))=0,"",INDEX($E$3:$E$267,SUMPRODUCT(($C$3:$C$267=$H$107)*($F$3:$F$267=11)*(ROW($C$3:$C$267)-ROW($C$3)+1)))),"")</f>
        <v/>
      </c>
      <c r="K121" s="33"/>
    </row>
    <row r="122" spans="1:11" ht="14.25" customHeight="1" x14ac:dyDescent="0.3">
      <c r="C122" s="10" t="s">
        <v>3</v>
      </c>
      <c r="D122" s="10">
        <f>SUM(D126:D132)</f>
        <v>22.48</v>
      </c>
      <c r="E122" s="12"/>
      <c r="H122" s="37" t="str">
        <f>IF(SUMPRODUCT(($C$3:$C$267=$H$107)*($F$3:$F$267=12))=0,"",INDEX($A$3:$A$267,SUMPRODUCT(($C$3:$C$267=$H$107)*($F$3:$F$267=12)*(ROW($C$3:$C$267)-ROW($C$3)+1))))</f>
        <v/>
      </c>
      <c r="I122" s="38" t="str">
        <f>IFERROR(IF(SUMPRODUCT(($C$3:$C$267=$H$107)*($F$3:$F$267=12))=0,"",INDEX($D$3:$D$267,SUMPRODUCT(($C$3:$C$267=$H$107)*($F$3:$F$267=12)*(ROW($C$3:$C$267)-ROW($C$3)+1)))),"")</f>
        <v/>
      </c>
      <c r="J122" s="38" t="str">
        <f>IFERROR(IF(SUMPRODUCT(($C$3:$C$267=$H$107)*($F$3:$F$267=12))=0,"",INDEX($E$3:$E$267,SUMPRODUCT(($C$3:$C$267=$H$107)*($F$3:$F$267=12)*(ROW($C$3:$C$267)-ROW($C$3)+1)))),"")</f>
        <v/>
      </c>
      <c r="K122" s="33"/>
    </row>
    <row r="123" spans="1:11" ht="14.25" customHeight="1" x14ac:dyDescent="0.3">
      <c r="C123" s="10" t="s">
        <v>13</v>
      </c>
      <c r="D123" s="17">
        <f>D121/D122</f>
        <v>11.620106761565838</v>
      </c>
      <c r="E123" s="12"/>
      <c r="H123" s="37" t="str">
        <f>IF(SUMPRODUCT(($C$3:$C$267=$H$107)*($F$3:$F$267=13))=0,"",INDEX($A$3:$A$267,SUMPRODUCT(($C$3:$C$267=$H$107)*($F$3:$F$267=13)*(ROW($C$3:$C$267)-ROW($C$3)+1))))</f>
        <v/>
      </c>
      <c r="I123" s="38" t="str">
        <f>IFERROR(IF(SUMPRODUCT(($C$3:$C$267=$H$107)*($F$3:$F$267=13))=0,"",INDEX($D$3:$D$267,SUMPRODUCT(($C$3:$C$267=$H$107)*($F$3:$F$267=13)*(ROW($C$3:$C$267)-ROW($C$3)+1)))),"")</f>
        <v/>
      </c>
      <c r="J123" s="38" t="str">
        <f>IFERROR(IF(SUMPRODUCT(($C$3:$C$267=$H$107)*($F$3:$F$267=13))=0,"",INDEX($E$3:$E$267,SUMPRODUCT(($C$3:$C$267=$H$107)*($F$3:$F$267=13)*(ROW($C$3:$C$267)-ROW($C$3)+1)))),"")</f>
        <v/>
      </c>
      <c r="K123" s="33"/>
    </row>
    <row r="124" spans="1:11" ht="14.25" customHeight="1" x14ac:dyDescent="0.3">
      <c r="C124" s="12"/>
      <c r="D124" s="36"/>
      <c r="E124" s="12"/>
      <c r="H124" s="37" t="str">
        <f>IF(SUMPRODUCT(($C$3:$C$267=$H$107)*($F$3:$F$267=14))=0,"",INDEX($A$3:$A$267,SUMPRODUCT(($C$3:$C$267=$H$107)*($F$3:$F$267=14)*(ROW($C$3:$C$267)-ROW($C$3)+1))))</f>
        <v/>
      </c>
      <c r="I124" s="38" t="str">
        <f>IFERROR(IF(SUMPRODUCT(($C$3:$C$267=$H$107)*($F$3:$F$267=14))=0,"",INDEX($D$3:$D$267,SUMPRODUCT(($C$3:$C$267=$H$107)*($F$3:$F$267=14)*(ROW($C$3:$C$267)-ROW($C$3)+1)))),"")</f>
        <v/>
      </c>
      <c r="J124" s="38" t="str">
        <f>IFERROR(IF(SUMPRODUCT(($C$3:$C$267=$H$107)*($F$3:$F$267=14))=0,"",INDEX($E$3:$E$267,SUMPRODUCT(($C$3:$C$267=$H$107)*($F$3:$F$267=14)*(ROW($C$3:$C$267)-ROW($C$3)+1)))),"")</f>
        <v/>
      </c>
      <c r="K124" s="33"/>
    </row>
    <row r="125" spans="1:11" ht="15" customHeight="1" x14ac:dyDescent="0.3">
      <c r="C125" s="18" t="s">
        <v>1</v>
      </c>
      <c r="D125" s="20" t="s">
        <v>15</v>
      </c>
      <c r="E125" s="20" t="s">
        <v>16</v>
      </c>
      <c r="H125" s="37" t="str">
        <f>IF(SUMPRODUCT(($C$3:$C$267=$H$107)*($F$3:$F$267=15))=0,"",INDEX($A$3:$A$267,SUMPRODUCT(($C$3:$C$267=$H$107)*($F$3:$F$267=15)*(ROW($C$3:$C$267)-ROW($C$3)+1))))</f>
        <v/>
      </c>
      <c r="I125" s="38" t="str">
        <f>IFERROR(IF(SUMPRODUCT(($C$3:$C$267=$H$107)*($F$3:$F$267=15))=0,"",INDEX($D$3:$D$267,SUMPRODUCT(($C$3:$C$267=$H$107)*($F$3:$F$267=15)*(ROW($C$3:$C$267)-ROW($C$3)+1)))),"")</f>
        <v/>
      </c>
      <c r="J125" s="38" t="str">
        <f>IFERROR(IF(SUMPRODUCT(($C$3:$C$267=$H$107)*($F$3:$F$267=15))=0,"",INDEX($E$3:$E$267,SUMPRODUCT(($C$3:$C$267=$H$107)*($F$3:$F$267=15)*(ROW($C$3:$C$267)-ROW($C$3)+1)))),"")</f>
        <v/>
      </c>
      <c r="K125" s="33"/>
    </row>
    <row r="126" spans="1:11" ht="14.25" customHeight="1" x14ac:dyDescent="0.3">
      <c r="A126" s="21">
        <f t="shared" ref="A126:A132" si="15">$C$116</f>
        <v>46278</v>
      </c>
      <c r="B126" s="21"/>
      <c r="C126" s="22" t="s">
        <v>17</v>
      </c>
      <c r="D126" s="23">
        <v>6.96</v>
      </c>
      <c r="E126" s="24">
        <f t="shared" ref="E126:E132" si="16">D126*$D$123</f>
        <v>80.87594306049823</v>
      </c>
      <c r="F126">
        <f>IF($C126="","",COUNTIF($C$3:$C126,$C126))</f>
        <v>4</v>
      </c>
      <c r="H126" s="37" t="str">
        <f>IF(SUMPRODUCT(($C$3:$C$267=$H$107)*($F$3:$F$267=16))=0,"",INDEX($A$3:$A$267,SUMPRODUCT(($C$3:$C$267=$H$107)*($F$3:$F$267=16)*(ROW($C$3:$C$267)-ROW($C$3)+1))))</f>
        <v/>
      </c>
      <c r="I126" s="38" t="str">
        <f>IFERROR(IF(SUMPRODUCT(($C$3:$C$267=$H$107)*($F$3:$F$267=16))=0,"",INDEX($D$3:$D$267,SUMPRODUCT(($C$3:$C$267=$H$107)*($F$3:$F$267=16)*(ROW($C$3:$C$267)-ROW($C$3)+1)))),"")</f>
        <v/>
      </c>
      <c r="J126" s="38" t="str">
        <f>IFERROR(IF(SUMPRODUCT(($C$3:$C$267=$H$107)*($F$3:$F$267=16))=0,"",INDEX($E$3:$E$267,SUMPRODUCT(($C$3:$C$267=$H$107)*($F$3:$F$267=16)*(ROW($C$3:$C$267)-ROW($C$3)+1)))),"")</f>
        <v/>
      </c>
      <c r="K126" s="33"/>
    </row>
    <row r="127" spans="1:11" ht="14.25" customHeight="1" x14ac:dyDescent="0.3">
      <c r="A127" s="21">
        <f t="shared" si="15"/>
        <v>46278</v>
      </c>
      <c r="B127" s="21"/>
      <c r="C127" s="22" t="s">
        <v>10</v>
      </c>
      <c r="D127" s="23">
        <v>5.04</v>
      </c>
      <c r="E127" s="24">
        <f t="shared" si="16"/>
        <v>58.565338078291823</v>
      </c>
      <c r="F127">
        <f>IF($C127="","",COUNTIF($C$3:$C127,$C127))</f>
        <v>5</v>
      </c>
      <c r="H127" s="34" t="str">
        <f>H11</f>
        <v>Micaela Hartley</v>
      </c>
      <c r="I127" s="14"/>
      <c r="J127" s="14"/>
      <c r="K127" s="33"/>
    </row>
    <row r="128" spans="1:11" ht="14.25" customHeight="1" x14ac:dyDescent="0.3">
      <c r="A128" s="21">
        <f t="shared" si="15"/>
        <v>46278</v>
      </c>
      <c r="B128" s="21"/>
      <c r="C128" s="22" t="s">
        <v>21</v>
      </c>
      <c r="D128" s="23">
        <v>5.46</v>
      </c>
      <c r="E128" s="24">
        <f t="shared" si="16"/>
        <v>63.445782918149476</v>
      </c>
      <c r="F128">
        <f>IF($C128="","",COUNTIF($C$3:$C128,$C128))</f>
        <v>5</v>
      </c>
      <c r="H128" s="35" t="s">
        <v>26</v>
      </c>
      <c r="I128" s="32">
        <f>IFERROR(SUMIF($C$3:$C$267,H127,$D$3:$D$267),0)</f>
        <v>43.78</v>
      </c>
      <c r="J128" s="14"/>
      <c r="K128" s="33"/>
    </row>
    <row r="129" spans="1:11" ht="14.25" customHeight="1" x14ac:dyDescent="0.3">
      <c r="A129" s="21">
        <f t="shared" si="15"/>
        <v>46278</v>
      </c>
      <c r="B129" s="21"/>
      <c r="C129" s="22" t="s">
        <v>6</v>
      </c>
      <c r="D129" s="23">
        <v>5.0199999999999996</v>
      </c>
      <c r="E129" s="24">
        <f t="shared" si="16"/>
        <v>58.332935943060498</v>
      </c>
      <c r="F129">
        <f>IF($C129="","",COUNTIF($C$3:$C129,$C129))</f>
        <v>3</v>
      </c>
      <c r="H129" s="35" t="s">
        <v>27</v>
      </c>
      <c r="I129" s="32">
        <f>IFERROR(SUMIF($C$3:$C$267,H127,$E$3:$E$267),0)</f>
        <v>405.95158933844766</v>
      </c>
      <c r="J129" s="14"/>
      <c r="K129" s="33"/>
    </row>
    <row r="130" spans="1:11" ht="14.25" customHeight="1" x14ac:dyDescent="0.3">
      <c r="A130" s="21">
        <f t="shared" si="15"/>
        <v>46278</v>
      </c>
      <c r="B130" s="21"/>
      <c r="C130" s="22"/>
      <c r="D130" s="23"/>
      <c r="E130" s="24">
        <f t="shared" si="16"/>
        <v>0</v>
      </c>
      <c r="F130" t="str">
        <f>IF($C130="","",COUNTIF($C$3:$C130,$C130))</f>
        <v/>
      </c>
      <c r="H130" s="18" t="s">
        <v>28</v>
      </c>
      <c r="I130" s="20" t="s">
        <v>15</v>
      </c>
      <c r="J130" s="20" t="s">
        <v>16</v>
      </c>
      <c r="K130" s="33"/>
    </row>
    <row r="131" spans="1:11" ht="14.25" customHeight="1" x14ac:dyDescent="0.3">
      <c r="A131" s="21">
        <f t="shared" si="15"/>
        <v>46278</v>
      </c>
      <c r="B131" s="21"/>
      <c r="C131" s="22"/>
      <c r="D131" s="23"/>
      <c r="E131" s="24">
        <f t="shared" si="16"/>
        <v>0</v>
      </c>
      <c r="F131" t="str">
        <f>IF($C131="","",COUNTIF($C$3:$C131,$C131))</f>
        <v/>
      </c>
      <c r="H131" s="37">
        <f>IF(SUMPRODUCT(($C$3:$C$267=$H$127)*($F$3:$F$267=1))=0,"No entries yet",INDEX($A$3:$A$267,SUMPRODUCT(($C$3:$C$267=$H$127)*($F$3:$F$267=1)*(ROW($C$3:$C$267)-ROW($C$3)+1))))</f>
        <v>46272</v>
      </c>
      <c r="I131" s="38">
        <f>IFERROR(IF(SUMPRODUCT(($C$3:$C$267=$H$127)*($F$3:$F$267=1))=0,"",INDEX($D$3:$D$267,SUMPRODUCT(($C$3:$C$267=$H$127)*($F$3:$F$267=1)*(ROW($C$3:$C$267)-ROW($C$3)+1)))),"")</f>
        <v>4.9800000000000004</v>
      </c>
      <c r="J131" s="38">
        <f>IFERROR(IF(SUMPRODUCT(($C$3:$C$267=$H$127)*($F$3:$F$267=1))=0,"",INDEX($E$3:$E$267,SUMPRODUCT(($C$3:$C$267=$H$127)*($F$3:$F$267=1)*(ROW($C$3:$C$267)-ROW($C$3)+1)))),"")</f>
        <v>40.058441437237519</v>
      </c>
      <c r="K131" s="33"/>
    </row>
    <row r="132" spans="1:11" ht="14.25" customHeight="1" x14ac:dyDescent="0.3">
      <c r="A132" s="21">
        <f t="shared" si="15"/>
        <v>46278</v>
      </c>
      <c r="B132" s="21"/>
      <c r="C132" s="22"/>
      <c r="D132" s="23"/>
      <c r="E132" s="24">
        <f t="shared" si="16"/>
        <v>0</v>
      </c>
      <c r="F132" t="str">
        <f>IF($C132="","",COUNTIF($C$3:$C132,$C132))</f>
        <v/>
      </c>
      <c r="H132" s="37">
        <f>IF(SUMPRODUCT(($C$3:$C$267=$H$127)*($F$3:$F$267=2))=0,"",INDEX($A$3:$A$267,SUMPRODUCT(($C$3:$C$267=$H$127)*($F$3:$F$267=2)*(ROW($C$3:$C$267)-ROW($C$3)+1))))</f>
        <v>46276</v>
      </c>
      <c r="I132" s="38">
        <f>IFERROR(IF(SUMPRODUCT(($C$3:$C$267=$H$127)*($F$3:$F$267=2))=0,"",INDEX($D$3:$D$267,SUMPRODUCT(($C$3:$C$267=$H$127)*($F$3:$F$267=2)*(ROW($C$3:$C$267)-ROW($C$3)+1)))),"")</f>
        <v>6.3</v>
      </c>
      <c r="J132" s="38">
        <f>IFERROR(IF(SUMPRODUCT(($C$3:$C$267=$H$127)*($F$3:$F$267=2))=0,"",INDEX($E$3:$E$267,SUMPRODUCT(($C$3:$C$267=$H$127)*($F$3:$F$267=2)*(ROW($C$3:$C$267)-ROW($C$3)+1)))),"")</f>
        <v>62.093076923076914</v>
      </c>
      <c r="K132" s="33"/>
    </row>
    <row r="133" spans="1:11" ht="15" customHeight="1" x14ac:dyDescent="0.3">
      <c r="C133" s="25" t="s">
        <v>24</v>
      </c>
      <c r="D133" s="26"/>
      <c r="E133" s="27">
        <f>SUM(E126:E132)</f>
        <v>261.22000000000003</v>
      </c>
      <c r="H133" s="37">
        <f>IF(SUMPRODUCT(($C$3:$C$267=$H$127)*($F$3:$F$267=3))=0,"",INDEX($A$3:$A$267,SUMPRODUCT(($C$3:$C$267=$H$127)*($F$3:$F$267=3)*(ROW($C$3:$C$267)-ROW($C$3)+1))))</f>
        <v>46277</v>
      </c>
      <c r="I133" s="38">
        <f>IFERROR(IF(SUMPRODUCT(($C$3:$C$267=$H$127)*($F$3:$F$267=3))=0,"",INDEX($D$3:$D$267,SUMPRODUCT(($C$3:$C$267=$H$127)*($F$3:$F$267=3)*(ROW($C$3:$C$267)-ROW($C$3)+1)))),"")</f>
        <v>6.59</v>
      </c>
      <c r="J133" s="38">
        <f>IFERROR(IF(SUMPRODUCT(($C$3:$C$267=$H$127)*($F$3:$F$267=3))=0,"",INDEX($E$3:$E$267,SUMPRODUCT(($C$3:$C$267=$H$127)*($F$3:$F$267=3)*(ROW($C$3:$C$267)-ROW($C$3)+1)))),"")</f>
        <v>95.166205011389536</v>
      </c>
      <c r="K133" s="33"/>
    </row>
    <row r="134" spans="1:11" ht="15" customHeight="1" x14ac:dyDescent="0.3">
      <c r="H134" s="37">
        <f>IF(SUMPRODUCT(($C$3:$C$267=$H$127)*($F$3:$F$267=4))=0,"",INDEX($A$3:$A$267,SUMPRODUCT(($C$3:$C$267=$H$127)*($F$3:$F$267=4)*(ROW($C$3:$C$267)-ROW($C$3)+1))))</f>
        <v>46278</v>
      </c>
      <c r="I134" s="38">
        <f>IFERROR(IF(SUMPRODUCT(($C$3:$C$267=$H$127)*($F$3:$F$267=4))=0,"",INDEX($D$3:$D$267,SUMPRODUCT(($C$3:$C$267=$H$127)*($F$3:$F$267=4)*(ROW($C$3:$C$267)-ROW($C$3)+1)))),"")</f>
        <v>6.96</v>
      </c>
      <c r="J134" s="38">
        <f>IFERROR(IF(SUMPRODUCT(($C$3:$C$267=$H$127)*($F$3:$F$267=4))=0,"",INDEX($E$3:$E$267,SUMPRODUCT(($C$3:$C$267=$H$127)*($F$3:$F$267=4)*(ROW($C$3:$C$267)-ROW($C$3)+1)))),"")</f>
        <v>80.87594306049823</v>
      </c>
      <c r="K134" s="33"/>
    </row>
    <row r="135" spans="1:11" ht="15" customHeight="1" x14ac:dyDescent="0.3">
      <c r="C135" s="4">
        <v>46279</v>
      </c>
      <c r="D135" s="4"/>
      <c r="E135" s="4"/>
      <c r="H135" s="37">
        <f>IF(SUMPRODUCT(($C$3:$C$267=$H$127)*($F$3:$F$267=5))=0,"",INDEX($A$3:$A$267,SUMPRODUCT(($C$3:$C$267=$H$127)*($F$3:$F$267=5)*(ROW($C$3:$C$267)-ROW($C$3)+1))))</f>
        <v>46279</v>
      </c>
      <c r="I135" s="38">
        <f>IFERROR(IF(SUMPRODUCT(($C$3:$C$267=$H$127)*($F$3:$F$267=5))=0,"",INDEX($D$3:$D$267,SUMPRODUCT(($C$3:$C$267=$H$127)*($F$3:$F$267=5)*(ROW($C$3:$C$267)-ROW($C$3)+1)))),"")</f>
        <v>6.51</v>
      </c>
      <c r="J135" s="38">
        <f>IFERROR(IF(SUMPRODUCT(($C$3:$C$267=$H$127)*($F$3:$F$267=5))=0,"",INDEX($E$3:$E$267,SUMPRODUCT(($C$3:$C$267=$H$127)*($F$3:$F$267=5)*(ROW($C$3:$C$267)-ROW($C$3)+1)))),"")</f>
        <v>34.467100625355322</v>
      </c>
      <c r="K135" s="33"/>
    </row>
    <row r="136" spans="1:11" ht="15" customHeight="1" x14ac:dyDescent="0.3">
      <c r="C136" s="28"/>
      <c r="E136" s="29"/>
      <c r="H136" s="37">
        <f>IF(SUMPRODUCT(($C$3:$C$267=$H$127)*($F$3:$F$267=6))=0,"",INDEX($A$3:$A$267,SUMPRODUCT(($C$3:$C$267=$H$127)*($F$3:$F$267=6)*(ROW($C$3:$C$267)-ROW($C$3)+1))))</f>
        <v>46280</v>
      </c>
      <c r="I136" s="38">
        <f>IFERROR(IF(SUMPRODUCT(($C$3:$C$267=$H$127)*($F$3:$F$267=6))=0,"",INDEX($D$3:$D$267,SUMPRODUCT(($C$3:$C$267=$H$127)*($F$3:$F$267=6)*(ROW($C$3:$C$267)-ROW($C$3)+1)))),"")</f>
        <v>5.92</v>
      </c>
      <c r="J136" s="38">
        <f>IFERROR(IF(SUMPRODUCT(($C$3:$C$267=$H$127)*($F$3:$F$267=6))=0,"",INDEX($E$3:$E$267,SUMPRODUCT(($C$3:$C$267=$H$127)*($F$3:$F$267=6)*(ROW($C$3:$C$267)-ROW($C$3)+1)))),"")</f>
        <v>35.208789131718838</v>
      </c>
      <c r="K136" s="33"/>
    </row>
    <row r="137" spans="1:11" ht="14.25" customHeight="1" x14ac:dyDescent="0.3">
      <c r="C137" s="10" t="s">
        <v>5</v>
      </c>
      <c r="D137" s="11">
        <v>90.33</v>
      </c>
      <c r="E137" s="12"/>
      <c r="H137" s="37">
        <f>IF(SUMPRODUCT(($C$3:$C$267=$H$127)*($F$3:$F$267=7))=0,"",INDEX($A$3:$A$267,SUMPRODUCT(($C$3:$C$267=$H$127)*($F$3:$F$267=7)*(ROW($C$3:$C$267)-ROW($C$3)+1))))</f>
        <v>46283</v>
      </c>
      <c r="I137" s="38">
        <f>IFERROR(IF(SUMPRODUCT(($C$3:$C$267=$H$127)*($F$3:$F$267=7))=0,"",INDEX($D$3:$D$267,SUMPRODUCT(($C$3:$C$267=$H$127)*($F$3:$F$267=7)*(ROW($C$3:$C$267)-ROW($C$3)+1)))),"")</f>
        <v>6.52</v>
      </c>
      <c r="J137" s="38">
        <f>IFERROR(IF(SUMPRODUCT(($C$3:$C$267=$H$127)*($F$3:$F$267=7))=0,"",INDEX($E$3:$E$267,SUMPRODUCT(($C$3:$C$267=$H$127)*($F$3:$F$267=7)*(ROW($C$3:$C$267)-ROW($C$3)+1)))),"")</f>
        <v>58.082033149171252</v>
      </c>
      <c r="K137" s="33"/>
    </row>
    <row r="138" spans="1:11" ht="14.25" customHeight="1" x14ac:dyDescent="0.3">
      <c r="C138" s="10" t="s">
        <v>7</v>
      </c>
      <c r="D138" s="15"/>
      <c r="E138" s="16"/>
      <c r="H138" s="37" t="str">
        <f>IF(SUMPRODUCT(($C$3:$C$267=$H$127)*($F$3:$F$267=8))=0,"",INDEX($A$3:$A$267,SUMPRODUCT(($C$3:$C$267=$H$127)*($F$3:$F$267=8)*(ROW($C$3:$C$267)-ROW($C$3)+1))))</f>
        <v/>
      </c>
      <c r="I138" s="38" t="str">
        <f>IFERROR(IF(SUMPRODUCT(($C$3:$C$267=$H$127)*($F$3:$F$267=8))=0,"",INDEX($D$3:$D$267,SUMPRODUCT(($C$3:$C$267=$H$127)*($F$3:$F$267=8)*(ROW($C$3:$C$267)-ROW($C$3)+1)))),"")</f>
        <v/>
      </c>
      <c r="J138" s="38" t="str">
        <f>IFERROR(IF(SUMPRODUCT(($C$3:$C$267=$H$127)*($F$3:$F$267=8))=0,"",INDEX($E$3:$E$267,SUMPRODUCT(($C$3:$C$267=$H$127)*($F$3:$F$267=8)*(ROW($C$3:$C$267)-ROW($C$3)+1)))),"")</f>
        <v/>
      </c>
      <c r="K138" s="33"/>
    </row>
    <row r="139" spans="1:11" ht="14.25" customHeight="1" x14ac:dyDescent="0.3">
      <c r="C139" s="10" t="s">
        <v>9</v>
      </c>
      <c r="D139" s="10">
        <v>2.8</v>
      </c>
      <c r="E139" s="12"/>
      <c r="H139" s="37" t="str">
        <f>IF(SUMPRODUCT(($C$3:$C$267=$H$127)*($F$3:$F$267=9))=0,"",INDEX($A$3:$A$267,SUMPRODUCT(($C$3:$C$267=$H$127)*($F$3:$F$267=9)*(ROW($C$3:$C$267)-ROW($C$3)+1))))</f>
        <v/>
      </c>
      <c r="I139" s="38" t="str">
        <f>IFERROR(IF(SUMPRODUCT(($C$3:$C$267=$H$127)*($F$3:$F$267=9))=0,"",INDEX($D$3:$D$267,SUMPRODUCT(($C$3:$C$267=$H$127)*($F$3:$F$267=9)*(ROW($C$3:$C$267)-ROW($C$3)+1)))),"")</f>
        <v/>
      </c>
      <c r="J139" s="38" t="str">
        <f>IFERROR(IF(SUMPRODUCT(($C$3:$C$267=$H$127)*($F$3:$F$267=9))=0,"",INDEX($E$3:$E$267,SUMPRODUCT(($C$3:$C$267=$H$127)*($F$3:$F$267=9)*(ROW($C$3:$C$267)-ROW($C$3)+1)))),"")</f>
        <v/>
      </c>
      <c r="K139" s="33"/>
    </row>
    <row r="140" spans="1:11" ht="14.25" customHeight="1" x14ac:dyDescent="0.3">
      <c r="C140" s="10" t="s">
        <v>2</v>
      </c>
      <c r="D140" s="17">
        <f>SUM(D137:D139)</f>
        <v>93.13</v>
      </c>
      <c r="E140" s="12"/>
      <c r="H140" s="37" t="str">
        <f>IF(SUMPRODUCT(($C$3:$C$267=$H$127)*($F$3:$F$267=10))=0,"",INDEX($A$3:$A$267,SUMPRODUCT(($C$3:$C$267=$H$127)*($F$3:$F$267=10)*(ROW($C$3:$C$267)-ROW($C$3)+1))))</f>
        <v/>
      </c>
      <c r="I140" s="38" t="str">
        <f>IFERROR(IF(SUMPRODUCT(($C$3:$C$267=$H$127)*($F$3:$F$267=10))=0,"",INDEX($D$3:$D$267,SUMPRODUCT(($C$3:$C$267=$H$127)*($F$3:$F$267=10)*(ROW($C$3:$C$267)-ROW($C$3)+1)))),"")</f>
        <v/>
      </c>
      <c r="J140" s="38" t="str">
        <f>IFERROR(IF(SUMPRODUCT(($C$3:$C$267=$H$127)*($F$3:$F$267=10))=0,"",INDEX($E$3:$E$267,SUMPRODUCT(($C$3:$C$267=$H$127)*($F$3:$F$267=10)*(ROW($C$3:$C$267)-ROW($C$3)+1)))),"")</f>
        <v/>
      </c>
      <c r="K140" s="33"/>
    </row>
    <row r="141" spans="1:11" ht="14.25" customHeight="1" x14ac:dyDescent="0.3">
      <c r="C141" s="10" t="s">
        <v>3</v>
      </c>
      <c r="D141" s="10">
        <f>SUM(D145:D151)</f>
        <v>17.589999999999996</v>
      </c>
      <c r="E141" s="12"/>
      <c r="H141" s="37" t="str">
        <f>IF(SUMPRODUCT(($C$3:$C$267=$H$127)*($F$3:$F$267=11))=0,"",INDEX($A$3:$A$267,SUMPRODUCT(($C$3:$C$267=$H$127)*($F$3:$F$267=11)*(ROW($C$3:$C$267)-ROW($C$3)+1))))</f>
        <v/>
      </c>
      <c r="I141" s="38" t="str">
        <f>IFERROR(IF(SUMPRODUCT(($C$3:$C$267=$H$127)*($F$3:$F$267=11))=0,"",INDEX($D$3:$D$267,SUMPRODUCT(($C$3:$C$267=$H$127)*($F$3:$F$267=11)*(ROW($C$3:$C$267)-ROW($C$3)+1)))),"")</f>
        <v/>
      </c>
      <c r="J141" s="38" t="str">
        <f>IFERROR(IF(SUMPRODUCT(($C$3:$C$267=$H$127)*($F$3:$F$267=11))=0,"",INDEX($E$3:$E$267,SUMPRODUCT(($C$3:$C$267=$H$127)*($F$3:$F$267=11)*(ROW($C$3:$C$267)-ROW($C$3)+1)))),"")</f>
        <v/>
      </c>
      <c r="K141" s="33"/>
    </row>
    <row r="142" spans="1:11" ht="14.25" customHeight="1" x14ac:dyDescent="0.3">
      <c r="C142" s="10" t="s">
        <v>13</v>
      </c>
      <c r="D142" s="17">
        <f>D140/D141</f>
        <v>5.2944855031267775</v>
      </c>
      <c r="E142" s="12"/>
      <c r="H142" s="37" t="str">
        <f>IF(SUMPRODUCT(($C$3:$C$267=$H$127)*($F$3:$F$267=12))=0,"",INDEX($A$3:$A$267,SUMPRODUCT(($C$3:$C$267=$H$127)*($F$3:$F$267=12)*(ROW($C$3:$C$267)-ROW($C$3)+1))))</f>
        <v/>
      </c>
      <c r="I142" s="38" t="str">
        <f>IFERROR(IF(SUMPRODUCT(($C$3:$C$267=$H$127)*($F$3:$F$267=12))=0,"",INDEX($D$3:$D$267,SUMPRODUCT(($C$3:$C$267=$H$127)*($F$3:$F$267=12)*(ROW($C$3:$C$267)-ROW($C$3)+1)))),"")</f>
        <v/>
      </c>
      <c r="J142" s="38" t="str">
        <f>IFERROR(IF(SUMPRODUCT(($C$3:$C$267=$H$127)*($F$3:$F$267=12))=0,"",INDEX($E$3:$E$267,SUMPRODUCT(($C$3:$C$267=$H$127)*($F$3:$F$267=12)*(ROW($C$3:$C$267)-ROW($C$3)+1)))),"")</f>
        <v/>
      </c>
      <c r="K142" s="33"/>
    </row>
    <row r="143" spans="1:11" ht="14.25" customHeight="1" x14ac:dyDescent="0.3">
      <c r="C143" s="12"/>
      <c r="D143" s="36"/>
      <c r="E143" s="12"/>
      <c r="H143" s="37" t="str">
        <f>IF(SUMPRODUCT(($C$3:$C$267=$H$127)*($F$3:$F$267=13))=0,"",INDEX($A$3:$A$267,SUMPRODUCT(($C$3:$C$267=$H$127)*($F$3:$F$267=13)*(ROW($C$3:$C$267)-ROW($C$3)+1))))</f>
        <v/>
      </c>
      <c r="I143" s="38" t="str">
        <f>IFERROR(IF(SUMPRODUCT(($C$3:$C$267=$H$127)*($F$3:$F$267=13))=0,"",INDEX($D$3:$D$267,SUMPRODUCT(($C$3:$C$267=$H$127)*($F$3:$F$267=13)*(ROW($C$3:$C$267)-ROW($C$3)+1)))),"")</f>
        <v/>
      </c>
      <c r="J143" s="38" t="str">
        <f>IFERROR(IF(SUMPRODUCT(($C$3:$C$267=$H$127)*($F$3:$F$267=13))=0,"",INDEX($E$3:$E$267,SUMPRODUCT(($C$3:$C$267=$H$127)*($F$3:$F$267=13)*(ROW($C$3:$C$267)-ROW($C$3)+1)))),"")</f>
        <v/>
      </c>
      <c r="K143" s="33"/>
    </row>
    <row r="144" spans="1:11" ht="15" customHeight="1" x14ac:dyDescent="0.3">
      <c r="C144" s="18" t="s">
        <v>1</v>
      </c>
      <c r="D144" s="20" t="s">
        <v>15</v>
      </c>
      <c r="E144" s="20" t="s">
        <v>16</v>
      </c>
      <c r="H144" s="37" t="str">
        <f>IF(SUMPRODUCT(($C$3:$C$267=$H$127)*($F$3:$F$267=14))=0,"",INDEX($A$3:$A$267,SUMPRODUCT(($C$3:$C$267=$H$127)*($F$3:$F$267=14)*(ROW($C$3:$C$267)-ROW($C$3)+1))))</f>
        <v/>
      </c>
      <c r="I144" s="38" t="str">
        <f>IFERROR(IF(SUMPRODUCT(($C$3:$C$267=$H$127)*($F$3:$F$267=14))=0,"",INDEX($D$3:$D$267,SUMPRODUCT(($C$3:$C$267=$H$127)*($F$3:$F$267=14)*(ROW($C$3:$C$267)-ROW($C$3)+1)))),"")</f>
        <v/>
      </c>
      <c r="J144" s="38" t="str">
        <f>IFERROR(IF(SUMPRODUCT(($C$3:$C$267=$H$127)*($F$3:$F$267=14))=0,"",INDEX($E$3:$E$267,SUMPRODUCT(($C$3:$C$267=$H$127)*($F$3:$F$267=14)*(ROW($C$3:$C$267)-ROW($C$3)+1)))),"")</f>
        <v/>
      </c>
      <c r="K144" s="33"/>
    </row>
    <row r="145" spans="1:11" ht="14.25" customHeight="1" x14ac:dyDescent="0.3">
      <c r="A145" s="21">
        <f t="shared" ref="A145:A151" si="17">$C$135</f>
        <v>46279</v>
      </c>
      <c r="B145" s="21"/>
      <c r="C145" s="22" t="s">
        <v>21</v>
      </c>
      <c r="D145" s="23">
        <v>6.02</v>
      </c>
      <c r="E145" s="24">
        <f t="shared" ref="E145:E151" si="18">D145*$D$142</f>
        <v>31.872802728823199</v>
      </c>
      <c r="F145">
        <f>IF($C145="","",COUNTIF($C$3:$C145,$C145))</f>
        <v>6</v>
      </c>
      <c r="H145" s="37" t="str">
        <f>IF(SUMPRODUCT(($C$3:$C$267=$H$127)*($F$3:$F$267=15))=0,"",INDEX($A$3:$A$267,SUMPRODUCT(($C$3:$C$267=$H$127)*($F$3:$F$267=15)*(ROW($C$3:$C$267)-ROW($C$3)+1))))</f>
        <v/>
      </c>
      <c r="I145" s="38" t="str">
        <f>IFERROR(IF(SUMPRODUCT(($C$3:$C$267=$H$127)*($F$3:$F$267=15))=0,"",INDEX($D$3:$D$267,SUMPRODUCT(($C$3:$C$267=$H$127)*($F$3:$F$267=15)*(ROW($C$3:$C$267)-ROW($C$3)+1)))),"")</f>
        <v/>
      </c>
      <c r="J145" s="38" t="str">
        <f>IFERROR(IF(SUMPRODUCT(($C$3:$C$267=$H$127)*($F$3:$F$267=15))=0,"",INDEX($E$3:$E$267,SUMPRODUCT(($C$3:$C$267=$H$127)*($F$3:$F$267=15)*(ROW($C$3:$C$267)-ROW($C$3)+1)))),"")</f>
        <v/>
      </c>
      <c r="K145" s="33"/>
    </row>
    <row r="146" spans="1:11" ht="14.25" customHeight="1" x14ac:dyDescent="0.3">
      <c r="A146" s="21">
        <f t="shared" si="17"/>
        <v>46279</v>
      </c>
      <c r="B146" s="21"/>
      <c r="C146" s="22" t="s">
        <v>10</v>
      </c>
      <c r="D146" s="23">
        <v>5.0599999999999996</v>
      </c>
      <c r="E146" s="24">
        <f t="shared" si="18"/>
        <v>26.790096645821492</v>
      </c>
      <c r="F146">
        <f>IF($C146="","",COUNTIF($C$3:$C146,$C146))</f>
        <v>6</v>
      </c>
      <c r="H146" s="37" t="str">
        <f>IF(SUMPRODUCT(($C$3:$C$267=$H$127)*($F$3:$F$267=16))=0,"",INDEX($A$3:$A$267,SUMPRODUCT(($C$3:$C$267=$H$127)*($F$3:$F$267=16)*(ROW($C$3:$C$267)-ROW($C$3)+1))))</f>
        <v/>
      </c>
      <c r="I146" s="38" t="str">
        <f>IFERROR(IF(SUMPRODUCT(($C$3:$C$267=$H$127)*($F$3:$F$267=16))=0,"",INDEX($D$3:$D$267,SUMPRODUCT(($C$3:$C$267=$H$127)*($F$3:$F$267=16)*(ROW($C$3:$C$267)-ROW($C$3)+1)))),"")</f>
        <v/>
      </c>
      <c r="J146" s="38" t="str">
        <f>IFERROR(IF(SUMPRODUCT(($C$3:$C$267=$H$127)*($F$3:$F$267=16))=0,"",INDEX($E$3:$E$267,SUMPRODUCT(($C$3:$C$267=$H$127)*($F$3:$F$267=16)*(ROW($C$3:$C$267)-ROW($C$3)+1)))),"")</f>
        <v/>
      </c>
      <c r="K146" s="33"/>
    </row>
    <row r="147" spans="1:11" ht="14.25" customHeight="1" x14ac:dyDescent="0.3">
      <c r="A147" s="21">
        <f t="shared" si="17"/>
        <v>46279</v>
      </c>
      <c r="B147" s="21"/>
      <c r="C147" s="22" t="s">
        <v>17</v>
      </c>
      <c r="D147" s="23">
        <v>6.51</v>
      </c>
      <c r="E147" s="24">
        <f t="shared" si="18"/>
        <v>34.467100625355322</v>
      </c>
      <c r="F147">
        <f>IF($C147="","",COUNTIF($C$3:$C147,$C147))</f>
        <v>5</v>
      </c>
      <c r="H147" s="34" t="str">
        <f>H12</f>
        <v>Michelle Osnovikov</v>
      </c>
      <c r="I147" s="14"/>
      <c r="J147" s="14"/>
      <c r="K147" s="33"/>
    </row>
    <row r="148" spans="1:11" ht="14.25" customHeight="1" x14ac:dyDescent="0.3">
      <c r="A148" s="21">
        <f t="shared" si="17"/>
        <v>46279</v>
      </c>
      <c r="B148" s="21"/>
      <c r="C148" s="22"/>
      <c r="D148" s="23"/>
      <c r="E148" s="24">
        <f t="shared" si="18"/>
        <v>0</v>
      </c>
      <c r="F148" t="str">
        <f>IF($C148="","",COUNTIF($C$3:$C148,$C148))</f>
        <v/>
      </c>
      <c r="H148" s="35" t="s">
        <v>26</v>
      </c>
      <c r="I148" s="32">
        <f>IFERROR(SUMIF($C$3:$C$267,H147,$D$3:$D$267),0)</f>
        <v>37.22</v>
      </c>
      <c r="J148" s="14"/>
      <c r="K148" s="33"/>
    </row>
    <row r="149" spans="1:11" ht="14.25" customHeight="1" x14ac:dyDescent="0.3">
      <c r="A149" s="21">
        <f t="shared" si="17"/>
        <v>46279</v>
      </c>
      <c r="B149" s="21"/>
      <c r="C149" s="22"/>
      <c r="D149" s="23"/>
      <c r="E149" s="24">
        <f t="shared" si="18"/>
        <v>0</v>
      </c>
      <c r="F149" t="str">
        <f>IF($C149="","",COUNTIF($C$3:$C149,$C149))</f>
        <v/>
      </c>
      <c r="H149" s="35" t="s">
        <v>27</v>
      </c>
      <c r="I149" s="32">
        <f>IFERROR(SUMIF($C$3:$C$267,H147,$E$3:$E$267),0)</f>
        <v>215.48428799371635</v>
      </c>
      <c r="J149" s="14"/>
      <c r="K149" s="33"/>
    </row>
    <row r="150" spans="1:11" ht="14.25" customHeight="1" x14ac:dyDescent="0.3">
      <c r="A150" s="21">
        <f t="shared" si="17"/>
        <v>46279</v>
      </c>
      <c r="B150" s="21"/>
      <c r="C150" s="22"/>
      <c r="D150" s="23"/>
      <c r="E150" s="24">
        <f t="shared" si="18"/>
        <v>0</v>
      </c>
      <c r="F150" t="str">
        <f>IF($C150="","",COUNTIF($C$3:$C150,$C150))</f>
        <v/>
      </c>
      <c r="H150" s="18" t="s">
        <v>28</v>
      </c>
      <c r="I150" s="20" t="s">
        <v>15</v>
      </c>
      <c r="J150" s="20" t="s">
        <v>16</v>
      </c>
      <c r="K150" s="33"/>
    </row>
    <row r="151" spans="1:11" ht="14.25" customHeight="1" x14ac:dyDescent="0.3">
      <c r="A151" s="21">
        <f t="shared" si="17"/>
        <v>46279</v>
      </c>
      <c r="B151" s="21"/>
      <c r="C151" s="22"/>
      <c r="D151" s="23"/>
      <c r="E151" s="24">
        <f t="shared" si="18"/>
        <v>0</v>
      </c>
      <c r="F151" t="str">
        <f>IF($C151="","",COUNTIF($C$3:$C151,$C151))</f>
        <v/>
      </c>
      <c r="H151" s="37">
        <f>IF(SUMPRODUCT(($C$3:$C$267=$H$147)*($F$3:$F$267=1))=0,"No entries yet",INDEX($A$3:$A$267,SUMPRODUCT(($C$3:$C$267=$H$147)*($F$3:$F$267=1)*(ROW($C$3:$C$267)-ROW($C$3)+1))))</f>
        <v>46272</v>
      </c>
      <c r="I151" s="38">
        <f>IFERROR(IF(SUMPRODUCT(($C$3:$C$267=$H$147)*($F$3:$F$267=1))=0,"",INDEX($D$3:$D$267,SUMPRODUCT(($C$3:$C$267=$H$147)*($F$3:$F$267=1)*(ROW($C$3:$C$267)-ROW($C$3)+1)))),"")</f>
        <v>5.89</v>
      </c>
      <c r="J151" s="38">
        <f>IFERROR(IF(SUMPRODUCT(($C$3:$C$267=$H$147)*($F$3:$F$267=1))=0,"",INDEX($E$3:$E$267,SUMPRODUCT(($C$3:$C$267=$H$147)*($F$3:$F$267=1)*(ROW($C$3:$C$267)-ROW($C$3)+1)))),"")</f>
        <v>47.378357442837135</v>
      </c>
      <c r="K151" s="33"/>
    </row>
    <row r="152" spans="1:11" ht="15" customHeight="1" x14ac:dyDescent="0.3">
      <c r="C152" s="25" t="s">
        <v>24</v>
      </c>
      <c r="D152" s="26"/>
      <c r="E152" s="27">
        <f>SUM(E145:E151)</f>
        <v>93.130000000000024</v>
      </c>
      <c r="H152" s="37">
        <f>IF(SUMPRODUCT(($C$3:$C$267=$H$147)*($F$3:$F$267=2))=0,"",INDEX($A$3:$A$267,SUMPRODUCT(($C$3:$C$267=$H$147)*($F$3:$F$267=2)*(ROW($C$3:$C$267)-ROW($C$3)+1))))</f>
        <v>46273</v>
      </c>
      <c r="I152" s="38">
        <f>IFERROR(IF(SUMPRODUCT(($C$3:$C$267=$H$147)*($F$3:$F$267=2))=0,"",INDEX($D$3:$D$267,SUMPRODUCT(($C$3:$C$267=$H$147)*($F$3:$F$267=2)*(ROW($C$3:$C$267)-ROW($C$3)+1)))),"")</f>
        <v>6.49</v>
      </c>
      <c r="J152" s="38">
        <f>IFERROR(IF(SUMPRODUCT(($C$3:$C$267=$H$147)*($F$3:$F$267=2))=0,"",INDEX($E$3:$E$267,SUMPRODUCT(($C$3:$C$267=$H$147)*($F$3:$F$267=2)*(ROW($C$3:$C$267)-ROW($C$3)+1)))),"")</f>
        <v>19.726787564766838</v>
      </c>
      <c r="K152" s="33"/>
    </row>
    <row r="153" spans="1:11" ht="15" customHeight="1" x14ac:dyDescent="0.3">
      <c r="H153" s="37">
        <f>IF(SUMPRODUCT(($C$3:$C$267=$H$147)*($F$3:$F$267=3))=0,"",INDEX($A$3:$A$267,SUMPRODUCT(($C$3:$C$267=$H$147)*($F$3:$F$267=3)*(ROW($C$3:$C$267)-ROW($C$3)+1))))</f>
        <v>46274</v>
      </c>
      <c r="I153" s="38">
        <f>IFERROR(IF(SUMPRODUCT(($C$3:$C$267=$H$147)*($F$3:$F$267=3))=0,"",INDEX($D$3:$D$267,SUMPRODUCT(($C$3:$C$267=$H$147)*($F$3:$F$267=3)*(ROW($C$3:$C$267)-ROW($C$3)+1)))),"")</f>
        <v>6.17</v>
      </c>
      <c r="J153" s="38">
        <f>IFERROR(IF(SUMPRODUCT(($C$3:$C$267=$H$147)*($F$3:$F$267=3))=0,"",INDEX($E$3:$E$267,SUMPRODUCT(($C$3:$C$267=$H$147)*($F$3:$F$267=3)*(ROW($C$3:$C$267)-ROW($C$3)+1)))),"")</f>
        <v>29.183486901535684</v>
      </c>
      <c r="K153" s="33"/>
    </row>
    <row r="154" spans="1:11" ht="15" customHeight="1" x14ac:dyDescent="0.3">
      <c r="C154" s="4">
        <v>46280</v>
      </c>
      <c r="D154" s="4"/>
      <c r="E154" s="4"/>
      <c r="H154" s="37">
        <f>IF(SUMPRODUCT(($C$3:$C$267=$H$147)*($F$3:$F$267=4))=0,"",INDEX($A$3:$A$267,SUMPRODUCT(($C$3:$C$267=$H$147)*($F$3:$F$267=4)*(ROW($C$3:$C$267)-ROW($C$3)+1))))</f>
        <v>46281</v>
      </c>
      <c r="I154" s="38">
        <f>IFERROR(IF(SUMPRODUCT(($C$3:$C$267=$H$147)*($F$3:$F$267=4))=0,"",INDEX($D$3:$D$267,SUMPRODUCT(($C$3:$C$267=$H$147)*($F$3:$F$267=4)*(ROW($C$3:$C$267)-ROW($C$3)+1)))),"")</f>
        <v>6.47</v>
      </c>
      <c r="J154" s="38">
        <f>IFERROR(IF(SUMPRODUCT(($C$3:$C$267=$H$147)*($F$3:$F$267=4))=0,"",INDEX($E$3:$E$267,SUMPRODUCT(($C$3:$C$267=$H$147)*($F$3:$F$267=4)*(ROW($C$3:$C$267)-ROW($C$3)+1)))),"")</f>
        <v>16.744765166340507</v>
      </c>
      <c r="K154" s="33"/>
    </row>
    <row r="155" spans="1:11" ht="15" customHeight="1" x14ac:dyDescent="0.3">
      <c r="C155" s="28"/>
      <c r="E155" s="29"/>
      <c r="H155" s="37">
        <f>IF(SUMPRODUCT(($C$3:$C$267=$H$147)*($F$3:$F$267=5))=0,"",INDEX($A$3:$A$267,SUMPRODUCT(($C$3:$C$267=$H$147)*($F$3:$F$267=5)*(ROW($C$3:$C$267)-ROW($C$3)+1))))</f>
        <v>46282</v>
      </c>
      <c r="I155" s="38">
        <f>IFERROR(IF(SUMPRODUCT(($C$3:$C$267=$H$147)*($F$3:$F$267=5))=0,"",INDEX($D$3:$D$267,SUMPRODUCT(($C$3:$C$267=$H$147)*($F$3:$F$267=5)*(ROW($C$3:$C$267)-ROW($C$3)+1)))),"")</f>
        <v>5.95</v>
      </c>
      <c r="J155" s="38">
        <f>IFERROR(IF(SUMPRODUCT(($C$3:$C$267=$H$147)*($F$3:$F$267=5))=0,"",INDEX($E$3:$E$267,SUMPRODUCT(($C$3:$C$267=$H$147)*($F$3:$F$267=5)*(ROW($C$3:$C$267)-ROW($C$3)+1)))),"")</f>
        <v>30.581456367924527</v>
      </c>
      <c r="K155" s="33"/>
    </row>
    <row r="156" spans="1:11" ht="14.25" customHeight="1" x14ac:dyDescent="0.3">
      <c r="C156" s="10" t="s">
        <v>5</v>
      </c>
      <c r="D156" s="11">
        <v>100.69</v>
      </c>
      <c r="E156" s="12"/>
      <c r="H156" s="37">
        <f>IF(SUMPRODUCT(($C$3:$C$267=$H$147)*($F$3:$F$267=6))=0,"",INDEX($A$3:$A$267,SUMPRODUCT(($C$3:$C$267=$H$147)*($F$3:$F$267=6)*(ROW($C$3:$C$267)-ROW($C$3)+1))))</f>
        <v>46284</v>
      </c>
      <c r="I156" s="38">
        <f>IFERROR(IF(SUMPRODUCT(($C$3:$C$267=$H$147)*($F$3:$F$267=6))=0,"",INDEX($D$3:$D$267,SUMPRODUCT(($C$3:$C$267=$H$147)*($F$3:$F$267=6)*(ROW($C$3:$C$267)-ROW($C$3)+1)))),"")</f>
        <v>6.25</v>
      </c>
      <c r="J156" s="38">
        <f>IFERROR(IF(SUMPRODUCT(($C$3:$C$267=$H$147)*($F$3:$F$267=6))=0,"",INDEX($E$3:$E$267,SUMPRODUCT(($C$3:$C$267=$H$147)*($F$3:$F$267=6)*(ROW($C$3:$C$267)-ROW($C$3)+1)))),"")</f>
        <v>71.869434550311681</v>
      </c>
      <c r="K156" s="33"/>
    </row>
    <row r="157" spans="1:11" ht="14.25" customHeight="1" x14ac:dyDescent="0.3">
      <c r="C157" s="10" t="s">
        <v>7</v>
      </c>
      <c r="D157" s="15"/>
      <c r="E157" s="16"/>
      <c r="H157" s="37" t="str">
        <f>IF(SUMPRODUCT(($C$3:$C$267=$H$147)*($F$3:$F$267=7))=0,"",INDEX($A$3:$A$267,SUMPRODUCT(($C$3:$C$267=$H$147)*($F$3:$F$267=7)*(ROW($C$3:$C$267)-ROW($C$3)+1))))</f>
        <v/>
      </c>
      <c r="I157" s="38" t="str">
        <f>IFERROR(IF(SUMPRODUCT(($C$3:$C$267=$H$147)*($F$3:$F$267=7))=0,"",INDEX($D$3:$D$267,SUMPRODUCT(($C$3:$C$267=$H$147)*($F$3:$F$267=7)*(ROW($C$3:$C$267)-ROW($C$3)+1)))),"")</f>
        <v/>
      </c>
      <c r="J157" s="38" t="str">
        <f>IFERROR(IF(SUMPRODUCT(($C$3:$C$267=$H$147)*($F$3:$F$267=7))=0,"",INDEX($E$3:$E$267,SUMPRODUCT(($C$3:$C$267=$H$147)*($F$3:$F$267=7)*(ROW($C$3:$C$267)-ROW($C$3)+1)))),"")</f>
        <v/>
      </c>
      <c r="K157" s="33"/>
    </row>
    <row r="158" spans="1:11" ht="14.25" customHeight="1" x14ac:dyDescent="0.3">
      <c r="C158" s="10" t="s">
        <v>9</v>
      </c>
      <c r="D158" s="10"/>
      <c r="E158" s="12"/>
      <c r="H158" s="37" t="str">
        <f>IF(SUMPRODUCT(($C$3:$C$267=$H$147)*($F$3:$F$267=8))=0,"",INDEX($A$3:$A$267,SUMPRODUCT(($C$3:$C$267=$H$147)*($F$3:$F$267=8)*(ROW($C$3:$C$267)-ROW($C$3)+1))))</f>
        <v/>
      </c>
      <c r="I158" s="38" t="str">
        <f>IFERROR(IF(SUMPRODUCT(($C$3:$C$267=$H$147)*($F$3:$F$267=8))=0,"",INDEX($D$3:$D$267,SUMPRODUCT(($C$3:$C$267=$H$147)*($F$3:$F$267=8)*(ROW($C$3:$C$267)-ROW($C$3)+1)))),"")</f>
        <v/>
      </c>
      <c r="J158" s="38" t="str">
        <f>IFERROR(IF(SUMPRODUCT(($C$3:$C$267=$H$147)*($F$3:$F$267=8))=0,"",INDEX($E$3:$E$267,SUMPRODUCT(($C$3:$C$267=$H$147)*($F$3:$F$267=8)*(ROW($C$3:$C$267)-ROW($C$3)+1)))),"")</f>
        <v/>
      </c>
      <c r="K158" s="33"/>
    </row>
    <row r="159" spans="1:11" ht="14.25" customHeight="1" x14ac:dyDescent="0.3">
      <c r="C159" s="10" t="s">
        <v>2</v>
      </c>
      <c r="D159" s="17">
        <f>SUM(D156:D158)</f>
        <v>100.69</v>
      </c>
      <c r="E159" s="12"/>
      <c r="H159" s="37" t="str">
        <f>IF(SUMPRODUCT(($C$3:$C$267=$H$147)*($F$3:$F$267=9))=0,"",INDEX($A$3:$A$267,SUMPRODUCT(($C$3:$C$267=$H$147)*($F$3:$F$267=9)*(ROW($C$3:$C$267)-ROW($C$3)+1))))</f>
        <v/>
      </c>
      <c r="I159" s="38" t="str">
        <f>IFERROR(IF(SUMPRODUCT(($C$3:$C$267=$H$147)*($F$3:$F$267=9))=0,"",INDEX($D$3:$D$267,SUMPRODUCT(($C$3:$C$267=$H$147)*($F$3:$F$267=9)*(ROW($C$3:$C$267)-ROW($C$3)+1)))),"")</f>
        <v/>
      </c>
      <c r="J159" s="38" t="str">
        <f>IFERROR(IF(SUMPRODUCT(($C$3:$C$267=$H$147)*($F$3:$F$267=9))=0,"",INDEX($E$3:$E$267,SUMPRODUCT(($C$3:$C$267=$H$147)*($F$3:$F$267=9)*(ROW($C$3:$C$267)-ROW($C$3)+1)))),"")</f>
        <v/>
      </c>
      <c r="K159" s="33"/>
    </row>
    <row r="160" spans="1:11" ht="14.25" customHeight="1" x14ac:dyDescent="0.3">
      <c r="C160" s="10" t="s">
        <v>3</v>
      </c>
      <c r="D160" s="10">
        <f>SUM(D164:D170)</f>
        <v>16.93</v>
      </c>
      <c r="E160" s="12"/>
      <c r="H160" s="37" t="str">
        <f>IF(SUMPRODUCT(($C$3:$C$267=$H$147)*($F$3:$F$267=10))=0,"",INDEX($A$3:$A$267,SUMPRODUCT(($C$3:$C$267=$H$147)*($F$3:$F$267=10)*(ROW($C$3:$C$267)-ROW($C$3)+1))))</f>
        <v/>
      </c>
      <c r="I160" s="38" t="str">
        <f>IFERROR(IF(SUMPRODUCT(($C$3:$C$267=$H$147)*($F$3:$F$267=10))=0,"",INDEX($D$3:$D$267,SUMPRODUCT(($C$3:$C$267=$H$147)*($F$3:$F$267=10)*(ROW($C$3:$C$267)-ROW($C$3)+1)))),"")</f>
        <v/>
      </c>
      <c r="J160" s="38" t="str">
        <f>IFERROR(IF(SUMPRODUCT(($C$3:$C$267=$H$147)*($F$3:$F$267=10))=0,"",INDEX($E$3:$E$267,SUMPRODUCT(($C$3:$C$267=$H$147)*($F$3:$F$267=10)*(ROW($C$3:$C$267)-ROW($C$3)+1)))),"")</f>
        <v/>
      </c>
      <c r="K160" s="33"/>
    </row>
    <row r="161" spans="1:11" ht="14.25" customHeight="1" x14ac:dyDescent="0.3">
      <c r="C161" s="10" t="s">
        <v>13</v>
      </c>
      <c r="D161" s="17">
        <f>D159/D160</f>
        <v>5.9474305965741285</v>
      </c>
      <c r="E161" s="12"/>
      <c r="H161" s="37" t="str">
        <f>IF(SUMPRODUCT(($C$3:$C$267=$H$147)*($F$3:$F$267=11))=0,"",INDEX($A$3:$A$267,SUMPRODUCT(($C$3:$C$267=$H$147)*($F$3:$F$267=11)*(ROW($C$3:$C$267)-ROW($C$3)+1))))</f>
        <v/>
      </c>
      <c r="I161" s="38" t="str">
        <f>IFERROR(IF(SUMPRODUCT(($C$3:$C$267=$H$147)*($F$3:$F$267=11))=0,"",INDEX($D$3:$D$267,SUMPRODUCT(($C$3:$C$267=$H$147)*($F$3:$F$267=11)*(ROW($C$3:$C$267)-ROW($C$3)+1)))),"")</f>
        <v/>
      </c>
      <c r="J161" s="38" t="str">
        <f>IFERROR(IF(SUMPRODUCT(($C$3:$C$267=$H$147)*($F$3:$F$267=11))=0,"",INDEX($E$3:$E$267,SUMPRODUCT(($C$3:$C$267=$H$147)*($F$3:$F$267=11)*(ROW($C$3:$C$267)-ROW($C$3)+1)))),"")</f>
        <v/>
      </c>
      <c r="K161" s="33"/>
    </row>
    <row r="162" spans="1:11" ht="14.25" customHeight="1" x14ac:dyDescent="0.3">
      <c r="C162" s="12"/>
      <c r="D162" s="36"/>
      <c r="E162" s="12"/>
      <c r="H162" s="37" t="str">
        <f>IF(SUMPRODUCT(($C$3:$C$267=$H$147)*($F$3:$F$267=12))=0,"",INDEX($A$3:$A$267,SUMPRODUCT(($C$3:$C$267=$H$147)*($F$3:$F$267=12)*(ROW($C$3:$C$267)-ROW($C$3)+1))))</f>
        <v/>
      </c>
      <c r="I162" s="38" t="str">
        <f>IFERROR(IF(SUMPRODUCT(($C$3:$C$267=$H$147)*($F$3:$F$267=12))=0,"",INDEX($D$3:$D$267,SUMPRODUCT(($C$3:$C$267=$H$147)*($F$3:$F$267=12)*(ROW($C$3:$C$267)-ROW($C$3)+1)))),"")</f>
        <v/>
      </c>
      <c r="J162" s="38" t="str">
        <f>IFERROR(IF(SUMPRODUCT(($C$3:$C$267=$H$147)*($F$3:$F$267=12))=0,"",INDEX($E$3:$E$267,SUMPRODUCT(($C$3:$C$267=$H$147)*($F$3:$F$267=12)*(ROW($C$3:$C$267)-ROW($C$3)+1)))),"")</f>
        <v/>
      </c>
      <c r="K162" s="33"/>
    </row>
    <row r="163" spans="1:11" ht="15" customHeight="1" x14ac:dyDescent="0.3">
      <c r="C163" s="18" t="s">
        <v>1</v>
      </c>
      <c r="D163" s="20" t="s">
        <v>15</v>
      </c>
      <c r="E163" s="20" t="s">
        <v>16</v>
      </c>
      <c r="H163" s="37" t="str">
        <f>IF(SUMPRODUCT(($C$3:$C$267=$H$147)*($F$3:$F$267=13))=0,"",INDEX($A$3:$A$267,SUMPRODUCT(($C$3:$C$267=$H$147)*($F$3:$F$267=13)*(ROW($C$3:$C$267)-ROW($C$3)+1))))</f>
        <v/>
      </c>
      <c r="I163" s="38" t="str">
        <f>IFERROR(IF(SUMPRODUCT(($C$3:$C$267=$H$147)*($F$3:$F$267=13))=0,"",INDEX($D$3:$D$267,SUMPRODUCT(($C$3:$C$267=$H$147)*($F$3:$F$267=13)*(ROW($C$3:$C$267)-ROW($C$3)+1)))),"")</f>
        <v/>
      </c>
      <c r="J163" s="38" t="str">
        <f>IFERROR(IF(SUMPRODUCT(($C$3:$C$267=$H$147)*($F$3:$F$267=13))=0,"",INDEX($E$3:$E$267,SUMPRODUCT(($C$3:$C$267=$H$147)*($F$3:$F$267=13)*(ROW($C$3:$C$267)-ROW($C$3)+1)))),"")</f>
        <v/>
      </c>
      <c r="K163" s="33"/>
    </row>
    <row r="164" spans="1:11" ht="14.25" customHeight="1" x14ac:dyDescent="0.3">
      <c r="A164" s="21">
        <f t="shared" ref="A164:A170" si="19">$C$154</f>
        <v>46280</v>
      </c>
      <c r="B164" s="21"/>
      <c r="C164" s="22" t="s">
        <v>10</v>
      </c>
      <c r="D164" s="23">
        <v>4.92</v>
      </c>
      <c r="E164" s="24">
        <f t="shared" ref="E164:E170" si="20">D164*$D$161</f>
        <v>29.261358535144712</v>
      </c>
      <c r="F164">
        <f>IF($C164="","",COUNTIF($C$3:$C164,$C164))</f>
        <v>7</v>
      </c>
      <c r="H164" s="37" t="str">
        <f>IF(SUMPRODUCT(($C$3:$C$267=$H$147)*($F$3:$F$267=14))=0,"",INDEX($A$3:$A$267,SUMPRODUCT(($C$3:$C$267=$H$147)*($F$3:$F$267=14)*(ROW($C$3:$C$267)-ROW($C$3)+1))))</f>
        <v/>
      </c>
      <c r="I164" s="38" t="str">
        <f>IFERROR(IF(SUMPRODUCT(($C$3:$C$267=$H$147)*($F$3:$F$267=14))=0,"",INDEX($D$3:$D$267,SUMPRODUCT(($C$3:$C$267=$H$147)*($F$3:$F$267=14)*(ROW($C$3:$C$267)-ROW($C$3)+1)))),"")</f>
        <v/>
      </c>
      <c r="J164" s="38" t="str">
        <f>IFERROR(IF(SUMPRODUCT(($C$3:$C$267=$H$147)*($F$3:$F$267=14))=0,"",INDEX($E$3:$E$267,SUMPRODUCT(($C$3:$C$267=$H$147)*($F$3:$F$267=14)*(ROW($C$3:$C$267)-ROW($C$3)+1)))),"")</f>
        <v/>
      </c>
      <c r="K164" s="33"/>
    </row>
    <row r="165" spans="1:11" ht="14.25" customHeight="1" x14ac:dyDescent="0.3">
      <c r="A165" s="21">
        <f t="shared" si="19"/>
        <v>46280</v>
      </c>
      <c r="B165" s="21"/>
      <c r="C165" s="22" t="s">
        <v>17</v>
      </c>
      <c r="D165" s="23">
        <v>5.92</v>
      </c>
      <c r="E165" s="24">
        <f t="shared" si="20"/>
        <v>35.208789131718838</v>
      </c>
      <c r="F165">
        <f>IF($C165="","",COUNTIF($C$3:$C165,$C165))</f>
        <v>6</v>
      </c>
      <c r="H165" s="37" t="str">
        <f>IF(SUMPRODUCT(($C$3:$C$267=$H$147)*($F$3:$F$267=15))=0,"",INDEX($A$3:$A$267,SUMPRODUCT(($C$3:$C$267=$H$147)*($F$3:$F$267=15)*(ROW($C$3:$C$267)-ROW($C$3)+1))))</f>
        <v/>
      </c>
      <c r="I165" s="38" t="str">
        <f>IFERROR(IF(SUMPRODUCT(($C$3:$C$267=$H$147)*($F$3:$F$267=15))=0,"",INDEX($D$3:$D$267,SUMPRODUCT(($C$3:$C$267=$H$147)*($F$3:$F$267=15)*(ROW($C$3:$C$267)-ROW($C$3)+1)))),"")</f>
        <v/>
      </c>
      <c r="J165" s="38" t="str">
        <f>IFERROR(IF(SUMPRODUCT(($C$3:$C$267=$H$147)*($F$3:$F$267=15))=0,"",INDEX($E$3:$E$267,SUMPRODUCT(($C$3:$C$267=$H$147)*($F$3:$F$267=15)*(ROW($C$3:$C$267)-ROW($C$3)+1)))),"")</f>
        <v/>
      </c>
      <c r="K165" s="33"/>
    </row>
    <row r="166" spans="1:11" ht="14.25" customHeight="1" x14ac:dyDescent="0.3">
      <c r="A166" s="21">
        <f t="shared" si="19"/>
        <v>46280</v>
      </c>
      <c r="B166" s="21"/>
      <c r="C166" s="22" t="s">
        <v>21</v>
      </c>
      <c r="D166" s="23">
        <v>6.09</v>
      </c>
      <c r="E166" s="24">
        <f t="shared" si="20"/>
        <v>36.219852333136444</v>
      </c>
      <c r="F166">
        <f>IF($C166="","",COUNTIF($C$3:$C166,$C166))</f>
        <v>7</v>
      </c>
      <c r="H166" s="37" t="str">
        <f>IF(SUMPRODUCT(($C$3:$C$267=$H$147)*($F$3:$F$267=16))=0,"",INDEX($A$3:$A$267,SUMPRODUCT(($C$3:$C$267=$H$147)*($F$3:$F$267=16)*(ROW($C$3:$C$267)-ROW($C$3)+1))))</f>
        <v/>
      </c>
      <c r="I166" s="38" t="str">
        <f>IFERROR(IF(SUMPRODUCT(($C$3:$C$267=$H$147)*($F$3:$F$267=16))=0,"",INDEX($D$3:$D$267,SUMPRODUCT(($C$3:$C$267=$H$147)*($F$3:$F$267=16)*(ROW($C$3:$C$267)-ROW($C$3)+1)))),"")</f>
        <v/>
      </c>
      <c r="J166" s="38" t="str">
        <f>IFERROR(IF(SUMPRODUCT(($C$3:$C$267=$H$147)*($F$3:$F$267=16))=0,"",INDEX($E$3:$E$267,SUMPRODUCT(($C$3:$C$267=$H$147)*($F$3:$F$267=16)*(ROW($C$3:$C$267)-ROW($C$3)+1)))),"")</f>
        <v/>
      </c>
      <c r="K166" s="33"/>
    </row>
    <row r="167" spans="1:11" ht="14.25" customHeight="1" x14ac:dyDescent="0.3">
      <c r="A167" s="21">
        <f t="shared" si="19"/>
        <v>46280</v>
      </c>
      <c r="B167" s="21"/>
      <c r="C167" s="22"/>
      <c r="D167" s="23"/>
      <c r="E167" s="24">
        <f t="shared" si="20"/>
        <v>0</v>
      </c>
      <c r="F167" t="str">
        <f>IF($C167="","",COUNTIF($C$3:$C167,$C167))</f>
        <v/>
      </c>
      <c r="H167" s="34" t="str">
        <f>H13</f>
        <v>Mikaela Sosa Fuentes</v>
      </c>
      <c r="I167" s="14"/>
      <c r="J167" s="14"/>
      <c r="K167" s="33"/>
    </row>
    <row r="168" spans="1:11" ht="14.25" customHeight="1" x14ac:dyDescent="0.3">
      <c r="A168" s="21">
        <f t="shared" si="19"/>
        <v>46280</v>
      </c>
      <c r="B168" s="21"/>
      <c r="C168" s="22"/>
      <c r="D168" s="23"/>
      <c r="E168" s="24">
        <f t="shared" si="20"/>
        <v>0</v>
      </c>
      <c r="F168" t="str">
        <f>IF($C168="","",COUNTIF($C$3:$C168,$C168))</f>
        <v/>
      </c>
      <c r="H168" s="35" t="s">
        <v>26</v>
      </c>
      <c r="I168" s="32">
        <f>IFERROR(SUMIF($C$3:$C$267,H167,$D$3:$D$267),0)</f>
        <v>4.8099999999999996</v>
      </c>
      <c r="J168" s="14"/>
      <c r="K168" s="33"/>
    </row>
    <row r="169" spans="1:11" ht="14.25" customHeight="1" x14ac:dyDescent="0.3">
      <c r="A169" s="21">
        <f t="shared" si="19"/>
        <v>46280</v>
      </c>
      <c r="B169" s="21"/>
      <c r="C169" s="22"/>
      <c r="D169" s="23"/>
      <c r="E169" s="24">
        <f t="shared" si="20"/>
        <v>0</v>
      </c>
      <c r="F169" t="str">
        <f>IF($C169="","",COUNTIF($C$3:$C169,$C169))</f>
        <v/>
      </c>
      <c r="H169" s="35" t="s">
        <v>27</v>
      </c>
      <c r="I169" s="32">
        <f>IFERROR(SUMIF($C$3:$C$267,H167,$E$3:$E$267),0)</f>
        <v>14.620315591144605</v>
      </c>
      <c r="J169" s="14"/>
      <c r="K169" s="33"/>
    </row>
    <row r="170" spans="1:11" ht="14.25" customHeight="1" x14ac:dyDescent="0.3">
      <c r="A170" s="21">
        <f t="shared" si="19"/>
        <v>46280</v>
      </c>
      <c r="B170" s="21"/>
      <c r="C170" s="22"/>
      <c r="D170" s="23"/>
      <c r="E170" s="24">
        <f t="shared" si="20"/>
        <v>0</v>
      </c>
      <c r="F170" t="str">
        <f>IF($C170="","",COUNTIF($C$3:$C170,$C170))</f>
        <v/>
      </c>
      <c r="H170" s="18" t="s">
        <v>28</v>
      </c>
      <c r="I170" s="20" t="s">
        <v>15</v>
      </c>
      <c r="J170" s="20" t="s">
        <v>16</v>
      </c>
      <c r="K170" s="33"/>
    </row>
    <row r="171" spans="1:11" ht="15" customHeight="1" x14ac:dyDescent="0.3">
      <c r="C171" s="25" t="s">
        <v>24</v>
      </c>
      <c r="D171" s="26"/>
      <c r="E171" s="27">
        <f>SUM(E164:E170)</f>
        <v>100.69</v>
      </c>
      <c r="H171" s="37">
        <f>IF(SUMPRODUCT(($C$3:$C$267=$H$167)*($F$3:$F$267=1))=0,"No entries yet",INDEX($A$3:$A$267,SUMPRODUCT(($C$3:$C$267=$H$167)*($F$3:$F$267=1)*(ROW($C$3:$C$267)-ROW($C$3)+1))))</f>
        <v>46273</v>
      </c>
      <c r="I171" s="38">
        <f>IFERROR(IF(SUMPRODUCT(($C$3:$C$267=$H$167)*($F$3:$F$267=1))=0,"",INDEX($D$3:$D$267,SUMPRODUCT(($C$3:$C$267=$H$167)*($F$3:$F$267=1)*(ROW($C$3:$C$267)-ROW($C$3)+1)))),"")</f>
        <v>4.8099999999999996</v>
      </c>
      <c r="J171" s="38">
        <f>IFERROR(IF(SUMPRODUCT(($C$3:$C$267=$H$167)*($F$3:$F$267=1))=0,"",INDEX($E$3:$E$267,SUMPRODUCT(($C$3:$C$267=$H$167)*($F$3:$F$267=1)*(ROW($C$3:$C$267)-ROW($C$3)+1)))),"")</f>
        <v>14.620315591144605</v>
      </c>
      <c r="K171" s="33"/>
    </row>
    <row r="172" spans="1:11" ht="15" customHeight="1" x14ac:dyDescent="0.3">
      <c r="H172" s="37" t="str">
        <f>IF(SUMPRODUCT(($C$3:$C$267=$H$167)*($F$3:$F$267=2))=0,"",INDEX($A$3:$A$267,SUMPRODUCT(($C$3:$C$267=$H$167)*($F$3:$F$267=2)*(ROW($C$3:$C$267)-ROW($C$3)+1))))</f>
        <v/>
      </c>
      <c r="I172" s="38" t="str">
        <f>IFERROR(IF(SUMPRODUCT(($C$3:$C$267=$H$167)*($F$3:$F$267=2))=0,"",INDEX($D$3:$D$267,SUMPRODUCT(($C$3:$C$267=$H$167)*($F$3:$F$267=2)*(ROW($C$3:$C$267)-ROW($C$3)+1)))),"")</f>
        <v/>
      </c>
      <c r="J172" s="38" t="str">
        <f>IFERROR(IF(SUMPRODUCT(($C$3:$C$267=$H$167)*($F$3:$F$267=2))=0,"",INDEX($E$3:$E$267,SUMPRODUCT(($C$3:$C$267=$H$167)*($F$3:$F$267=2)*(ROW($C$3:$C$267)-ROW($C$3)+1)))),"")</f>
        <v/>
      </c>
      <c r="K172" s="33"/>
    </row>
    <row r="173" spans="1:11" ht="15" customHeight="1" x14ac:dyDescent="0.3">
      <c r="C173" s="4">
        <v>46281</v>
      </c>
      <c r="D173" s="4"/>
      <c r="E173" s="4"/>
      <c r="H173" s="37" t="str">
        <f>IF(SUMPRODUCT(($C$3:$C$267=$H$167)*($F$3:$F$267=3))=0,"",INDEX($A$3:$A$267,SUMPRODUCT(($C$3:$C$267=$H$167)*($F$3:$F$267=3)*(ROW($C$3:$C$267)-ROW($C$3)+1))))</f>
        <v/>
      </c>
      <c r="I173" s="38" t="str">
        <f>IFERROR(IF(SUMPRODUCT(($C$3:$C$267=$H$167)*($F$3:$F$267=3))=0,"",INDEX($D$3:$D$267,SUMPRODUCT(($C$3:$C$267=$H$167)*($F$3:$F$267=3)*(ROW($C$3:$C$267)-ROW($C$3)+1)))),"")</f>
        <v/>
      </c>
      <c r="J173" s="38" t="str">
        <f>IFERROR(IF(SUMPRODUCT(($C$3:$C$267=$H$167)*($F$3:$F$267=3))=0,"",INDEX($E$3:$E$267,SUMPRODUCT(($C$3:$C$267=$H$167)*($F$3:$F$267=3)*(ROW($C$3:$C$267)-ROW($C$3)+1)))),"")</f>
        <v/>
      </c>
      <c r="K173" s="33"/>
    </row>
    <row r="174" spans="1:11" ht="15" customHeight="1" x14ac:dyDescent="0.3">
      <c r="C174" s="28"/>
      <c r="E174" s="29"/>
      <c r="H174" s="37" t="str">
        <f>IF(SUMPRODUCT(($C$3:$C$267=$H$167)*($F$3:$F$267=4))=0,"",INDEX($A$3:$A$267,SUMPRODUCT(($C$3:$C$267=$H$167)*($F$3:$F$267=4)*(ROW($C$3:$C$267)-ROW($C$3)+1))))</f>
        <v/>
      </c>
      <c r="I174" s="38" t="str">
        <f>IFERROR(IF(SUMPRODUCT(($C$3:$C$267=$H$167)*($F$3:$F$267=4))=0,"",INDEX($D$3:$D$267,SUMPRODUCT(($C$3:$C$267=$H$167)*($F$3:$F$267=4)*(ROW($C$3:$C$267)-ROW($C$3)+1)))),"")</f>
        <v/>
      </c>
      <c r="J174" s="38" t="str">
        <f>IFERROR(IF(SUMPRODUCT(($C$3:$C$267=$H$167)*($F$3:$F$267=4))=0,"",INDEX($E$3:$E$267,SUMPRODUCT(($C$3:$C$267=$H$167)*($F$3:$F$267=4)*(ROW($C$3:$C$267)-ROW($C$3)+1)))),"")</f>
        <v/>
      </c>
      <c r="K174" s="33"/>
    </row>
    <row r="175" spans="1:11" ht="14.25" customHeight="1" x14ac:dyDescent="0.3">
      <c r="C175" s="10" t="s">
        <v>5</v>
      </c>
      <c r="D175" s="11">
        <v>52.9</v>
      </c>
      <c r="E175" s="12"/>
      <c r="H175" s="37" t="str">
        <f>IF(SUMPRODUCT(($C$3:$C$267=$H$167)*($F$3:$F$267=5))=0,"",INDEX($A$3:$A$267,SUMPRODUCT(($C$3:$C$267=$H$167)*($F$3:$F$267=5)*(ROW($C$3:$C$267)-ROW($C$3)+1))))</f>
        <v/>
      </c>
      <c r="I175" s="38" t="str">
        <f>IFERROR(IF(SUMPRODUCT(($C$3:$C$267=$H$167)*($F$3:$F$267=5))=0,"",INDEX($D$3:$D$267,SUMPRODUCT(($C$3:$C$267=$H$167)*($F$3:$F$267=5)*(ROW($C$3:$C$267)-ROW($C$3)+1)))),"")</f>
        <v/>
      </c>
      <c r="J175" s="38" t="str">
        <f>IFERROR(IF(SUMPRODUCT(($C$3:$C$267=$H$167)*($F$3:$F$267=5))=0,"",INDEX($E$3:$E$267,SUMPRODUCT(($C$3:$C$267=$H$167)*($F$3:$F$267=5)*(ROW($C$3:$C$267)-ROW($C$3)+1)))),"")</f>
        <v/>
      </c>
      <c r="K175" s="33"/>
    </row>
    <row r="176" spans="1:11" ht="14.25" customHeight="1" x14ac:dyDescent="0.3">
      <c r="C176" s="10" t="s">
        <v>7</v>
      </c>
      <c r="D176" s="15"/>
      <c r="E176" s="16"/>
      <c r="H176" s="37" t="str">
        <f>IF(SUMPRODUCT(($C$3:$C$267=$H$167)*($F$3:$F$267=6))=0,"",INDEX($A$3:$A$267,SUMPRODUCT(($C$3:$C$267=$H$167)*($F$3:$F$267=6)*(ROW($C$3:$C$267)-ROW($C$3)+1))))</f>
        <v/>
      </c>
      <c r="I176" s="38" t="str">
        <f>IFERROR(IF(SUMPRODUCT(($C$3:$C$267=$H$167)*($F$3:$F$267=6))=0,"",INDEX($D$3:$D$267,SUMPRODUCT(($C$3:$C$267=$H$167)*($F$3:$F$267=6)*(ROW($C$3:$C$267)-ROW($C$3)+1)))),"")</f>
        <v/>
      </c>
      <c r="J176" s="38" t="str">
        <f>IFERROR(IF(SUMPRODUCT(($C$3:$C$267=$H$167)*($F$3:$F$267=6))=0,"",INDEX($E$3:$E$267,SUMPRODUCT(($C$3:$C$267=$H$167)*($F$3:$F$267=6)*(ROW($C$3:$C$267)-ROW($C$3)+1)))),"")</f>
        <v/>
      </c>
      <c r="K176" s="33"/>
    </row>
    <row r="177" spans="1:11" ht="14.25" customHeight="1" x14ac:dyDescent="0.3">
      <c r="C177" s="10" t="s">
        <v>9</v>
      </c>
      <c r="D177" s="10"/>
      <c r="E177" s="12"/>
      <c r="H177" s="37" t="str">
        <f>IF(SUMPRODUCT(($C$3:$C$267=$H$167)*($F$3:$F$267=7))=0,"",INDEX($A$3:$A$267,SUMPRODUCT(($C$3:$C$267=$H$167)*($F$3:$F$267=7)*(ROW($C$3:$C$267)-ROW($C$3)+1))))</f>
        <v/>
      </c>
      <c r="I177" s="38" t="str">
        <f>IFERROR(IF(SUMPRODUCT(($C$3:$C$267=$H$167)*($F$3:$F$267=7))=0,"",INDEX($D$3:$D$267,SUMPRODUCT(($C$3:$C$267=$H$167)*($F$3:$F$267=7)*(ROW($C$3:$C$267)-ROW($C$3)+1)))),"")</f>
        <v/>
      </c>
      <c r="J177" s="38" t="str">
        <f>IFERROR(IF(SUMPRODUCT(($C$3:$C$267=$H$167)*($F$3:$F$267=7))=0,"",INDEX($E$3:$E$267,SUMPRODUCT(($C$3:$C$267=$H$167)*($F$3:$F$267=7)*(ROW($C$3:$C$267)-ROW($C$3)+1)))),"")</f>
        <v/>
      </c>
      <c r="K177" s="33"/>
    </row>
    <row r="178" spans="1:11" ht="14.25" customHeight="1" x14ac:dyDescent="0.3">
      <c r="C178" s="10" t="s">
        <v>2</v>
      </c>
      <c r="D178" s="17">
        <f>SUM(D175:D177)</f>
        <v>52.9</v>
      </c>
      <c r="E178" s="12"/>
      <c r="H178" s="37" t="str">
        <f>IF(SUMPRODUCT(($C$3:$C$267=$H$167)*($F$3:$F$267=8))=0,"",INDEX($A$3:$A$267,SUMPRODUCT(($C$3:$C$267=$H$167)*($F$3:$F$267=8)*(ROW($C$3:$C$267)-ROW($C$3)+1))))</f>
        <v/>
      </c>
      <c r="I178" s="38" t="str">
        <f>IFERROR(IF(SUMPRODUCT(($C$3:$C$267=$H$167)*($F$3:$F$267=8))=0,"",INDEX($D$3:$D$267,SUMPRODUCT(($C$3:$C$267=$H$167)*($F$3:$F$267=8)*(ROW($C$3:$C$267)-ROW($C$3)+1)))),"")</f>
        <v/>
      </c>
      <c r="J178" s="38" t="str">
        <f>IFERROR(IF(SUMPRODUCT(($C$3:$C$267=$H$167)*($F$3:$F$267=8))=0,"",INDEX($E$3:$E$267,SUMPRODUCT(($C$3:$C$267=$H$167)*($F$3:$F$267=8)*(ROW($C$3:$C$267)-ROW($C$3)+1)))),"")</f>
        <v/>
      </c>
      <c r="K178" s="33"/>
    </row>
    <row r="179" spans="1:11" ht="14.25" customHeight="1" x14ac:dyDescent="0.3">
      <c r="C179" s="10" t="s">
        <v>3</v>
      </c>
      <c r="D179" s="10">
        <f>SUM(D183:D189)</f>
        <v>20.440000000000001</v>
      </c>
      <c r="E179" s="12"/>
      <c r="H179" s="37" t="str">
        <f>IF(SUMPRODUCT(($C$3:$C$267=$H$167)*($F$3:$F$267=9))=0,"",INDEX($A$3:$A$267,SUMPRODUCT(($C$3:$C$267=$H$167)*($F$3:$F$267=9)*(ROW($C$3:$C$267)-ROW($C$3)+1))))</f>
        <v/>
      </c>
      <c r="I179" s="38" t="str">
        <f>IFERROR(IF(SUMPRODUCT(($C$3:$C$267=$H$167)*($F$3:$F$267=9))=0,"",INDEX($D$3:$D$267,SUMPRODUCT(($C$3:$C$267=$H$167)*($F$3:$F$267=9)*(ROW($C$3:$C$267)-ROW($C$3)+1)))),"")</f>
        <v/>
      </c>
      <c r="J179" s="38" t="str">
        <f>IFERROR(IF(SUMPRODUCT(($C$3:$C$267=$H$167)*($F$3:$F$267=9))=0,"",INDEX($E$3:$E$267,SUMPRODUCT(($C$3:$C$267=$H$167)*($F$3:$F$267=9)*(ROW($C$3:$C$267)-ROW($C$3)+1)))),"")</f>
        <v/>
      </c>
      <c r="K179" s="33"/>
    </row>
    <row r="180" spans="1:11" ht="14.25" customHeight="1" x14ac:dyDescent="0.3">
      <c r="C180" s="10" t="s">
        <v>13</v>
      </c>
      <c r="D180" s="17">
        <f>D178/D179</f>
        <v>2.5880626223091974</v>
      </c>
      <c r="E180" s="12"/>
      <c r="H180" s="37" t="str">
        <f>IF(SUMPRODUCT(($C$3:$C$267=$H$167)*($F$3:$F$267=10))=0,"",INDEX($A$3:$A$267,SUMPRODUCT(($C$3:$C$267=$H$167)*($F$3:$F$267=10)*(ROW($C$3:$C$267)-ROW($C$3)+1))))</f>
        <v/>
      </c>
      <c r="I180" s="38" t="str">
        <f>IFERROR(IF(SUMPRODUCT(($C$3:$C$267=$H$167)*($F$3:$F$267=10))=0,"",INDEX($D$3:$D$267,SUMPRODUCT(($C$3:$C$267=$H$167)*($F$3:$F$267=10)*(ROW($C$3:$C$267)-ROW($C$3)+1)))),"")</f>
        <v/>
      </c>
      <c r="J180" s="38" t="str">
        <f>IFERROR(IF(SUMPRODUCT(($C$3:$C$267=$H$167)*($F$3:$F$267=10))=0,"",INDEX($E$3:$E$267,SUMPRODUCT(($C$3:$C$267=$H$167)*($F$3:$F$267=10)*(ROW($C$3:$C$267)-ROW($C$3)+1)))),"")</f>
        <v/>
      </c>
      <c r="K180" s="33"/>
    </row>
    <row r="181" spans="1:11" ht="14.25" customHeight="1" x14ac:dyDescent="0.3">
      <c r="C181" s="12"/>
      <c r="D181" s="36"/>
      <c r="E181" s="12"/>
      <c r="H181" s="37" t="str">
        <f>IF(SUMPRODUCT(($C$3:$C$267=$H$167)*($F$3:$F$267=11))=0,"",INDEX($A$3:$A$267,SUMPRODUCT(($C$3:$C$267=$H$167)*($F$3:$F$267=11)*(ROW($C$3:$C$267)-ROW($C$3)+1))))</f>
        <v/>
      </c>
      <c r="I181" s="38" t="str">
        <f>IFERROR(IF(SUMPRODUCT(($C$3:$C$267=$H$167)*($F$3:$F$267=11))=0,"",INDEX($D$3:$D$267,SUMPRODUCT(($C$3:$C$267=$H$167)*($F$3:$F$267=11)*(ROW($C$3:$C$267)-ROW($C$3)+1)))),"")</f>
        <v/>
      </c>
      <c r="J181" s="38" t="str">
        <f>IFERROR(IF(SUMPRODUCT(($C$3:$C$267=$H$167)*($F$3:$F$267=11))=0,"",INDEX($E$3:$E$267,SUMPRODUCT(($C$3:$C$267=$H$167)*($F$3:$F$267=11)*(ROW($C$3:$C$267)-ROW($C$3)+1)))),"")</f>
        <v/>
      </c>
      <c r="K181" s="33"/>
    </row>
    <row r="182" spans="1:11" ht="15" customHeight="1" x14ac:dyDescent="0.3">
      <c r="C182" s="18" t="s">
        <v>1</v>
      </c>
      <c r="D182" s="20" t="s">
        <v>15</v>
      </c>
      <c r="E182" s="20" t="s">
        <v>16</v>
      </c>
      <c r="H182" s="37" t="str">
        <f>IF(SUMPRODUCT(($C$3:$C$267=$H$167)*($F$3:$F$267=12))=0,"",INDEX($A$3:$A$267,SUMPRODUCT(($C$3:$C$267=$H$167)*($F$3:$F$267=12)*(ROW($C$3:$C$267)-ROW($C$3)+1))))</f>
        <v/>
      </c>
      <c r="I182" s="38" t="str">
        <f>IFERROR(IF(SUMPRODUCT(($C$3:$C$267=$H$167)*($F$3:$F$267=12))=0,"",INDEX($D$3:$D$267,SUMPRODUCT(($C$3:$C$267=$H$167)*($F$3:$F$267=12)*(ROW($C$3:$C$267)-ROW($C$3)+1)))),"")</f>
        <v/>
      </c>
      <c r="J182" s="38" t="str">
        <f>IFERROR(IF(SUMPRODUCT(($C$3:$C$267=$H$167)*($F$3:$F$267=12))=0,"",INDEX($E$3:$E$267,SUMPRODUCT(($C$3:$C$267=$H$167)*($F$3:$F$267=12)*(ROW($C$3:$C$267)-ROW($C$3)+1)))),"")</f>
        <v/>
      </c>
      <c r="K182" s="33"/>
    </row>
    <row r="183" spans="1:11" ht="14.25" customHeight="1" x14ac:dyDescent="0.3">
      <c r="A183" s="21">
        <f t="shared" ref="A183:A189" si="21">$C$173</f>
        <v>46281</v>
      </c>
      <c r="B183" s="21"/>
      <c r="C183" s="22" t="s">
        <v>10</v>
      </c>
      <c r="D183" s="23">
        <v>5.0999999999999996</v>
      </c>
      <c r="E183" s="24">
        <f t="shared" ref="E183:E189" si="22">D183*$D$180</f>
        <v>13.199119373776906</v>
      </c>
      <c r="F183">
        <f>IF($C183="","",COUNTIF($C$3:$C183,$C183))</f>
        <v>8</v>
      </c>
      <c r="H183" s="37" t="str">
        <f>IF(SUMPRODUCT(($C$3:$C$267=$H$167)*($F$3:$F$267=13))=0,"",INDEX($A$3:$A$267,SUMPRODUCT(($C$3:$C$267=$H$167)*($F$3:$F$267=13)*(ROW($C$3:$C$267)-ROW($C$3)+1))))</f>
        <v/>
      </c>
      <c r="I183" s="38" t="str">
        <f>IFERROR(IF(SUMPRODUCT(($C$3:$C$267=$H$167)*($F$3:$F$267=13))=0,"",INDEX($D$3:$D$267,SUMPRODUCT(($C$3:$C$267=$H$167)*($F$3:$F$267=13)*(ROW($C$3:$C$267)-ROW($C$3)+1)))),"")</f>
        <v/>
      </c>
      <c r="J183" s="38" t="str">
        <f>IFERROR(IF(SUMPRODUCT(($C$3:$C$267=$H$167)*($F$3:$F$267=13))=0,"",INDEX($E$3:$E$267,SUMPRODUCT(($C$3:$C$267=$H$167)*($F$3:$F$267=13)*(ROW($C$3:$C$267)-ROW($C$3)+1)))),"")</f>
        <v/>
      </c>
      <c r="K183" s="33"/>
    </row>
    <row r="184" spans="1:11" ht="14.25" customHeight="1" x14ac:dyDescent="0.3">
      <c r="A184" s="21">
        <f t="shared" si="21"/>
        <v>46281</v>
      </c>
      <c r="B184" s="21"/>
      <c r="C184" s="22" t="s">
        <v>18</v>
      </c>
      <c r="D184" s="23">
        <v>6.47</v>
      </c>
      <c r="E184" s="24">
        <f t="shared" si="22"/>
        <v>16.744765166340507</v>
      </c>
      <c r="F184">
        <f>IF($C184="","",COUNTIF($C$3:$C184,$C184))</f>
        <v>4</v>
      </c>
      <c r="H184" s="37" t="str">
        <f>IF(SUMPRODUCT(($C$3:$C$267=$H$167)*($F$3:$F$267=14))=0,"",INDEX($A$3:$A$267,SUMPRODUCT(($C$3:$C$267=$H$167)*($F$3:$F$267=14)*(ROW($C$3:$C$267)-ROW($C$3)+1))))</f>
        <v/>
      </c>
      <c r="I184" s="38" t="str">
        <f>IFERROR(IF(SUMPRODUCT(($C$3:$C$267=$H$167)*($F$3:$F$267=14))=0,"",INDEX($D$3:$D$267,SUMPRODUCT(($C$3:$C$267=$H$167)*($F$3:$F$267=14)*(ROW($C$3:$C$267)-ROW($C$3)+1)))),"")</f>
        <v/>
      </c>
      <c r="J184" s="38" t="str">
        <f>IFERROR(IF(SUMPRODUCT(($C$3:$C$267=$H$167)*($F$3:$F$267=14))=0,"",INDEX($E$3:$E$267,SUMPRODUCT(($C$3:$C$267=$H$167)*($F$3:$F$267=14)*(ROW($C$3:$C$267)-ROW($C$3)+1)))),"")</f>
        <v/>
      </c>
      <c r="K184" s="33"/>
    </row>
    <row r="185" spans="1:11" ht="14.25" customHeight="1" x14ac:dyDescent="0.3">
      <c r="A185" s="21">
        <f t="shared" si="21"/>
        <v>46281</v>
      </c>
      <c r="B185" s="21"/>
      <c r="C185" s="22" t="s">
        <v>20</v>
      </c>
      <c r="D185" s="23">
        <v>2.87</v>
      </c>
      <c r="E185" s="24">
        <f t="shared" si="22"/>
        <v>7.4277397260273963</v>
      </c>
      <c r="F185">
        <f>IF($C185="","",COUNTIF($C$3:$C185,$C185))</f>
        <v>1</v>
      </c>
      <c r="H185" s="37" t="str">
        <f>IF(SUMPRODUCT(($C$3:$C$267=$H$167)*($F$3:$F$267=15))=0,"",INDEX($A$3:$A$267,SUMPRODUCT(($C$3:$C$267=$H$167)*($F$3:$F$267=15)*(ROW($C$3:$C$267)-ROW($C$3)+1))))</f>
        <v/>
      </c>
      <c r="I185" s="38" t="str">
        <f>IFERROR(IF(SUMPRODUCT(($C$3:$C$267=$H$167)*($F$3:$F$267=15))=0,"",INDEX($D$3:$D$267,SUMPRODUCT(($C$3:$C$267=$H$167)*($F$3:$F$267=15)*(ROW($C$3:$C$267)-ROW($C$3)+1)))),"")</f>
        <v/>
      </c>
      <c r="J185" s="38" t="str">
        <f>IFERROR(IF(SUMPRODUCT(($C$3:$C$267=$H$167)*($F$3:$F$267=15))=0,"",INDEX($E$3:$E$267,SUMPRODUCT(($C$3:$C$267=$H$167)*($F$3:$F$267=15)*(ROW($C$3:$C$267)-ROW($C$3)+1)))),"")</f>
        <v/>
      </c>
      <c r="K185" s="33"/>
    </row>
    <row r="186" spans="1:11" ht="14.25" customHeight="1" x14ac:dyDescent="0.3">
      <c r="A186" s="21">
        <f t="shared" si="21"/>
        <v>46281</v>
      </c>
      <c r="B186" s="21"/>
      <c r="C186" s="22" t="s">
        <v>12</v>
      </c>
      <c r="D186" s="23">
        <v>6</v>
      </c>
      <c r="E186" s="24">
        <f t="shared" si="22"/>
        <v>15.528375733855185</v>
      </c>
      <c r="F186">
        <f>IF($C186="","",COUNTIF($C$3:$C186,$C186))</f>
        <v>6</v>
      </c>
      <c r="H186" s="37" t="str">
        <f>IF(SUMPRODUCT(($C$3:$C$267=$H$167)*($F$3:$F$267=16))=0,"",INDEX($A$3:$A$267,SUMPRODUCT(($C$3:$C$267=$H$167)*($F$3:$F$267=16)*(ROW($C$3:$C$267)-ROW($C$3)+1))))</f>
        <v/>
      </c>
      <c r="I186" s="38" t="str">
        <f>IFERROR(IF(SUMPRODUCT(($C$3:$C$267=$H$167)*($F$3:$F$267=16))=0,"",INDEX($D$3:$D$267,SUMPRODUCT(($C$3:$C$267=$H$167)*($F$3:$F$267=16)*(ROW($C$3:$C$267)-ROW($C$3)+1)))),"")</f>
        <v/>
      </c>
      <c r="J186" s="38" t="str">
        <f>IFERROR(IF(SUMPRODUCT(($C$3:$C$267=$H$167)*($F$3:$F$267=16))=0,"",INDEX($E$3:$E$267,SUMPRODUCT(($C$3:$C$267=$H$167)*($F$3:$F$267=16)*(ROW($C$3:$C$267)-ROW($C$3)+1)))),"")</f>
        <v/>
      </c>
      <c r="K186" s="33"/>
    </row>
    <row r="187" spans="1:11" ht="14.25" customHeight="1" x14ac:dyDescent="0.3">
      <c r="A187" s="21">
        <f t="shared" si="21"/>
        <v>46281</v>
      </c>
      <c r="B187" s="21"/>
      <c r="C187" s="22"/>
      <c r="D187" s="23"/>
      <c r="E187" s="24">
        <f t="shared" si="22"/>
        <v>0</v>
      </c>
      <c r="F187" t="str">
        <f>IF($C187="","",COUNTIF($C$3:$C187,$C187))</f>
        <v/>
      </c>
      <c r="H187" s="34" t="str">
        <f>H15</f>
        <v>Sally Rodriguez</v>
      </c>
      <c r="I187" s="14"/>
      <c r="J187" s="14"/>
      <c r="K187" s="33"/>
    </row>
    <row r="188" spans="1:11" ht="14.25" customHeight="1" x14ac:dyDescent="0.3">
      <c r="A188" s="21">
        <f t="shared" si="21"/>
        <v>46281</v>
      </c>
      <c r="B188" s="21"/>
      <c r="C188" s="22"/>
      <c r="D188" s="23"/>
      <c r="E188" s="24">
        <f t="shared" si="22"/>
        <v>0</v>
      </c>
      <c r="F188" t="str">
        <f>IF($C188="","",COUNTIF($C$3:$C188,$C188))</f>
        <v/>
      </c>
      <c r="H188" s="35" t="s">
        <v>26</v>
      </c>
      <c r="I188" s="32">
        <f>IFERROR(SUMIF($C$3:$C$267,H187,$D$3:$D$267),0)</f>
        <v>57.85</v>
      </c>
      <c r="J188" s="14"/>
      <c r="K188" s="33"/>
    </row>
    <row r="189" spans="1:11" ht="14.25" customHeight="1" x14ac:dyDescent="0.3">
      <c r="A189" s="21">
        <f t="shared" si="21"/>
        <v>46281</v>
      </c>
      <c r="B189" s="21"/>
      <c r="C189" s="22"/>
      <c r="D189" s="23"/>
      <c r="E189" s="24">
        <f t="shared" si="22"/>
        <v>0</v>
      </c>
      <c r="F189" t="str">
        <f>IF($C189="","",COUNTIF($C$3:$C189,$C189))</f>
        <v/>
      </c>
      <c r="H189" s="35" t="s">
        <v>27</v>
      </c>
      <c r="I189" s="32">
        <f>IFERROR(SUMIF($C$3:$C$267,H187,$E$3:$E$267),0)</f>
        <v>490.91198432314854</v>
      </c>
      <c r="J189" s="14"/>
      <c r="K189" s="33"/>
    </row>
    <row r="190" spans="1:11" ht="15" customHeight="1" x14ac:dyDescent="0.3">
      <c r="C190" s="25" t="s">
        <v>24</v>
      </c>
      <c r="D190" s="26"/>
      <c r="E190" s="27">
        <f>SUM(E183:E189)</f>
        <v>52.899999999999991</v>
      </c>
      <c r="H190" s="18" t="s">
        <v>28</v>
      </c>
      <c r="I190" s="20" t="s">
        <v>15</v>
      </c>
      <c r="J190" s="20" t="s">
        <v>16</v>
      </c>
      <c r="K190" s="33"/>
    </row>
    <row r="191" spans="1:11" ht="15" customHeight="1" x14ac:dyDescent="0.3">
      <c r="H191" s="37">
        <f>IF(SUMPRODUCT(($C$3:$C$267=$H$187)*($F$3:$F$267=1))=0,"No entries yet",INDEX($A$3:$A$267,SUMPRODUCT(($C$3:$C$267=$H$187)*($F$3:$F$267=1)*(ROW($C$3:$C$267)-ROW($C$3)+1))))</f>
        <v>46272</v>
      </c>
      <c r="I191" s="38">
        <f>IFERROR(IF(SUMPRODUCT(($C$3:$C$267=$H$187)*($F$3:$F$267=1))=0,"",INDEX($D$3:$D$267,SUMPRODUCT(($C$3:$C$267=$H$187)*($F$3:$F$267=1)*(ROW($C$3:$C$267)-ROW($C$3)+1)))),"")</f>
        <v>6.48</v>
      </c>
      <c r="J191" s="38">
        <f>IFERROR(IF(SUMPRODUCT(($C$3:$C$267=$H$187)*($F$3:$F$267=1))=0,"",INDEX($E$3:$E$267,SUMPRODUCT(($C$3:$C$267=$H$187)*($F$3:$F$267=1)*(ROW($C$3:$C$267)-ROW($C$3)+1)))),"")</f>
        <v>52.124237050863272</v>
      </c>
      <c r="K191" s="33"/>
    </row>
    <row r="192" spans="1:11" ht="15" customHeight="1" x14ac:dyDescent="0.3">
      <c r="C192" s="4">
        <v>46282</v>
      </c>
      <c r="D192" s="4"/>
      <c r="E192" s="4"/>
      <c r="H192" s="37">
        <f>IF(SUMPRODUCT(($C$3:$C$267=$H$187)*($F$3:$F$267=2))=0,"",INDEX($A$3:$A$267,SUMPRODUCT(($C$3:$C$267=$H$187)*($F$3:$F$267=2)*(ROW($C$3:$C$267)-ROW($C$3)+1))))</f>
        <v>46275</v>
      </c>
      <c r="I192" s="38">
        <f>IFERROR(IF(SUMPRODUCT(($C$3:$C$267=$H$187)*($F$3:$F$267=2))=0,"",INDEX($D$3:$D$267,SUMPRODUCT(($C$3:$C$267=$H$187)*($F$3:$F$267=2)*(ROW($C$3:$C$267)-ROW($C$3)+1)))),"")</f>
        <v>6</v>
      </c>
      <c r="J192" s="38">
        <f>IFERROR(IF(SUMPRODUCT(($C$3:$C$267=$H$187)*($F$3:$F$267=2))=0,"",INDEX($E$3:$E$267,SUMPRODUCT(($C$3:$C$267=$H$187)*($F$3:$F$267=2)*(ROW($C$3:$C$267)-ROW($C$3)+1)))),"")</f>
        <v>33.504244482173171</v>
      </c>
      <c r="K192" s="33"/>
    </row>
    <row r="193" spans="1:11" ht="15" customHeight="1" x14ac:dyDescent="0.3">
      <c r="C193" s="28"/>
      <c r="E193" s="29"/>
      <c r="H193" s="37">
        <f>IF(SUMPRODUCT(($C$3:$C$267=$H$187)*($F$3:$F$267=3))=0,"",INDEX($A$3:$A$267,SUMPRODUCT(($C$3:$C$267=$H$187)*($F$3:$F$267=3)*(ROW($C$3:$C$267)-ROW($C$3)+1))))</f>
        <v>46276</v>
      </c>
      <c r="I193" s="38">
        <f>IFERROR(IF(SUMPRODUCT(($C$3:$C$267=$H$187)*($F$3:$F$267=3))=0,"",INDEX($D$3:$D$267,SUMPRODUCT(($C$3:$C$267=$H$187)*($F$3:$F$267=3)*(ROW($C$3:$C$267)-ROW($C$3)+1)))),"")</f>
        <v>6</v>
      </c>
      <c r="J193" s="38">
        <f>IFERROR(IF(SUMPRODUCT(($C$3:$C$267=$H$187)*($F$3:$F$267=3))=0,"",INDEX($E$3:$E$267,SUMPRODUCT(($C$3:$C$267=$H$187)*($F$3:$F$267=3)*(ROW($C$3:$C$267)-ROW($C$3)+1)))),"")</f>
        <v>59.136263736263729</v>
      </c>
      <c r="K193" s="33"/>
    </row>
    <row r="194" spans="1:11" ht="14.25" customHeight="1" x14ac:dyDescent="0.3">
      <c r="C194" s="10" t="s">
        <v>5</v>
      </c>
      <c r="D194" s="11">
        <v>87.17</v>
      </c>
      <c r="E194" s="12"/>
      <c r="H194" s="37">
        <f>IF(SUMPRODUCT(($C$3:$C$267=$H$187)*($F$3:$F$267=4))=0,"",INDEX($A$3:$A$267,SUMPRODUCT(($C$3:$C$267=$H$187)*($F$3:$F$267=4)*(ROW($C$3:$C$267)-ROW($C$3)+1))))</f>
        <v>46277</v>
      </c>
      <c r="I194" s="38">
        <f>IFERROR(IF(SUMPRODUCT(($C$3:$C$267=$H$187)*($F$3:$F$267=4))=0,"",INDEX($D$3:$D$267,SUMPRODUCT(($C$3:$C$267=$H$187)*($F$3:$F$267=4)*(ROW($C$3:$C$267)-ROW($C$3)+1)))),"")</f>
        <v>4.8600000000000003</v>
      </c>
      <c r="J194" s="38">
        <f>IFERROR(IF(SUMPRODUCT(($C$3:$C$267=$H$187)*($F$3:$F$267=4))=0,"",INDEX($E$3:$E$267,SUMPRODUCT(($C$3:$C$267=$H$187)*($F$3:$F$267=4)*(ROW($C$3:$C$267)-ROW($C$3)+1)))),"")</f>
        <v>70.183271070615049</v>
      </c>
      <c r="K194" s="33"/>
    </row>
    <row r="195" spans="1:11" ht="14.25" customHeight="1" x14ac:dyDescent="0.3">
      <c r="C195" s="10" t="s">
        <v>7</v>
      </c>
      <c r="D195" s="15"/>
      <c r="E195" s="16"/>
      <c r="H195" s="37">
        <f>IF(SUMPRODUCT(($C$3:$C$267=$H$187)*($F$3:$F$267=5))=0,"",INDEX($A$3:$A$267,SUMPRODUCT(($C$3:$C$267=$H$187)*($F$3:$F$267=5)*(ROW($C$3:$C$267)-ROW($C$3)+1))))</f>
        <v>46278</v>
      </c>
      <c r="I195" s="38">
        <f>IFERROR(IF(SUMPRODUCT(($C$3:$C$267=$H$187)*($F$3:$F$267=5))=0,"",INDEX($D$3:$D$267,SUMPRODUCT(($C$3:$C$267=$H$187)*($F$3:$F$267=5)*(ROW($C$3:$C$267)-ROW($C$3)+1)))),"")</f>
        <v>5.46</v>
      </c>
      <c r="J195" s="38">
        <f>IFERROR(IF(SUMPRODUCT(($C$3:$C$267=$H$187)*($F$3:$F$267=5))=0,"",INDEX($E$3:$E$267,SUMPRODUCT(($C$3:$C$267=$H$187)*($F$3:$F$267=5)*(ROW($C$3:$C$267)-ROW($C$3)+1)))),"")</f>
        <v>63.445782918149476</v>
      </c>
      <c r="K195" s="33"/>
    </row>
    <row r="196" spans="1:11" ht="14.25" customHeight="1" x14ac:dyDescent="0.3">
      <c r="C196" s="10" t="s">
        <v>9</v>
      </c>
      <c r="D196" s="10"/>
      <c r="E196" s="12"/>
      <c r="H196" s="37">
        <f>IF(SUMPRODUCT(($C$3:$C$267=$H$187)*($F$3:$F$267=6))=0,"",INDEX($A$3:$A$267,SUMPRODUCT(($C$3:$C$267=$H$187)*($F$3:$F$267=6)*(ROW($C$3:$C$267)-ROW($C$3)+1))))</f>
        <v>46279</v>
      </c>
      <c r="I196" s="38">
        <f>IFERROR(IF(SUMPRODUCT(($C$3:$C$267=$H$187)*($F$3:$F$267=6))=0,"",INDEX($D$3:$D$267,SUMPRODUCT(($C$3:$C$267=$H$187)*($F$3:$F$267=6)*(ROW($C$3:$C$267)-ROW($C$3)+1)))),"")</f>
        <v>6.02</v>
      </c>
      <c r="J196" s="38">
        <f>IFERROR(IF(SUMPRODUCT(($C$3:$C$267=$H$187)*($F$3:$F$267=6))=0,"",INDEX($E$3:$E$267,SUMPRODUCT(($C$3:$C$267=$H$187)*($F$3:$F$267=6)*(ROW($C$3:$C$267)-ROW($C$3)+1)))),"")</f>
        <v>31.872802728823199</v>
      </c>
      <c r="K196" s="33"/>
    </row>
    <row r="197" spans="1:11" ht="14.25" customHeight="1" x14ac:dyDescent="0.3">
      <c r="C197" s="10" t="s">
        <v>2</v>
      </c>
      <c r="D197" s="17">
        <f>SUM(D194:D196)</f>
        <v>87.17</v>
      </c>
      <c r="E197" s="12"/>
      <c r="H197" s="37">
        <f>IF(SUMPRODUCT(($C$3:$C$267=$H$187)*($F$3:$F$267=7))=0,"",INDEX($A$3:$A$267,SUMPRODUCT(($C$3:$C$267=$H$187)*($F$3:$F$267=7)*(ROW($C$3:$C$267)-ROW($C$3)+1))))</f>
        <v>46280</v>
      </c>
      <c r="I197" s="38">
        <f>IFERROR(IF(SUMPRODUCT(($C$3:$C$267=$H$187)*($F$3:$F$267=7))=0,"",INDEX($D$3:$D$267,SUMPRODUCT(($C$3:$C$267=$H$187)*($F$3:$F$267=7)*(ROW($C$3:$C$267)-ROW($C$3)+1)))),"")</f>
        <v>6.09</v>
      </c>
      <c r="J197" s="38">
        <f>IFERROR(IF(SUMPRODUCT(($C$3:$C$267=$H$187)*($F$3:$F$267=7))=0,"",INDEX($E$3:$E$267,SUMPRODUCT(($C$3:$C$267=$H$187)*($F$3:$F$267=7)*(ROW($C$3:$C$267)-ROW($C$3)+1)))),"")</f>
        <v>36.219852333136444</v>
      </c>
      <c r="K197" s="33"/>
    </row>
    <row r="198" spans="1:11" ht="14.25" customHeight="1" x14ac:dyDescent="0.3">
      <c r="C198" s="10" t="s">
        <v>3</v>
      </c>
      <c r="D198" s="10">
        <f>SUM(D202:D208)</f>
        <v>16.96</v>
      </c>
      <c r="E198" s="12"/>
      <c r="H198" s="37">
        <f>IF(SUMPRODUCT(($C$3:$C$267=$H$187)*($F$3:$F$267=8))=0,"",INDEX($A$3:$A$267,SUMPRODUCT(($C$3:$C$267=$H$187)*($F$3:$F$267=8)*(ROW($C$3:$C$267)-ROW($C$3)+1))))</f>
        <v>46282</v>
      </c>
      <c r="I198" s="38">
        <f>IFERROR(IF(SUMPRODUCT(($C$3:$C$267=$H$187)*($F$3:$F$267=8))=0,"",INDEX($D$3:$D$267,SUMPRODUCT(($C$3:$C$267=$H$187)*($F$3:$F$267=8)*(ROW($C$3:$C$267)-ROW($C$3)+1)))),"")</f>
        <v>6</v>
      </c>
      <c r="J198" s="38">
        <f>IFERROR(IF(SUMPRODUCT(($C$3:$C$267=$H$187)*($F$3:$F$267=8))=0,"",INDEX($E$3:$E$267,SUMPRODUCT(($C$3:$C$267=$H$187)*($F$3:$F$267=8)*(ROW($C$3:$C$267)-ROW($C$3)+1)))),"")</f>
        <v>30.838443396226413</v>
      </c>
      <c r="K198" s="33"/>
    </row>
    <row r="199" spans="1:11" ht="14.25" customHeight="1" x14ac:dyDescent="0.3">
      <c r="C199" s="10" t="s">
        <v>13</v>
      </c>
      <c r="D199" s="17">
        <f>D197/D198</f>
        <v>5.1397405660377355</v>
      </c>
      <c r="E199" s="12"/>
      <c r="H199" s="37">
        <f>IF(SUMPRODUCT(($C$3:$C$267=$H$187)*($F$3:$F$267=9))=0,"",INDEX($A$3:$A$267,SUMPRODUCT(($C$3:$C$267=$H$187)*($F$3:$F$267=9)*(ROW($C$3:$C$267)-ROW($C$3)+1))))</f>
        <v>46284</v>
      </c>
      <c r="I199" s="38">
        <f>IFERROR(IF(SUMPRODUCT(($C$3:$C$267=$H$187)*($F$3:$F$267=9))=0,"",INDEX($D$3:$D$267,SUMPRODUCT(($C$3:$C$267=$H$187)*($F$3:$F$267=9)*(ROW($C$3:$C$267)-ROW($C$3)+1)))),"")</f>
        <v>5.45</v>
      </c>
      <c r="J199" s="38">
        <f>IFERROR(IF(SUMPRODUCT(($C$3:$C$267=$H$187)*($F$3:$F$267=9))=0,"",INDEX($E$3:$E$267,SUMPRODUCT(($C$3:$C$267=$H$187)*($F$3:$F$267=9)*(ROW($C$3:$C$267)-ROW($C$3)+1)))),"")</f>
        <v>62.670146927871791</v>
      </c>
      <c r="K199" s="33"/>
    </row>
    <row r="200" spans="1:11" ht="14.25" customHeight="1" x14ac:dyDescent="0.3">
      <c r="C200" s="12"/>
      <c r="D200" s="36"/>
      <c r="E200" s="12"/>
      <c r="H200" s="37">
        <f>IF(SUMPRODUCT(($C$3:$C$267=$H$187)*($F$3:$F$267=10))=0,"",INDEX($A$3:$A$267,SUMPRODUCT(($C$3:$C$267=$H$187)*($F$3:$F$267=10)*(ROW($C$3:$C$267)-ROW($C$3)+1))))</f>
        <v>46285</v>
      </c>
      <c r="I200" s="38">
        <f>IFERROR(IF(SUMPRODUCT(($C$3:$C$267=$H$187)*($F$3:$F$267=10))=0,"",INDEX($D$3:$D$267,SUMPRODUCT(($C$3:$C$267=$H$187)*($F$3:$F$267=10)*(ROW($C$3:$C$267)-ROW($C$3)+1)))),"")</f>
        <v>5.49</v>
      </c>
      <c r="J200" s="38">
        <f>IFERROR(IF(SUMPRODUCT(($C$3:$C$267=$H$187)*($F$3:$F$267=10))=0,"",INDEX($E$3:$E$267,SUMPRODUCT(($C$3:$C$267=$H$187)*($F$3:$F$267=10)*(ROW($C$3:$C$267)-ROW($C$3)+1)))),"")</f>
        <v>50.916939679026008</v>
      </c>
      <c r="K200" s="33"/>
    </row>
    <row r="201" spans="1:11" ht="15" customHeight="1" x14ac:dyDescent="0.3">
      <c r="C201" s="18" t="s">
        <v>1</v>
      </c>
      <c r="D201" s="20" t="s">
        <v>15</v>
      </c>
      <c r="E201" s="20" t="s">
        <v>16</v>
      </c>
      <c r="H201" s="37" t="str">
        <f>IF(SUMPRODUCT(($C$3:$C$267=$H$187)*($F$3:$F$267=11))=0,"",INDEX($A$3:$A$267,SUMPRODUCT(($C$3:$C$267=$H$187)*($F$3:$F$267=11)*(ROW($C$3:$C$267)-ROW($C$3)+1))))</f>
        <v/>
      </c>
      <c r="I201" s="38" t="str">
        <f>IFERROR(IF(SUMPRODUCT(($C$3:$C$267=$H$187)*($F$3:$F$267=11))=0,"",INDEX($D$3:$D$267,SUMPRODUCT(($C$3:$C$267=$H$187)*($F$3:$F$267=11)*(ROW($C$3:$C$267)-ROW($C$3)+1)))),"")</f>
        <v/>
      </c>
      <c r="J201" s="38" t="str">
        <f>IFERROR(IF(SUMPRODUCT(($C$3:$C$267=$H$187)*($F$3:$F$267=11))=0,"",INDEX($E$3:$E$267,SUMPRODUCT(($C$3:$C$267=$H$187)*($F$3:$F$267=11)*(ROW($C$3:$C$267)-ROW($C$3)+1)))),"")</f>
        <v/>
      </c>
      <c r="K201" s="33"/>
    </row>
    <row r="202" spans="1:11" ht="14.25" customHeight="1" x14ac:dyDescent="0.3">
      <c r="A202" s="21">
        <f t="shared" ref="A202:A208" si="23">$C$192</f>
        <v>46282</v>
      </c>
      <c r="B202" s="21"/>
      <c r="C202" s="22" t="s">
        <v>18</v>
      </c>
      <c r="D202" s="23">
        <v>5.95</v>
      </c>
      <c r="E202" s="24">
        <f t="shared" ref="E202:E208" si="24">D202*$D$199</f>
        <v>30.581456367924527</v>
      </c>
      <c r="F202">
        <f>IF($C202="","",COUNTIF($C$3:$C202,$C202))</f>
        <v>5</v>
      </c>
      <c r="H202" s="37" t="str">
        <f>IF(SUMPRODUCT(($C$3:$C$267=$H$187)*($F$3:$F$267=12))=0,"",INDEX($A$3:$A$267,SUMPRODUCT(($C$3:$C$267=$H$187)*($F$3:$F$267=12)*(ROW($C$3:$C$267)-ROW($C$3)+1))))</f>
        <v/>
      </c>
      <c r="I202" s="38" t="str">
        <f>IFERROR(IF(SUMPRODUCT(($C$3:$C$267=$H$187)*($F$3:$F$267=12))=0,"",INDEX($D$3:$D$267,SUMPRODUCT(($C$3:$C$267=$H$187)*($F$3:$F$267=12)*(ROW($C$3:$C$267)-ROW($C$3)+1)))),"")</f>
        <v/>
      </c>
      <c r="J202" s="38" t="str">
        <f>IFERROR(IF(SUMPRODUCT(($C$3:$C$267=$H$187)*($F$3:$F$267=12))=0,"",INDEX($E$3:$E$267,SUMPRODUCT(($C$3:$C$267=$H$187)*($F$3:$F$267=12)*(ROW($C$3:$C$267)-ROW($C$3)+1)))),"")</f>
        <v/>
      </c>
      <c r="K202" s="33"/>
    </row>
    <row r="203" spans="1:11" ht="14.25" customHeight="1" x14ac:dyDescent="0.3">
      <c r="A203" s="21">
        <f t="shared" si="23"/>
        <v>46282</v>
      </c>
      <c r="B203" s="21"/>
      <c r="C203" s="22" t="s">
        <v>21</v>
      </c>
      <c r="D203" s="23">
        <v>6</v>
      </c>
      <c r="E203" s="24">
        <f t="shared" si="24"/>
        <v>30.838443396226413</v>
      </c>
      <c r="F203">
        <f>IF($C203="","",COUNTIF($C$3:$C203,$C203))</f>
        <v>8</v>
      </c>
      <c r="H203" s="37" t="str">
        <f>IF(SUMPRODUCT(($C$3:$C$267=$H$187)*($F$3:$F$267=13))=0,"",INDEX($A$3:$A$267,SUMPRODUCT(($C$3:$C$267=$H$187)*($F$3:$F$267=13)*(ROW($C$3:$C$267)-ROW($C$3)+1))))</f>
        <v/>
      </c>
      <c r="I203" s="38" t="str">
        <f>IFERROR(IF(SUMPRODUCT(($C$3:$C$267=$H$187)*($F$3:$F$267=13))=0,"",INDEX($D$3:$D$267,SUMPRODUCT(($C$3:$C$267=$H$187)*($F$3:$F$267=13)*(ROW($C$3:$C$267)-ROW($C$3)+1)))),"")</f>
        <v/>
      </c>
      <c r="J203" s="38" t="str">
        <f>IFERROR(IF(SUMPRODUCT(($C$3:$C$267=$H$187)*($F$3:$F$267=13))=0,"",INDEX($E$3:$E$267,SUMPRODUCT(($C$3:$C$267=$H$187)*($F$3:$F$267=13)*(ROW($C$3:$C$267)-ROW($C$3)+1)))),"")</f>
        <v/>
      </c>
      <c r="K203" s="33"/>
    </row>
    <row r="204" spans="1:11" ht="14.25" customHeight="1" x14ac:dyDescent="0.3">
      <c r="A204" s="21">
        <f t="shared" si="23"/>
        <v>46282</v>
      </c>
      <c r="B204" s="21"/>
      <c r="C204" s="22" t="s">
        <v>6</v>
      </c>
      <c r="D204" s="23">
        <v>5.01</v>
      </c>
      <c r="E204" s="24">
        <f t="shared" si="24"/>
        <v>25.750100235849054</v>
      </c>
      <c r="F204">
        <f>IF($C204="","",COUNTIF($C$3:$C204,$C204))</f>
        <v>4</v>
      </c>
      <c r="H204" s="37" t="str">
        <f>IF(SUMPRODUCT(($C$3:$C$267=$H$187)*($F$3:$F$267=14))=0,"",INDEX($A$3:$A$267,SUMPRODUCT(($C$3:$C$267=$H$187)*($F$3:$F$267=14)*(ROW($C$3:$C$267)-ROW($C$3)+1))))</f>
        <v/>
      </c>
      <c r="I204" s="38" t="str">
        <f>IFERROR(IF(SUMPRODUCT(($C$3:$C$267=$H$187)*($F$3:$F$267=14))=0,"",INDEX($D$3:$D$267,SUMPRODUCT(($C$3:$C$267=$H$187)*($F$3:$F$267=14)*(ROW($C$3:$C$267)-ROW($C$3)+1)))),"")</f>
        <v/>
      </c>
      <c r="J204" s="38" t="str">
        <f>IFERROR(IF(SUMPRODUCT(($C$3:$C$267=$H$187)*($F$3:$F$267=14))=0,"",INDEX($E$3:$E$267,SUMPRODUCT(($C$3:$C$267=$H$187)*($F$3:$F$267=14)*(ROW($C$3:$C$267)-ROW($C$3)+1)))),"")</f>
        <v/>
      </c>
      <c r="K204" s="33"/>
    </row>
    <row r="205" spans="1:11" ht="14.25" customHeight="1" x14ac:dyDescent="0.3">
      <c r="A205" s="21">
        <f t="shared" si="23"/>
        <v>46282</v>
      </c>
      <c r="B205" s="21"/>
      <c r="C205" s="22"/>
      <c r="D205" s="23"/>
      <c r="E205" s="24">
        <f t="shared" si="24"/>
        <v>0</v>
      </c>
      <c r="F205" t="str">
        <f>IF($C205="","",COUNTIF($C$3:$C205,$C205))</f>
        <v/>
      </c>
      <c r="H205" s="37" t="str">
        <f>IF(SUMPRODUCT(($C$3:$C$267=$H$187)*($F$3:$F$267=15))=0,"",INDEX($A$3:$A$267,SUMPRODUCT(($C$3:$C$267=$H$187)*($F$3:$F$267=15)*(ROW($C$3:$C$267)-ROW($C$3)+1))))</f>
        <v/>
      </c>
      <c r="I205" s="38" t="str">
        <f>IFERROR(IF(SUMPRODUCT(($C$3:$C$267=$H$187)*($F$3:$F$267=15))=0,"",INDEX($D$3:$D$267,SUMPRODUCT(($C$3:$C$267=$H$187)*($F$3:$F$267=15)*(ROW($C$3:$C$267)-ROW($C$3)+1)))),"")</f>
        <v/>
      </c>
      <c r="J205" s="38" t="str">
        <f>IFERROR(IF(SUMPRODUCT(($C$3:$C$267=$H$187)*($F$3:$F$267=15))=0,"",INDEX($E$3:$E$267,SUMPRODUCT(($C$3:$C$267=$H$187)*($F$3:$F$267=15)*(ROW($C$3:$C$267)-ROW($C$3)+1)))),"")</f>
        <v/>
      </c>
      <c r="K205" s="33"/>
    </row>
    <row r="206" spans="1:11" ht="14.25" customHeight="1" x14ac:dyDescent="0.3">
      <c r="A206" s="21">
        <f t="shared" si="23"/>
        <v>46282</v>
      </c>
      <c r="B206" s="21"/>
      <c r="C206" s="22"/>
      <c r="D206" s="23"/>
      <c r="E206" s="24">
        <f t="shared" si="24"/>
        <v>0</v>
      </c>
      <c r="F206" t="str">
        <f>IF($C206="","",COUNTIF($C$3:$C206,$C206))</f>
        <v/>
      </c>
      <c r="H206" s="37" t="str">
        <f>IF(SUMPRODUCT(($C$3:$C$267=$H$187)*($F$3:$F$267=16))=0,"",INDEX($A$3:$A$267,SUMPRODUCT(($C$3:$C$267=$H$187)*($F$3:$F$267=16)*(ROW($C$3:$C$267)-ROW($C$3)+1))))</f>
        <v/>
      </c>
      <c r="I206" s="38" t="str">
        <f>IFERROR(IF(SUMPRODUCT(($C$3:$C$267=$H$187)*($F$3:$F$267=16))=0,"",INDEX($D$3:$D$267,SUMPRODUCT(($C$3:$C$267=$H$187)*($F$3:$F$267=16)*(ROW($C$3:$C$267)-ROW($C$3)+1)))),"")</f>
        <v/>
      </c>
      <c r="J206" s="38" t="str">
        <f>IFERROR(IF(SUMPRODUCT(($C$3:$C$267=$H$187)*($F$3:$F$267=16))=0,"",INDEX($E$3:$E$267,SUMPRODUCT(($C$3:$C$267=$H$187)*($F$3:$F$267=16)*(ROW($C$3:$C$267)-ROW($C$3)+1)))),"")</f>
        <v/>
      </c>
      <c r="K206" s="33"/>
    </row>
    <row r="207" spans="1:11" ht="14.25" customHeight="1" x14ac:dyDescent="0.3">
      <c r="A207" s="21">
        <f t="shared" si="23"/>
        <v>46282</v>
      </c>
      <c r="B207" s="21"/>
      <c r="C207" s="22"/>
      <c r="D207" s="23"/>
      <c r="E207" s="24">
        <f t="shared" si="24"/>
        <v>0</v>
      </c>
      <c r="F207" t="str">
        <f>IF($C207="","",COUNTIF($C$3:$C207,$C207))</f>
        <v/>
      </c>
      <c r="H207" s="34" t="str">
        <f>H16</f>
        <v>Sara Cobos</v>
      </c>
      <c r="I207" s="14"/>
      <c r="J207" s="14"/>
      <c r="K207" s="33"/>
    </row>
    <row r="208" spans="1:11" ht="14.25" customHeight="1" x14ac:dyDescent="0.3">
      <c r="A208" s="21">
        <f t="shared" si="23"/>
        <v>46282</v>
      </c>
      <c r="B208" s="21"/>
      <c r="C208" s="22"/>
      <c r="D208" s="23"/>
      <c r="E208" s="24">
        <f t="shared" si="24"/>
        <v>0</v>
      </c>
      <c r="F208" t="str">
        <f>IF($C208="","",COUNTIF($C$3:$C208,$C208))</f>
        <v/>
      </c>
      <c r="H208" s="35" t="s">
        <v>26</v>
      </c>
      <c r="I208" s="32">
        <f>IFERROR(SUMIF($C$3:$C$267,H207,$D$3:$D$267),0)</f>
        <v>0</v>
      </c>
      <c r="J208" s="14"/>
      <c r="K208" s="33"/>
    </row>
    <row r="209" spans="1:11" ht="15" customHeight="1" x14ac:dyDescent="0.3">
      <c r="C209" s="25" t="s">
        <v>24</v>
      </c>
      <c r="D209" s="26"/>
      <c r="E209" s="27">
        <f>SUM(E202:E208)</f>
        <v>87.169999999999987</v>
      </c>
      <c r="H209" s="35" t="s">
        <v>27</v>
      </c>
      <c r="I209" s="32">
        <f>IFERROR(SUMIF($C$3:$C$267,H207,$E$3:$E$267),0)</f>
        <v>0</v>
      </c>
      <c r="J209" s="14"/>
      <c r="K209" s="33"/>
    </row>
    <row r="210" spans="1:11" ht="15" customHeight="1" x14ac:dyDescent="0.3">
      <c r="H210" s="18" t="s">
        <v>28</v>
      </c>
      <c r="I210" s="20" t="s">
        <v>15</v>
      </c>
      <c r="J210" s="20" t="s">
        <v>16</v>
      </c>
      <c r="K210" s="33"/>
    </row>
    <row r="211" spans="1:11" ht="15" customHeight="1" x14ac:dyDescent="0.3">
      <c r="C211" s="4">
        <v>46283</v>
      </c>
      <c r="D211" s="4"/>
      <c r="E211" s="4"/>
      <c r="H211" s="37" t="str">
        <f>IF(SUMPRODUCT(($C$3:$C$267=$H$207)*($F$3:$F$267=1))=0,"No entries yet",INDEX($A$3:$A$267,SUMPRODUCT(($C$3:$C$267=$H$207)*($F$3:$F$267=1)*(ROW($C$3:$C$267)-ROW($C$3)+1))))</f>
        <v>No entries yet</v>
      </c>
      <c r="I211" s="38" t="str">
        <f>IFERROR(IF(SUMPRODUCT(($C$3:$C$267=$H$207)*($F$3:$F$267=1))=0,"",INDEX($D$3:$D$267,SUMPRODUCT(($C$3:$C$267=$H$207)*($F$3:$F$267=1)*(ROW($C$3:$C$267)-ROW($C$3)+1)))),"")</f>
        <v/>
      </c>
      <c r="J211" s="38" t="str">
        <f>IFERROR(IF(SUMPRODUCT(($C$3:$C$267=$H$207)*($F$3:$F$267=1))=0,"",INDEX($E$3:$E$267,SUMPRODUCT(($C$3:$C$267=$H$207)*($F$3:$F$267=1)*(ROW($C$3:$C$267)-ROW($C$3)+1)))),"")</f>
        <v/>
      </c>
      <c r="K211" s="33"/>
    </row>
    <row r="212" spans="1:11" ht="15" customHeight="1" x14ac:dyDescent="0.3">
      <c r="C212" s="28"/>
      <c r="E212" s="29"/>
      <c r="H212" s="37" t="str">
        <f>IF(SUMPRODUCT(($C$3:$C$267=$H$207)*($F$3:$F$267=2))=0,"",INDEX($A$3:$A$267,SUMPRODUCT(($C$3:$C$267=$H$207)*($F$3:$F$267=2)*(ROW($C$3:$C$267)-ROW($C$3)+1))))</f>
        <v/>
      </c>
      <c r="I212" s="38" t="str">
        <f>IFERROR(IF(SUMPRODUCT(($C$3:$C$267=$H$207)*($F$3:$F$267=2))=0,"",INDEX($D$3:$D$267,SUMPRODUCT(($C$3:$C$267=$H$207)*($F$3:$F$267=2)*(ROW($C$3:$C$267)-ROW($C$3)+1)))),"")</f>
        <v/>
      </c>
      <c r="J212" s="38" t="str">
        <f>IFERROR(IF(SUMPRODUCT(($C$3:$C$267=$H$207)*($F$3:$F$267=2))=0,"",INDEX($E$3:$E$267,SUMPRODUCT(($C$3:$C$267=$H$207)*($F$3:$F$267=2)*(ROW($C$3:$C$267)-ROW($C$3)+1)))),"")</f>
        <v/>
      </c>
      <c r="K212" s="33"/>
    </row>
    <row r="213" spans="1:11" ht="14.25" customHeight="1" x14ac:dyDescent="0.3">
      <c r="C213" s="10" t="s">
        <v>5</v>
      </c>
      <c r="D213" s="11">
        <v>160.07</v>
      </c>
      <c r="E213" s="12"/>
      <c r="H213" s="37" t="str">
        <f>IF(SUMPRODUCT(($C$3:$C$267=$H$207)*($F$3:$F$267=3))=0,"",INDEX($A$3:$A$267,SUMPRODUCT(($C$3:$C$267=$H$207)*($F$3:$F$267=3)*(ROW($C$3:$C$267)-ROW($C$3)+1))))</f>
        <v/>
      </c>
      <c r="I213" s="38" t="str">
        <f>IFERROR(IF(SUMPRODUCT(($C$3:$C$267=$H$207)*($F$3:$F$267=3))=0,"",INDEX($D$3:$D$267,SUMPRODUCT(($C$3:$C$267=$H$207)*($F$3:$F$267=3)*(ROW($C$3:$C$267)-ROW($C$3)+1)))),"")</f>
        <v/>
      </c>
      <c r="J213" s="38" t="str">
        <f>IFERROR(IF(SUMPRODUCT(($C$3:$C$267=$H$207)*($F$3:$F$267=3))=0,"",INDEX($E$3:$E$267,SUMPRODUCT(($C$3:$C$267=$H$207)*($F$3:$F$267=3)*(ROW($C$3:$C$267)-ROW($C$3)+1)))),"")</f>
        <v/>
      </c>
      <c r="K213" s="33"/>
    </row>
    <row r="214" spans="1:11" ht="14.25" customHeight="1" x14ac:dyDescent="0.3">
      <c r="C214" s="10" t="s">
        <v>7</v>
      </c>
      <c r="D214" s="15"/>
      <c r="E214" s="16"/>
      <c r="H214" s="37" t="str">
        <f>IF(SUMPRODUCT(($C$3:$C$267=$H$207)*($F$3:$F$267=4))=0,"",INDEX($A$3:$A$267,SUMPRODUCT(($C$3:$C$267=$H$207)*($F$3:$F$267=4)*(ROW($C$3:$C$267)-ROW($C$3)+1))))</f>
        <v/>
      </c>
      <c r="I214" s="38" t="str">
        <f>IFERROR(IF(SUMPRODUCT(($C$3:$C$267=$H$207)*($F$3:$F$267=4))=0,"",INDEX($D$3:$D$267,SUMPRODUCT(($C$3:$C$267=$H$207)*($F$3:$F$267=4)*(ROW($C$3:$C$267)-ROW($C$3)+1)))),"")</f>
        <v/>
      </c>
      <c r="J214" s="38" t="str">
        <f>IFERROR(IF(SUMPRODUCT(($C$3:$C$267=$H$207)*($F$3:$F$267=4))=0,"",INDEX($E$3:$E$267,SUMPRODUCT(($C$3:$C$267=$H$207)*($F$3:$F$267=4)*(ROW($C$3:$C$267)-ROW($C$3)+1)))),"")</f>
        <v/>
      </c>
      <c r="K214" s="33"/>
    </row>
    <row r="215" spans="1:11" ht="14.25" customHeight="1" x14ac:dyDescent="0.3">
      <c r="C215" s="10" t="s">
        <v>9</v>
      </c>
      <c r="D215" s="10">
        <v>1.17</v>
      </c>
      <c r="E215" s="12"/>
      <c r="H215" s="37" t="str">
        <f>IF(SUMPRODUCT(($C$3:$C$267=$H$207)*($F$3:$F$267=5))=0,"",INDEX($A$3:$A$267,SUMPRODUCT(($C$3:$C$267=$H$207)*($F$3:$F$267=5)*(ROW($C$3:$C$267)-ROW($C$3)+1))))</f>
        <v/>
      </c>
      <c r="I215" s="38" t="str">
        <f>IFERROR(IF(SUMPRODUCT(($C$3:$C$267=$H$207)*($F$3:$F$267=5))=0,"",INDEX($D$3:$D$267,SUMPRODUCT(($C$3:$C$267=$H$207)*($F$3:$F$267=5)*(ROW($C$3:$C$267)-ROW($C$3)+1)))),"")</f>
        <v/>
      </c>
      <c r="J215" s="38" t="str">
        <f>IFERROR(IF(SUMPRODUCT(($C$3:$C$267=$H$207)*($F$3:$F$267=5))=0,"",INDEX($E$3:$E$267,SUMPRODUCT(($C$3:$C$267=$H$207)*($F$3:$F$267=5)*(ROW($C$3:$C$267)-ROW($C$3)+1)))),"")</f>
        <v/>
      </c>
      <c r="K215" s="33"/>
    </row>
    <row r="216" spans="1:11" ht="14.25" customHeight="1" x14ac:dyDescent="0.3">
      <c r="C216" s="10" t="s">
        <v>2</v>
      </c>
      <c r="D216" s="17">
        <f>SUM(D213:D215)</f>
        <v>161.23999999999998</v>
      </c>
      <c r="E216" s="12"/>
      <c r="H216" s="37" t="str">
        <f>IF(SUMPRODUCT(($C$3:$C$267=$H$207)*($F$3:$F$267=6))=0,"",INDEX($A$3:$A$267,SUMPRODUCT(($C$3:$C$267=$H$207)*($F$3:$F$267=6)*(ROW($C$3:$C$267)-ROW($C$3)+1))))</f>
        <v/>
      </c>
      <c r="I216" s="38" t="str">
        <f>IFERROR(IF(SUMPRODUCT(($C$3:$C$267=$H$207)*($F$3:$F$267=6))=0,"",INDEX($D$3:$D$267,SUMPRODUCT(($C$3:$C$267=$H$207)*($F$3:$F$267=6)*(ROW($C$3:$C$267)-ROW($C$3)+1)))),"")</f>
        <v/>
      </c>
      <c r="J216" s="38" t="str">
        <f>IFERROR(IF(SUMPRODUCT(($C$3:$C$267=$H$207)*($F$3:$F$267=6))=0,"",INDEX($E$3:$E$267,SUMPRODUCT(($C$3:$C$267=$H$207)*($F$3:$F$267=6)*(ROW($C$3:$C$267)-ROW($C$3)+1)))),"")</f>
        <v/>
      </c>
      <c r="K216" s="33"/>
    </row>
    <row r="217" spans="1:11" ht="14.25" customHeight="1" x14ac:dyDescent="0.3">
      <c r="C217" s="10" t="s">
        <v>3</v>
      </c>
      <c r="D217" s="10">
        <f>SUM(D221:D227)</f>
        <v>18.100000000000001</v>
      </c>
      <c r="E217" s="12"/>
      <c r="H217" s="37" t="str">
        <f>IF(SUMPRODUCT(($C$3:$C$267=$H$207)*($F$3:$F$267=7))=0,"",INDEX($A$3:$A$267,SUMPRODUCT(($C$3:$C$267=$H$207)*($F$3:$F$267=7)*(ROW($C$3:$C$267)-ROW($C$3)+1))))</f>
        <v/>
      </c>
      <c r="I217" s="38" t="str">
        <f>IFERROR(IF(SUMPRODUCT(($C$3:$C$267=$H$207)*($F$3:$F$267=7))=0,"",INDEX($D$3:$D$267,SUMPRODUCT(($C$3:$C$267=$H$207)*($F$3:$F$267=7)*(ROW($C$3:$C$267)-ROW($C$3)+1)))),"")</f>
        <v/>
      </c>
      <c r="J217" s="38" t="str">
        <f>IFERROR(IF(SUMPRODUCT(($C$3:$C$267=$H$207)*($F$3:$F$267=7))=0,"",INDEX($E$3:$E$267,SUMPRODUCT(($C$3:$C$267=$H$207)*($F$3:$F$267=7)*(ROW($C$3:$C$267)-ROW($C$3)+1)))),"")</f>
        <v/>
      </c>
      <c r="K217" s="33"/>
    </row>
    <row r="218" spans="1:11" ht="14.25" customHeight="1" x14ac:dyDescent="0.3">
      <c r="C218" s="10" t="s">
        <v>13</v>
      </c>
      <c r="D218" s="17">
        <f>D216/D217</f>
        <v>8.9082872928176773</v>
      </c>
      <c r="E218" s="12"/>
      <c r="H218" s="37" t="str">
        <f>IF(SUMPRODUCT(($C$3:$C$267=$H$207)*($F$3:$F$267=8))=0,"",INDEX($A$3:$A$267,SUMPRODUCT(($C$3:$C$267=$H$207)*($F$3:$F$267=8)*(ROW($C$3:$C$267)-ROW($C$3)+1))))</f>
        <v/>
      </c>
      <c r="I218" s="38" t="str">
        <f>IFERROR(IF(SUMPRODUCT(($C$3:$C$267=$H$207)*($F$3:$F$267=8))=0,"",INDEX($D$3:$D$267,SUMPRODUCT(($C$3:$C$267=$H$207)*($F$3:$F$267=8)*(ROW($C$3:$C$267)-ROW($C$3)+1)))),"")</f>
        <v/>
      </c>
      <c r="J218" s="38" t="str">
        <f>IFERROR(IF(SUMPRODUCT(($C$3:$C$267=$H$207)*($F$3:$F$267=8))=0,"",INDEX($E$3:$E$267,SUMPRODUCT(($C$3:$C$267=$H$207)*($F$3:$F$267=8)*(ROW($C$3:$C$267)-ROW($C$3)+1)))),"")</f>
        <v/>
      </c>
      <c r="K218" s="33"/>
    </row>
    <row r="219" spans="1:11" ht="14.25" customHeight="1" x14ac:dyDescent="0.3">
      <c r="C219" s="12"/>
      <c r="D219" s="36"/>
      <c r="E219" s="12"/>
      <c r="H219" s="37" t="str">
        <f>IF(SUMPRODUCT(($C$3:$C$267=$H$207)*($F$3:$F$267=9))=0,"",INDEX($A$3:$A$267,SUMPRODUCT(($C$3:$C$267=$H$207)*($F$3:$F$267=9)*(ROW($C$3:$C$267)-ROW($C$3)+1))))</f>
        <v/>
      </c>
      <c r="I219" s="38" t="str">
        <f>IFERROR(IF(SUMPRODUCT(($C$3:$C$267=$H$207)*($F$3:$F$267=9))=0,"",INDEX($D$3:$D$267,SUMPRODUCT(($C$3:$C$267=$H$207)*($F$3:$F$267=9)*(ROW($C$3:$C$267)-ROW($C$3)+1)))),"")</f>
        <v/>
      </c>
      <c r="J219" s="38" t="str">
        <f>IFERROR(IF(SUMPRODUCT(($C$3:$C$267=$H$207)*($F$3:$F$267=9))=0,"",INDEX($E$3:$E$267,SUMPRODUCT(($C$3:$C$267=$H$207)*($F$3:$F$267=9)*(ROW($C$3:$C$267)-ROW($C$3)+1)))),"")</f>
        <v/>
      </c>
      <c r="K219" s="33"/>
    </row>
    <row r="220" spans="1:11" ht="15" customHeight="1" x14ac:dyDescent="0.3">
      <c r="C220" s="18" t="s">
        <v>1</v>
      </c>
      <c r="D220" s="20" t="s">
        <v>15</v>
      </c>
      <c r="E220" s="20" t="s">
        <v>16</v>
      </c>
      <c r="H220" s="37" t="str">
        <f>IF(SUMPRODUCT(($C$3:$C$267=$H$207)*($F$3:$F$267=10))=0,"",INDEX($A$3:$A$267,SUMPRODUCT(($C$3:$C$267=$H$207)*($F$3:$F$267=10)*(ROW($C$3:$C$267)-ROW($C$3)+1))))</f>
        <v/>
      </c>
      <c r="I220" s="38" t="str">
        <f>IFERROR(IF(SUMPRODUCT(($C$3:$C$267=$H$207)*($F$3:$F$267=10))=0,"",INDEX($D$3:$D$267,SUMPRODUCT(($C$3:$C$267=$H$207)*($F$3:$F$267=10)*(ROW($C$3:$C$267)-ROW($C$3)+1)))),"")</f>
        <v/>
      </c>
      <c r="J220" s="38" t="str">
        <f>IFERROR(IF(SUMPRODUCT(($C$3:$C$267=$H$207)*($F$3:$F$267=10))=0,"",INDEX($E$3:$E$267,SUMPRODUCT(($C$3:$C$267=$H$207)*($F$3:$F$267=10)*(ROW($C$3:$C$267)-ROW($C$3)+1)))),"")</f>
        <v/>
      </c>
      <c r="K220" s="33"/>
    </row>
    <row r="221" spans="1:11" ht="14.25" customHeight="1" x14ac:dyDescent="0.3">
      <c r="A221" s="21">
        <f t="shared" ref="A221:A227" si="25">$C$211</f>
        <v>46283</v>
      </c>
      <c r="B221" s="21"/>
      <c r="C221" s="22" t="s">
        <v>10</v>
      </c>
      <c r="D221" s="23">
        <v>5.57</v>
      </c>
      <c r="E221" s="24">
        <f t="shared" ref="E221:E227" si="26">D221*$D$218</f>
        <v>49.619160220994466</v>
      </c>
      <c r="F221">
        <f>IF($C221="","",COUNTIF($C$3:$C221,$C221))</f>
        <v>9</v>
      </c>
      <c r="H221" s="37" t="str">
        <f>IF(SUMPRODUCT(($C$3:$C$267=$H$207)*($F$3:$F$267=11))=0,"",INDEX($A$3:$A$267,SUMPRODUCT(($C$3:$C$267=$H$207)*($F$3:$F$267=11)*(ROW($C$3:$C$267)-ROW($C$3)+1))))</f>
        <v/>
      </c>
      <c r="I221" s="38" t="str">
        <f>IFERROR(IF(SUMPRODUCT(($C$3:$C$267=$H$207)*($F$3:$F$267=11))=0,"",INDEX($D$3:$D$267,SUMPRODUCT(($C$3:$C$267=$H$207)*($F$3:$F$267=11)*(ROW($C$3:$C$267)-ROW($C$3)+1)))),"")</f>
        <v/>
      </c>
      <c r="J221" s="38" t="str">
        <f>IFERROR(IF(SUMPRODUCT(($C$3:$C$267=$H$207)*($F$3:$F$267=11))=0,"",INDEX($E$3:$E$267,SUMPRODUCT(($C$3:$C$267=$H$207)*($F$3:$F$267=11)*(ROW($C$3:$C$267)-ROW($C$3)+1)))),"")</f>
        <v/>
      </c>
      <c r="K221" s="33"/>
    </row>
    <row r="222" spans="1:11" ht="14.25" customHeight="1" x14ac:dyDescent="0.3">
      <c r="A222" s="21">
        <f t="shared" si="25"/>
        <v>46283</v>
      </c>
      <c r="B222" s="21"/>
      <c r="C222" s="22" t="s">
        <v>12</v>
      </c>
      <c r="D222" s="23">
        <v>6.01</v>
      </c>
      <c r="E222" s="24">
        <f t="shared" si="26"/>
        <v>53.538806629834241</v>
      </c>
      <c r="F222">
        <f>IF($C222="","",COUNTIF($C$3:$C222,$C222))</f>
        <v>7</v>
      </c>
      <c r="H222" s="37" t="str">
        <f>IF(SUMPRODUCT(($C$3:$C$267=$H$207)*($F$3:$F$267=12))=0,"",INDEX($A$3:$A$267,SUMPRODUCT(($C$3:$C$267=$H$207)*($F$3:$F$267=12)*(ROW($C$3:$C$267)-ROW($C$3)+1))))</f>
        <v/>
      </c>
      <c r="I222" s="38" t="str">
        <f>IFERROR(IF(SUMPRODUCT(($C$3:$C$267=$H$207)*($F$3:$F$267=12))=0,"",INDEX($D$3:$D$267,SUMPRODUCT(($C$3:$C$267=$H$207)*($F$3:$F$267=12)*(ROW($C$3:$C$267)-ROW($C$3)+1)))),"")</f>
        <v/>
      </c>
      <c r="J222" s="38" t="str">
        <f>IFERROR(IF(SUMPRODUCT(($C$3:$C$267=$H$207)*($F$3:$F$267=12))=0,"",INDEX($E$3:$E$267,SUMPRODUCT(($C$3:$C$267=$H$207)*($F$3:$F$267=12)*(ROW($C$3:$C$267)-ROW($C$3)+1)))),"")</f>
        <v/>
      </c>
      <c r="K222" s="33"/>
    </row>
    <row r="223" spans="1:11" ht="14.25" customHeight="1" x14ac:dyDescent="0.3">
      <c r="A223" s="21">
        <f t="shared" si="25"/>
        <v>46283</v>
      </c>
      <c r="B223" s="21"/>
      <c r="C223" s="22" t="s">
        <v>17</v>
      </c>
      <c r="D223" s="23">
        <v>6.52</v>
      </c>
      <c r="E223" s="24">
        <f t="shared" si="26"/>
        <v>58.082033149171252</v>
      </c>
      <c r="F223">
        <f>IF($C223="","",COUNTIF($C$3:$C223,$C223))</f>
        <v>7</v>
      </c>
      <c r="H223" s="37" t="str">
        <f>IF(SUMPRODUCT(($C$3:$C$267=$H$207)*($F$3:$F$267=13))=0,"",INDEX($A$3:$A$267,SUMPRODUCT(($C$3:$C$267=$H$207)*($F$3:$F$267=13)*(ROW($C$3:$C$267)-ROW($C$3)+1))))</f>
        <v/>
      </c>
      <c r="I223" s="38" t="str">
        <f>IFERROR(IF(SUMPRODUCT(($C$3:$C$267=$H$207)*($F$3:$F$267=13))=0,"",INDEX($D$3:$D$267,SUMPRODUCT(($C$3:$C$267=$H$207)*($F$3:$F$267=13)*(ROW($C$3:$C$267)-ROW($C$3)+1)))),"")</f>
        <v/>
      </c>
      <c r="J223" s="38" t="str">
        <f>IFERROR(IF(SUMPRODUCT(($C$3:$C$267=$H$207)*($F$3:$F$267=13))=0,"",INDEX($E$3:$E$267,SUMPRODUCT(($C$3:$C$267=$H$207)*($F$3:$F$267=13)*(ROW($C$3:$C$267)-ROW($C$3)+1)))),"")</f>
        <v/>
      </c>
      <c r="K223" s="33"/>
    </row>
    <row r="224" spans="1:11" ht="14.25" customHeight="1" x14ac:dyDescent="0.3">
      <c r="A224" s="21">
        <f t="shared" si="25"/>
        <v>46283</v>
      </c>
      <c r="B224" s="21"/>
      <c r="C224" s="22"/>
      <c r="D224" s="23"/>
      <c r="E224" s="24">
        <f t="shared" si="26"/>
        <v>0</v>
      </c>
      <c r="F224" t="str">
        <f>IF($C224="","",COUNTIF($C$3:$C224,$C224))</f>
        <v/>
      </c>
      <c r="H224" s="37" t="str">
        <f>IF(SUMPRODUCT(($C$3:$C$267=$H$207)*($F$3:$F$267=14))=0,"",INDEX($A$3:$A$267,SUMPRODUCT(($C$3:$C$267=$H$207)*($F$3:$F$267=14)*(ROW($C$3:$C$267)-ROW($C$3)+1))))</f>
        <v/>
      </c>
      <c r="I224" s="38" t="str">
        <f>IFERROR(IF(SUMPRODUCT(($C$3:$C$267=$H$207)*($F$3:$F$267=14))=0,"",INDEX($D$3:$D$267,SUMPRODUCT(($C$3:$C$267=$H$207)*($F$3:$F$267=14)*(ROW($C$3:$C$267)-ROW($C$3)+1)))),"")</f>
        <v/>
      </c>
      <c r="J224" s="38" t="str">
        <f>IFERROR(IF(SUMPRODUCT(($C$3:$C$267=$H$207)*($F$3:$F$267=14))=0,"",INDEX($E$3:$E$267,SUMPRODUCT(($C$3:$C$267=$H$207)*($F$3:$F$267=14)*(ROW($C$3:$C$267)-ROW($C$3)+1)))),"")</f>
        <v/>
      </c>
      <c r="K224" s="33"/>
    </row>
    <row r="225" spans="1:11" ht="14.25" customHeight="1" x14ac:dyDescent="0.3">
      <c r="A225" s="21">
        <f t="shared" si="25"/>
        <v>46283</v>
      </c>
      <c r="B225" s="21"/>
      <c r="C225" s="22"/>
      <c r="D225" s="23"/>
      <c r="E225" s="24">
        <f t="shared" si="26"/>
        <v>0</v>
      </c>
      <c r="F225" t="str">
        <f>IF($C225="","",COUNTIF($C$3:$C225,$C225))</f>
        <v/>
      </c>
      <c r="H225" s="37" t="str">
        <f>IF(SUMPRODUCT(($C$3:$C$267=$H$207)*($F$3:$F$267=15))=0,"",INDEX($A$3:$A$267,SUMPRODUCT(($C$3:$C$267=$H$207)*($F$3:$F$267=15)*(ROW($C$3:$C$267)-ROW($C$3)+1))))</f>
        <v/>
      </c>
      <c r="I225" s="38" t="str">
        <f>IFERROR(IF(SUMPRODUCT(($C$3:$C$267=$H$207)*($F$3:$F$267=15))=0,"",INDEX($D$3:$D$267,SUMPRODUCT(($C$3:$C$267=$H$207)*($F$3:$F$267=15)*(ROW($C$3:$C$267)-ROW($C$3)+1)))),"")</f>
        <v/>
      </c>
      <c r="J225" s="38" t="str">
        <f>IFERROR(IF(SUMPRODUCT(($C$3:$C$267=$H$207)*($F$3:$F$267=15))=0,"",INDEX($E$3:$E$267,SUMPRODUCT(($C$3:$C$267=$H$207)*($F$3:$F$267=15)*(ROW($C$3:$C$267)-ROW($C$3)+1)))),"")</f>
        <v/>
      </c>
      <c r="K225" s="33"/>
    </row>
    <row r="226" spans="1:11" ht="14.25" customHeight="1" x14ac:dyDescent="0.3">
      <c r="A226" s="21">
        <f t="shared" si="25"/>
        <v>46283</v>
      </c>
      <c r="B226" s="21"/>
      <c r="C226" s="22"/>
      <c r="D226" s="23"/>
      <c r="E226" s="24">
        <f t="shared" si="26"/>
        <v>0</v>
      </c>
      <c r="F226" t="str">
        <f>IF($C226="","",COUNTIF($C$3:$C226,$C226))</f>
        <v/>
      </c>
      <c r="H226" s="37" t="str">
        <f>IF(SUMPRODUCT(($C$3:$C$267=$H$207)*($F$3:$F$267=16))=0,"",INDEX($A$3:$A$267,SUMPRODUCT(($C$3:$C$267=$H$207)*($F$3:$F$267=16)*(ROW($C$3:$C$267)-ROW($C$3)+1))))</f>
        <v/>
      </c>
      <c r="I226" s="38" t="str">
        <f>IFERROR(IF(SUMPRODUCT(($C$3:$C$267=$H$207)*($F$3:$F$267=16))=0,"",INDEX($D$3:$D$267,SUMPRODUCT(($C$3:$C$267=$H$207)*($F$3:$F$267=16)*(ROW($C$3:$C$267)-ROW($C$3)+1)))),"")</f>
        <v/>
      </c>
      <c r="J226" s="38" t="str">
        <f>IFERROR(IF(SUMPRODUCT(($C$3:$C$267=$H$207)*($F$3:$F$267=16))=0,"",INDEX($E$3:$E$267,SUMPRODUCT(($C$3:$C$267=$H$207)*($F$3:$F$267=16)*(ROW($C$3:$C$267)-ROW($C$3)+1)))),"")</f>
        <v/>
      </c>
      <c r="K226" s="33"/>
    </row>
    <row r="227" spans="1:11" ht="14.25" customHeight="1" x14ac:dyDescent="0.3">
      <c r="A227" s="21">
        <f t="shared" si="25"/>
        <v>46283</v>
      </c>
      <c r="B227" s="21"/>
      <c r="C227" s="22"/>
      <c r="D227" s="23"/>
      <c r="E227" s="24">
        <f t="shared" si="26"/>
        <v>0</v>
      </c>
      <c r="F227" t="str">
        <f>IF($C227="","",COUNTIF($C$3:$C227,$C227))</f>
        <v/>
      </c>
      <c r="H227" s="34" t="str">
        <f>H14</f>
        <v>Natalie Dreyer</v>
      </c>
      <c r="I227" s="14"/>
      <c r="J227" s="14"/>
      <c r="K227" s="33"/>
    </row>
    <row r="228" spans="1:11" ht="15" customHeight="1" x14ac:dyDescent="0.3">
      <c r="C228" s="25" t="s">
        <v>24</v>
      </c>
      <c r="D228" s="26"/>
      <c r="E228" s="27">
        <f>SUM(E221:E227)</f>
        <v>161.23999999999995</v>
      </c>
      <c r="H228" s="35" t="s">
        <v>26</v>
      </c>
      <c r="I228" s="32">
        <f>IFERROR(SUMIF($C$3:$C$267,H227,$D$3:$D$267),0)</f>
        <v>7.78</v>
      </c>
      <c r="J228" s="14"/>
      <c r="K228" s="33"/>
    </row>
    <row r="229" spans="1:11" ht="15" customHeight="1" x14ac:dyDescent="0.3">
      <c r="H229" s="35" t="s">
        <v>27</v>
      </c>
      <c r="I229" s="32">
        <f>IFERROR(SUMIF($C$3:$C$267,H227,$E$3:$E$267),0)</f>
        <v>63.88836750875226</v>
      </c>
      <c r="J229" s="14"/>
      <c r="K229" s="33"/>
    </row>
    <row r="230" spans="1:11" ht="15" customHeight="1" x14ac:dyDescent="0.3">
      <c r="C230" s="4">
        <v>46284</v>
      </c>
      <c r="D230" s="4"/>
      <c r="E230" s="4"/>
      <c r="H230" s="18" t="s">
        <v>28</v>
      </c>
      <c r="I230" s="20" t="s">
        <v>15</v>
      </c>
      <c r="J230" s="20" t="s">
        <v>16</v>
      </c>
      <c r="K230" s="33"/>
    </row>
    <row r="231" spans="1:11" ht="15" customHeight="1" x14ac:dyDescent="0.3">
      <c r="C231" s="28"/>
      <c r="E231" s="29"/>
      <c r="H231" s="37">
        <f>IF(SUMPRODUCT(($C$3:$C$267=$H$227)*($F$3:$F$267=1))=0,"No entries yet",INDEX($A$3:$A$267,SUMPRODUCT(($C$3:$C$267=$H$227)*($F$3:$F$267=1)*(ROW($C$3:$C$267)-ROW($C$3)+1))))</f>
        <v>46281</v>
      </c>
      <c r="I231" s="38">
        <f>IFERROR(IF(SUMPRODUCT(($C$3:$C$267=$H$227)*($F$3:$F$267=1))=0,"",INDEX($D$3:$D$267,SUMPRODUCT(($C$3:$C$267=$H$227)*($F$3:$F$267=1)*(ROW($C$3:$C$267)-ROW($C$3)+1)))),"")</f>
        <v>2.87</v>
      </c>
      <c r="J231" s="38">
        <f>IFERROR(IF(SUMPRODUCT(($C$3:$C$267=$H$227)*($F$3:$F$267=1))=0,"",INDEX($E$3:$E$267,SUMPRODUCT(($C$3:$C$267=$H$227)*($F$3:$F$267=1)*(ROW($C$3:$C$267)-ROW($C$3)+1)))),"")</f>
        <v>7.4277397260273963</v>
      </c>
      <c r="K231" s="33"/>
    </row>
    <row r="232" spans="1:11" ht="14.25" customHeight="1" x14ac:dyDescent="0.3">
      <c r="C232" s="10" t="s">
        <v>5</v>
      </c>
      <c r="D232" s="11">
        <v>246.83</v>
      </c>
      <c r="E232" s="12"/>
      <c r="H232" s="37">
        <f>IF(SUMPRODUCT(($C$3:$C$267=$H$227)*($F$3:$F$267=2))=0,"",INDEX($A$3:$A$267,SUMPRODUCT(($C$3:$C$267=$H$227)*($F$3:$F$267=2)*(ROW($C$3:$C$267)-ROW($C$3)+1))))</f>
        <v>46284</v>
      </c>
      <c r="I232" s="38">
        <f>IFERROR(IF(SUMPRODUCT(($C$3:$C$267=$H$227)*($F$3:$F$267=2))=0,"",INDEX($D$3:$D$267,SUMPRODUCT(($C$3:$C$267=$H$227)*($F$3:$F$267=2)*(ROW($C$3:$C$267)-ROW($C$3)+1)))),"")</f>
        <v>4.91</v>
      </c>
      <c r="J232" s="38">
        <f>IFERROR(IF(SUMPRODUCT(($C$3:$C$267=$H$227)*($F$3:$F$267=2))=0,"",INDEX($E$3:$E$267,SUMPRODUCT(($C$3:$C$267=$H$227)*($F$3:$F$267=2)*(ROW($C$3:$C$267)-ROW($C$3)+1)))),"")</f>
        <v>56.460627782724863</v>
      </c>
      <c r="K232" s="33"/>
    </row>
    <row r="233" spans="1:11" ht="14.25" customHeight="1" x14ac:dyDescent="0.3">
      <c r="C233" s="10" t="s">
        <v>7</v>
      </c>
      <c r="D233" s="15"/>
      <c r="E233" s="16"/>
      <c r="H233" s="37" t="str">
        <f>IF(SUMPRODUCT(($C$3:$C$267=$H$227)*($F$3:$F$267=3))=0,"",INDEX($A$3:$A$267,SUMPRODUCT(($C$3:$C$267=$H$227)*($F$3:$F$267=3)*(ROW($C$3:$C$267)-ROW($C$3)+1))))</f>
        <v/>
      </c>
      <c r="I233" s="38" t="str">
        <f>IFERROR(IF(SUMPRODUCT(($C$3:$C$267=$H$227)*($F$3:$F$267=3))=0,"",INDEX($D$3:$D$267,SUMPRODUCT(($C$3:$C$267=$H$227)*($F$3:$F$267=3)*(ROW($C$3:$C$267)-ROW($C$3)+1)))),"")</f>
        <v/>
      </c>
      <c r="J233" s="38" t="str">
        <f>IFERROR(IF(SUMPRODUCT(($C$3:$C$267=$H$227)*($F$3:$F$267=3))=0,"",INDEX($E$3:$E$267,SUMPRODUCT(($C$3:$C$267=$H$227)*($F$3:$F$267=3)*(ROW($C$3:$C$267)-ROW($C$3)+1)))),"")</f>
        <v/>
      </c>
      <c r="K233" s="33"/>
    </row>
    <row r="234" spans="1:11" ht="14.25" customHeight="1" x14ac:dyDescent="0.3">
      <c r="C234" s="10" t="s">
        <v>9</v>
      </c>
      <c r="D234" s="10">
        <v>11.44</v>
      </c>
      <c r="E234" s="12"/>
      <c r="H234" s="37" t="str">
        <f>IF(SUMPRODUCT(($C$3:$C$267=$H$227)*($F$3:$F$267=4))=0,"",INDEX($A$3:$A$267,SUMPRODUCT(($C$3:$C$267=$H$227)*($F$3:$F$267=4)*(ROW($C$3:$C$267)-ROW($C$3)+1))))</f>
        <v/>
      </c>
      <c r="I234" s="38" t="str">
        <f>IFERROR(IF(SUMPRODUCT(($C$3:$C$267=$H$227)*($F$3:$F$267=4))=0,"",INDEX($D$3:$D$267,SUMPRODUCT(($C$3:$C$267=$H$227)*($F$3:$F$267=4)*(ROW($C$3:$C$267)-ROW($C$3)+1)))),"")</f>
        <v/>
      </c>
      <c r="J234" s="38" t="str">
        <f>IFERROR(IF(SUMPRODUCT(($C$3:$C$267=$H$227)*($F$3:$F$267=4))=0,"",INDEX($E$3:$E$267,SUMPRODUCT(($C$3:$C$267=$H$227)*($F$3:$F$267=4)*(ROW($C$3:$C$267)-ROW($C$3)+1)))),"")</f>
        <v/>
      </c>
      <c r="K234" s="33"/>
    </row>
    <row r="235" spans="1:11" ht="14.25" customHeight="1" x14ac:dyDescent="0.3">
      <c r="C235" s="10" t="s">
        <v>2</v>
      </c>
      <c r="D235" s="17">
        <f>SUM(D232:D234)</f>
        <v>258.27000000000004</v>
      </c>
      <c r="E235" s="12"/>
      <c r="H235" s="37" t="str">
        <f>IF(SUMPRODUCT(($C$3:$C$267=$H$227)*($F$3:$F$267=5))=0,"",INDEX($A$3:$A$267,SUMPRODUCT(($C$3:$C$267=$H$227)*($F$3:$F$267=5)*(ROW($C$3:$C$267)-ROW($C$3)+1))))</f>
        <v/>
      </c>
      <c r="I235" s="38" t="str">
        <f>IFERROR(IF(SUMPRODUCT(($C$3:$C$267=$H$227)*($F$3:$F$267=5))=0,"",INDEX($D$3:$D$267,SUMPRODUCT(($C$3:$C$267=$H$227)*($F$3:$F$267=5)*(ROW($C$3:$C$267)-ROW($C$3)+1)))),"")</f>
        <v/>
      </c>
      <c r="J235" s="38" t="str">
        <f>IFERROR(IF(SUMPRODUCT(($C$3:$C$267=$H$227)*($F$3:$F$267=5))=0,"",INDEX($E$3:$E$267,SUMPRODUCT(($C$3:$C$267=$H$227)*($F$3:$F$267=5)*(ROW($C$3:$C$267)-ROW($C$3)+1)))),"")</f>
        <v/>
      </c>
      <c r="K235" s="33"/>
    </row>
    <row r="236" spans="1:11" ht="14.25" customHeight="1" x14ac:dyDescent="0.3">
      <c r="C236" s="10" t="s">
        <v>3</v>
      </c>
      <c r="D236" s="10">
        <f>SUM(D240:D246)</f>
        <v>22.459999999999997</v>
      </c>
      <c r="E236" s="12"/>
      <c r="H236" s="37" t="str">
        <f>IF(SUMPRODUCT(($C$3:$C$267=$H$227)*($F$3:$F$267=6))=0,"",INDEX($A$3:$A$267,SUMPRODUCT(($C$3:$C$267=$H$227)*($F$3:$F$267=6)*(ROW($C$3:$C$267)-ROW($C$3)+1))))</f>
        <v/>
      </c>
      <c r="I236" s="38" t="str">
        <f>IFERROR(IF(SUMPRODUCT(($C$3:$C$267=$H$227)*($F$3:$F$267=6))=0,"",INDEX($D$3:$D$267,SUMPRODUCT(($C$3:$C$267=$H$227)*($F$3:$F$267=6)*(ROW($C$3:$C$267)-ROW($C$3)+1)))),"")</f>
        <v/>
      </c>
      <c r="J236" s="38" t="str">
        <f>IFERROR(IF(SUMPRODUCT(($C$3:$C$267=$H$227)*($F$3:$F$267=6))=0,"",INDEX($E$3:$E$267,SUMPRODUCT(($C$3:$C$267=$H$227)*($F$3:$F$267=6)*(ROW($C$3:$C$267)-ROW($C$3)+1)))),"")</f>
        <v/>
      </c>
      <c r="K236" s="33"/>
    </row>
    <row r="237" spans="1:11" ht="14.25" customHeight="1" x14ac:dyDescent="0.3">
      <c r="C237" s="10" t="s">
        <v>13</v>
      </c>
      <c r="D237" s="17">
        <f>D235/D236</f>
        <v>11.499109528049869</v>
      </c>
      <c r="E237" s="12"/>
      <c r="H237" s="37" t="str">
        <f>IF(SUMPRODUCT(($C$3:$C$267=$H$227)*($F$3:$F$267=7))=0,"",INDEX($A$3:$A$267,SUMPRODUCT(($C$3:$C$267=$H$227)*($F$3:$F$267=7)*(ROW($C$3:$C$267)-ROW($C$3)+1))))</f>
        <v/>
      </c>
      <c r="I237" s="38" t="str">
        <f>IFERROR(IF(SUMPRODUCT(($C$3:$C$267=$H$227)*($F$3:$F$267=7))=0,"",INDEX($D$3:$D$267,SUMPRODUCT(($C$3:$C$267=$H$227)*($F$3:$F$267=7)*(ROW($C$3:$C$267)-ROW($C$3)+1)))),"")</f>
        <v/>
      </c>
      <c r="J237" s="38" t="str">
        <f>IFERROR(IF(SUMPRODUCT(($C$3:$C$267=$H$227)*($F$3:$F$267=7))=0,"",INDEX($E$3:$E$267,SUMPRODUCT(($C$3:$C$267=$H$227)*($F$3:$F$267=7)*(ROW($C$3:$C$267)-ROW($C$3)+1)))),"")</f>
        <v/>
      </c>
      <c r="K237" s="33"/>
    </row>
    <row r="238" spans="1:11" ht="14.25" customHeight="1" x14ac:dyDescent="0.3">
      <c r="C238" s="12"/>
      <c r="D238" s="36"/>
      <c r="E238" s="12"/>
      <c r="H238" s="37" t="str">
        <f>IF(SUMPRODUCT(($C$3:$C$267=$H$227)*($F$3:$F$267=8))=0,"",INDEX($A$3:$A$267,SUMPRODUCT(($C$3:$C$267=$H$227)*($F$3:$F$267=8)*(ROW($C$3:$C$267)-ROW($C$3)+1))))</f>
        <v/>
      </c>
      <c r="I238" s="38" t="str">
        <f>IFERROR(IF(SUMPRODUCT(($C$3:$C$267=$H$227)*($F$3:$F$267=8))=0,"",INDEX($D$3:$D$267,SUMPRODUCT(($C$3:$C$267=$H$227)*($F$3:$F$267=8)*(ROW($C$3:$C$267)-ROW($C$3)+1)))),"")</f>
        <v/>
      </c>
      <c r="J238" s="38" t="str">
        <f>IFERROR(IF(SUMPRODUCT(($C$3:$C$267=$H$227)*($F$3:$F$267=8))=0,"",INDEX($E$3:$E$267,SUMPRODUCT(($C$3:$C$267=$H$227)*($F$3:$F$267=8)*(ROW($C$3:$C$267)-ROW($C$3)+1)))),"")</f>
        <v/>
      </c>
      <c r="K238" s="33"/>
    </row>
    <row r="239" spans="1:11" ht="15" customHeight="1" x14ac:dyDescent="0.3">
      <c r="C239" s="18" t="s">
        <v>1</v>
      </c>
      <c r="D239" s="20" t="s">
        <v>15</v>
      </c>
      <c r="E239" s="20" t="s">
        <v>16</v>
      </c>
      <c r="H239" s="37" t="str">
        <f>IF(SUMPRODUCT(($C$3:$C$267=$H$227)*($F$3:$F$267=9))=0,"",INDEX($A$3:$A$267,SUMPRODUCT(($C$3:$C$267=$H$227)*($F$3:$F$267=9)*(ROW($C$3:$C$267)-ROW($C$3)+1))))</f>
        <v/>
      </c>
      <c r="I239" s="38" t="str">
        <f>IFERROR(IF(SUMPRODUCT(($C$3:$C$267=$H$227)*($F$3:$F$267=9))=0,"",INDEX($D$3:$D$267,SUMPRODUCT(($C$3:$C$267=$H$227)*($F$3:$F$267=9)*(ROW($C$3:$C$267)-ROW($C$3)+1)))),"")</f>
        <v/>
      </c>
      <c r="J239" s="38" t="str">
        <f>IFERROR(IF(SUMPRODUCT(($C$3:$C$267=$H$227)*($F$3:$F$267=9))=0,"",INDEX($E$3:$E$267,SUMPRODUCT(($C$3:$C$267=$H$227)*($F$3:$F$267=9)*(ROW($C$3:$C$267)-ROW($C$3)+1)))),"")</f>
        <v/>
      </c>
      <c r="K239" s="33"/>
    </row>
    <row r="240" spans="1:11" ht="14.25" customHeight="1" x14ac:dyDescent="0.3">
      <c r="A240" s="21">
        <f t="shared" ref="A240:A246" si="27">$C$230</f>
        <v>46284</v>
      </c>
      <c r="B240" s="21"/>
      <c r="C240" s="22" t="s">
        <v>18</v>
      </c>
      <c r="D240" s="23">
        <v>6.25</v>
      </c>
      <c r="E240" s="24">
        <f t="shared" ref="E240:E246" si="28">D240*$D$237</f>
        <v>71.869434550311681</v>
      </c>
      <c r="F240">
        <f>IF($C240="","",COUNTIF($C$3:$C240,$C240))</f>
        <v>6</v>
      </c>
      <c r="H240" s="37" t="str">
        <f>IF(SUMPRODUCT(($C$3:$C$267=$H$227)*($F$3:$F$267=10))=0,"",INDEX($A$3:$A$267,SUMPRODUCT(($C$3:$C$267=$H$227)*($F$3:$F$267=10)*(ROW($C$3:$C$267)-ROW($C$3)+1))))</f>
        <v/>
      </c>
      <c r="I240" s="38" t="str">
        <f>IFERROR(IF(SUMPRODUCT(($C$3:$C$267=$H$227)*($F$3:$F$267=10))=0,"",INDEX($D$3:$D$267,SUMPRODUCT(($C$3:$C$267=$H$227)*($F$3:$F$267=10)*(ROW($C$3:$C$267)-ROW($C$3)+1)))),"")</f>
        <v/>
      </c>
      <c r="J240" s="38" t="str">
        <f>IFERROR(IF(SUMPRODUCT(($C$3:$C$267=$H$227)*($F$3:$F$267=10))=0,"",INDEX($E$3:$E$267,SUMPRODUCT(($C$3:$C$267=$H$227)*($F$3:$F$267=10)*(ROW($C$3:$C$267)-ROW($C$3)+1)))),"")</f>
        <v/>
      </c>
      <c r="K240" s="33"/>
    </row>
    <row r="241" spans="1:11" ht="14.25" customHeight="1" x14ac:dyDescent="0.3">
      <c r="A241" s="21">
        <f t="shared" si="27"/>
        <v>46284</v>
      </c>
      <c r="B241" s="21"/>
      <c r="C241" s="22" t="s">
        <v>20</v>
      </c>
      <c r="D241" s="23">
        <v>4.91</v>
      </c>
      <c r="E241" s="24">
        <f t="shared" si="28"/>
        <v>56.460627782724863</v>
      </c>
      <c r="F241">
        <f>IF($C241="","",COUNTIF($C$3:$C241,$C241))</f>
        <v>2</v>
      </c>
      <c r="H241" s="37" t="str">
        <f>IF(SUMPRODUCT(($C$3:$C$267=$H$227)*($F$3:$F$267=11))=0,"",INDEX($A$3:$A$267,SUMPRODUCT(($C$3:$C$267=$H$227)*($F$3:$F$267=11)*(ROW($C$3:$C$267)-ROW($C$3)+1))))</f>
        <v/>
      </c>
      <c r="I241" s="38" t="str">
        <f>IFERROR(IF(SUMPRODUCT(($C$3:$C$267=$H$227)*($F$3:$F$267=11))=0,"",INDEX($D$3:$D$267,SUMPRODUCT(($C$3:$C$267=$H$227)*($F$3:$F$267=11)*(ROW($C$3:$C$267)-ROW($C$3)+1)))),"")</f>
        <v/>
      </c>
      <c r="J241" s="38" t="str">
        <f>IFERROR(IF(SUMPRODUCT(($C$3:$C$267=$H$227)*($F$3:$F$267=11))=0,"",INDEX($E$3:$E$267,SUMPRODUCT(($C$3:$C$267=$H$227)*($F$3:$F$267=11)*(ROW($C$3:$C$267)-ROW($C$3)+1)))),"")</f>
        <v/>
      </c>
      <c r="K241" s="33"/>
    </row>
    <row r="242" spans="1:11" ht="14.25" customHeight="1" x14ac:dyDescent="0.3">
      <c r="A242" s="21">
        <f t="shared" si="27"/>
        <v>46284</v>
      </c>
      <c r="B242" s="21"/>
      <c r="C242" s="22" t="s">
        <v>12</v>
      </c>
      <c r="D242" s="23">
        <v>5.85</v>
      </c>
      <c r="E242" s="24">
        <f t="shared" si="28"/>
        <v>67.269790739091732</v>
      </c>
      <c r="F242">
        <f>IF($C242="","",COUNTIF($C$3:$C242,$C242))</f>
        <v>8</v>
      </c>
      <c r="H242" s="37" t="str">
        <f>IF(SUMPRODUCT(($C$3:$C$267=$H$227)*($F$3:$F$267=12))=0,"",INDEX($A$3:$A$267,SUMPRODUCT(($C$3:$C$267=$H$227)*($F$3:$F$267=12)*(ROW($C$3:$C$267)-ROW($C$3)+1))))</f>
        <v/>
      </c>
      <c r="I242" s="38" t="str">
        <f>IFERROR(IF(SUMPRODUCT(($C$3:$C$267=$H$227)*($F$3:$F$267=12))=0,"",INDEX($D$3:$D$267,SUMPRODUCT(($C$3:$C$267=$H$227)*($F$3:$F$267=12)*(ROW($C$3:$C$267)-ROW($C$3)+1)))),"")</f>
        <v/>
      </c>
      <c r="J242" s="38" t="str">
        <f>IFERROR(IF(SUMPRODUCT(($C$3:$C$267=$H$227)*($F$3:$F$267=12))=0,"",INDEX($E$3:$E$267,SUMPRODUCT(($C$3:$C$267=$H$227)*($F$3:$F$267=12)*(ROW($C$3:$C$267)-ROW($C$3)+1)))),"")</f>
        <v/>
      </c>
      <c r="K242" s="33"/>
    </row>
    <row r="243" spans="1:11" ht="14.25" customHeight="1" x14ac:dyDescent="0.3">
      <c r="A243" s="21">
        <f t="shared" si="27"/>
        <v>46284</v>
      </c>
      <c r="B243" s="21"/>
      <c r="C243" s="22" t="s">
        <v>21</v>
      </c>
      <c r="D243" s="23">
        <v>5.45</v>
      </c>
      <c r="E243" s="24">
        <f t="shared" si="28"/>
        <v>62.670146927871791</v>
      </c>
      <c r="F243">
        <f>IF($C243="","",COUNTIF($C$3:$C243,$C243))</f>
        <v>9</v>
      </c>
      <c r="H243" s="37" t="str">
        <f>IF(SUMPRODUCT(($C$3:$C$267=$H$227)*($F$3:$F$267=13))=0,"",INDEX($A$3:$A$267,SUMPRODUCT(($C$3:$C$267=$H$227)*($F$3:$F$267=13)*(ROW($C$3:$C$267)-ROW($C$3)+1))))</f>
        <v/>
      </c>
      <c r="I243" s="38" t="str">
        <f>IFERROR(IF(SUMPRODUCT(($C$3:$C$267=$H$227)*($F$3:$F$267=13))=0,"",INDEX($D$3:$D$267,SUMPRODUCT(($C$3:$C$267=$H$227)*($F$3:$F$267=13)*(ROW($C$3:$C$267)-ROW($C$3)+1)))),"")</f>
        <v/>
      </c>
      <c r="J243" s="38" t="str">
        <f>IFERROR(IF(SUMPRODUCT(($C$3:$C$267=$H$227)*($F$3:$F$267=13))=0,"",INDEX($E$3:$E$267,SUMPRODUCT(($C$3:$C$267=$H$227)*($F$3:$F$267=13)*(ROW($C$3:$C$267)-ROW($C$3)+1)))),"")</f>
        <v/>
      </c>
      <c r="K243" s="33"/>
    </row>
    <row r="244" spans="1:11" ht="14.25" customHeight="1" x14ac:dyDescent="0.3">
      <c r="A244" s="21">
        <f t="shared" si="27"/>
        <v>46284</v>
      </c>
      <c r="B244" s="21"/>
      <c r="C244" s="22"/>
      <c r="D244" s="23"/>
      <c r="E244" s="24">
        <f t="shared" si="28"/>
        <v>0</v>
      </c>
      <c r="F244" t="str">
        <f>IF($C244="","",COUNTIF($C$3:$C244,$C244))</f>
        <v/>
      </c>
      <c r="H244" s="37" t="str">
        <f>IF(SUMPRODUCT(($C$3:$C$267=$H$227)*($F$3:$F$267=14))=0,"",INDEX($A$3:$A$267,SUMPRODUCT(($C$3:$C$267=$H$227)*($F$3:$F$267=14)*(ROW($C$3:$C$267)-ROW($C$3)+1))))</f>
        <v/>
      </c>
      <c r="I244" s="38" t="str">
        <f>IFERROR(IF(SUMPRODUCT(($C$3:$C$267=$H$227)*($F$3:$F$267=14))=0,"",INDEX($D$3:$D$267,SUMPRODUCT(($C$3:$C$267=$H$227)*($F$3:$F$267=14)*(ROW($C$3:$C$267)-ROW($C$3)+1)))),"")</f>
        <v/>
      </c>
      <c r="J244" s="38" t="str">
        <f>IFERROR(IF(SUMPRODUCT(($C$3:$C$267=$H$227)*($F$3:$F$267=14))=0,"",INDEX($E$3:$E$267,SUMPRODUCT(($C$3:$C$267=$H$227)*($F$3:$F$267=14)*(ROW($C$3:$C$267)-ROW($C$3)+1)))),"")</f>
        <v/>
      </c>
      <c r="K244" s="33"/>
    </row>
    <row r="245" spans="1:11" ht="14.25" customHeight="1" x14ac:dyDescent="0.3">
      <c r="A245" s="21">
        <f t="shared" si="27"/>
        <v>46284</v>
      </c>
      <c r="B245" s="21"/>
      <c r="C245" s="22"/>
      <c r="D245" s="23"/>
      <c r="E245" s="24">
        <f t="shared" si="28"/>
        <v>0</v>
      </c>
      <c r="F245" t="str">
        <f>IF($C245="","",COUNTIF($C$3:$C245,$C245))</f>
        <v/>
      </c>
      <c r="H245" s="37" t="str">
        <f>IF(SUMPRODUCT(($C$3:$C$267=$H$227)*($F$3:$F$267=15))=0,"",INDEX($A$3:$A$267,SUMPRODUCT(($C$3:$C$267=$H$227)*($F$3:$F$267=15)*(ROW($C$3:$C$267)-ROW($C$3)+1))))</f>
        <v/>
      </c>
      <c r="I245" s="38" t="str">
        <f>IFERROR(IF(SUMPRODUCT(($C$3:$C$267=$H$227)*($F$3:$F$267=15))=0,"",INDEX($D$3:$D$267,SUMPRODUCT(($C$3:$C$267=$H$227)*($F$3:$F$267=15)*(ROW($C$3:$C$267)-ROW($C$3)+1)))),"")</f>
        <v/>
      </c>
      <c r="J245" s="38" t="str">
        <f>IFERROR(IF(SUMPRODUCT(($C$3:$C$267=$H$227)*($F$3:$F$267=15))=0,"",INDEX($E$3:$E$267,SUMPRODUCT(($C$3:$C$267=$H$227)*($F$3:$F$267=15)*(ROW($C$3:$C$267)-ROW($C$3)+1)))),"")</f>
        <v/>
      </c>
      <c r="K245" s="33"/>
    </row>
    <row r="246" spans="1:11" ht="14.25" customHeight="1" x14ac:dyDescent="0.3">
      <c r="A246" s="21">
        <f t="shared" si="27"/>
        <v>46284</v>
      </c>
      <c r="B246" s="21"/>
      <c r="C246" s="22"/>
      <c r="D246" s="23"/>
      <c r="E246" s="24">
        <f t="shared" si="28"/>
        <v>0</v>
      </c>
      <c r="F246" t="str">
        <f>IF($C246="","",COUNTIF($C$3:$C246,$C246))</f>
        <v/>
      </c>
      <c r="H246" s="37" t="str">
        <f>IF(SUMPRODUCT(($C$3:$C$267=$H$227)*($F$3:$F$267=16))=0,"",INDEX($A$3:$A$267,SUMPRODUCT(($C$3:$C$267=$H$227)*($F$3:$F$267=16)*(ROW($C$3:$C$267)-ROW($C$3)+1))))</f>
        <v/>
      </c>
      <c r="I246" s="38" t="str">
        <f>IFERROR(IF(SUMPRODUCT(($C$3:$C$267=$H$227)*($F$3:$F$267=16))=0,"",INDEX($D$3:$D$267,SUMPRODUCT(($C$3:$C$267=$H$227)*($F$3:$F$267=16)*(ROW($C$3:$C$267)-ROW($C$3)+1)))),"")</f>
        <v/>
      </c>
      <c r="J246" s="38" t="str">
        <f>IFERROR(IF(SUMPRODUCT(($C$3:$C$267=$H$227)*($F$3:$F$267=16))=0,"",INDEX($E$3:$E$267,SUMPRODUCT(($C$3:$C$267=$H$227)*($F$3:$F$267=16)*(ROW($C$3:$C$267)-ROW($C$3)+1)))),"")</f>
        <v/>
      </c>
      <c r="K246" s="33"/>
    </row>
    <row r="247" spans="1:11" ht="15" customHeight="1" x14ac:dyDescent="0.3">
      <c r="C247" s="25" t="s">
        <v>24</v>
      </c>
      <c r="D247" s="26"/>
      <c r="E247" s="27">
        <f>SUM(E240:E246)</f>
        <v>258.27000000000004</v>
      </c>
      <c r="H247" s="33"/>
      <c r="I247" s="33"/>
      <c r="J247" s="44"/>
      <c r="K247" s="33"/>
    </row>
    <row r="248" spans="1:11" ht="15" customHeight="1" x14ac:dyDescent="0.3">
      <c r="H248" s="33"/>
      <c r="I248" s="33"/>
      <c r="J248" s="33"/>
      <c r="K248" s="33"/>
    </row>
    <row r="249" spans="1:11" ht="15" customHeight="1" x14ac:dyDescent="0.3">
      <c r="C249" s="4">
        <v>46285</v>
      </c>
      <c r="D249" s="4"/>
      <c r="E249" s="4"/>
      <c r="H249" s="33"/>
      <c r="I249" s="33"/>
      <c r="J249" s="33"/>
      <c r="K249" s="33"/>
    </row>
    <row r="250" spans="1:11" ht="15" customHeight="1" x14ac:dyDescent="0.3">
      <c r="C250" s="28"/>
      <c r="E250" s="29"/>
      <c r="H250" s="33"/>
      <c r="I250" s="33"/>
      <c r="J250" s="33"/>
      <c r="K250" s="33"/>
    </row>
    <row r="251" spans="1:11" ht="14.25" customHeight="1" x14ac:dyDescent="0.3">
      <c r="C251" s="10" t="s">
        <v>5</v>
      </c>
      <c r="D251" s="11">
        <v>167.59</v>
      </c>
      <c r="E251" s="12"/>
      <c r="H251" s="33"/>
      <c r="I251" s="33"/>
      <c r="J251" s="33"/>
      <c r="K251" s="33"/>
    </row>
    <row r="252" spans="1:11" ht="14.25" customHeight="1" x14ac:dyDescent="0.3">
      <c r="C252" s="10" t="s">
        <v>7</v>
      </c>
      <c r="D252" s="15"/>
      <c r="E252" s="16"/>
      <c r="H252" s="33"/>
      <c r="I252" s="33"/>
      <c r="J252" s="33"/>
      <c r="K252" s="33"/>
    </row>
    <row r="253" spans="1:11" ht="14.25" customHeight="1" x14ac:dyDescent="0.3">
      <c r="C253" s="10" t="s">
        <v>9</v>
      </c>
      <c r="D253" s="10"/>
      <c r="E253" s="12"/>
      <c r="H253" s="33"/>
      <c r="I253" s="33"/>
      <c r="J253" s="33"/>
      <c r="K253" s="33"/>
    </row>
    <row r="254" spans="1:11" ht="14.25" customHeight="1" x14ac:dyDescent="0.3">
      <c r="C254" s="10" t="s">
        <v>2</v>
      </c>
      <c r="D254" s="17">
        <f>SUM(D251:D253)</f>
        <v>167.59</v>
      </c>
      <c r="E254" s="12"/>
      <c r="H254" s="33"/>
      <c r="I254" s="33"/>
      <c r="J254" s="33"/>
      <c r="K254" s="33"/>
    </row>
    <row r="255" spans="1:11" ht="14.25" customHeight="1" x14ac:dyDescent="0.3">
      <c r="C255" s="10" t="s">
        <v>3</v>
      </c>
      <c r="D255" s="10">
        <f>SUM(D259:D265)</f>
        <v>18.07</v>
      </c>
      <c r="E255" s="12"/>
      <c r="H255" s="33"/>
      <c r="I255" s="33"/>
      <c r="J255" s="33"/>
      <c r="K255" s="33"/>
    </row>
    <row r="256" spans="1:11" ht="14.25" customHeight="1" x14ac:dyDescent="0.3">
      <c r="C256" s="10" t="s">
        <v>13</v>
      </c>
      <c r="D256" s="17">
        <f>D254/D255</f>
        <v>9.2744881018262308</v>
      </c>
      <c r="E256" s="12"/>
      <c r="H256" s="33"/>
      <c r="I256" s="33"/>
      <c r="J256" s="33"/>
      <c r="K256" s="33"/>
    </row>
    <row r="257" spans="1:11" ht="14.25" customHeight="1" x14ac:dyDescent="0.3">
      <c r="C257" s="12"/>
      <c r="D257" s="36"/>
      <c r="E257" s="12"/>
      <c r="H257" s="33"/>
      <c r="I257" s="33"/>
      <c r="J257" s="33"/>
      <c r="K257" s="33"/>
    </row>
    <row r="258" spans="1:11" ht="15" customHeight="1" x14ac:dyDescent="0.3">
      <c r="C258" s="18" t="s">
        <v>1</v>
      </c>
      <c r="D258" s="20" t="s">
        <v>15</v>
      </c>
      <c r="E258" s="20" t="s">
        <v>16</v>
      </c>
      <c r="H258" s="33"/>
      <c r="I258" s="33"/>
      <c r="J258" s="33"/>
      <c r="K258" s="33"/>
    </row>
    <row r="259" spans="1:11" ht="14.25" customHeight="1" x14ac:dyDescent="0.3">
      <c r="A259" s="21">
        <f t="shared" ref="A259:A265" si="29">$C$249</f>
        <v>46285</v>
      </c>
      <c r="B259" s="21"/>
      <c r="C259" s="22" t="s">
        <v>12</v>
      </c>
      <c r="D259" s="23">
        <v>7.94</v>
      </c>
      <c r="E259" s="24">
        <f t="shared" ref="E259:E265" si="30">D259*$D$256</f>
        <v>73.639435528500272</v>
      </c>
      <c r="F259">
        <f>IF($C259="","",COUNTIF($C$3:$C259,$C259))</f>
        <v>9</v>
      </c>
      <c r="H259" s="33"/>
      <c r="I259" s="33"/>
      <c r="J259" s="33"/>
      <c r="K259" s="33"/>
    </row>
    <row r="260" spans="1:11" ht="14.25" customHeight="1" x14ac:dyDescent="0.3">
      <c r="A260" s="21">
        <f t="shared" si="29"/>
        <v>46285</v>
      </c>
      <c r="B260" s="21"/>
      <c r="C260" s="22" t="s">
        <v>21</v>
      </c>
      <c r="D260" s="23">
        <v>5.49</v>
      </c>
      <c r="E260" s="24">
        <f t="shared" si="30"/>
        <v>50.916939679026008</v>
      </c>
      <c r="F260">
        <f>IF($C260="","",COUNTIF($C$3:$C260,$C260))</f>
        <v>10</v>
      </c>
      <c r="H260" s="33"/>
      <c r="I260" s="33"/>
      <c r="J260" s="33"/>
      <c r="K260" s="33"/>
    </row>
    <row r="261" spans="1:11" ht="14.25" customHeight="1" x14ac:dyDescent="0.3">
      <c r="A261" s="21">
        <f t="shared" si="29"/>
        <v>46285</v>
      </c>
      <c r="B261" s="21"/>
      <c r="C261" s="22" t="s">
        <v>6</v>
      </c>
      <c r="D261" s="23">
        <v>4.6399999999999997</v>
      </c>
      <c r="E261" s="24">
        <f t="shared" si="30"/>
        <v>43.033624792473709</v>
      </c>
      <c r="F261">
        <f>IF($C261="","",COUNTIF($C$3:$C261,$C261))</f>
        <v>5</v>
      </c>
      <c r="H261" s="33"/>
      <c r="I261" s="33"/>
      <c r="J261" s="33"/>
      <c r="K261" s="33"/>
    </row>
    <row r="262" spans="1:11" ht="14.25" customHeight="1" x14ac:dyDescent="0.3">
      <c r="A262" s="21">
        <f t="shared" si="29"/>
        <v>46285</v>
      </c>
      <c r="B262" s="21"/>
      <c r="C262" s="22"/>
      <c r="D262" s="23"/>
      <c r="E262" s="24">
        <f t="shared" si="30"/>
        <v>0</v>
      </c>
      <c r="F262" t="str">
        <f>IF($C262="","",COUNTIF($C$3:$C262,$C262))</f>
        <v/>
      </c>
      <c r="H262" s="33"/>
      <c r="I262" s="33"/>
      <c r="J262" s="33"/>
      <c r="K262" s="33"/>
    </row>
    <row r="263" spans="1:11" ht="14.25" customHeight="1" x14ac:dyDescent="0.3">
      <c r="A263" s="21">
        <f t="shared" si="29"/>
        <v>46285</v>
      </c>
      <c r="B263" s="21"/>
      <c r="C263" s="22"/>
      <c r="D263" s="23"/>
      <c r="E263" s="24">
        <f t="shared" si="30"/>
        <v>0</v>
      </c>
      <c r="F263" t="str">
        <f>IF($C263="","",COUNTIF($C$3:$C263,$C263))</f>
        <v/>
      </c>
      <c r="H263" s="33"/>
      <c r="I263" s="33"/>
      <c r="J263" s="33"/>
      <c r="K263" s="33"/>
    </row>
    <row r="264" spans="1:11" ht="14.25" customHeight="1" x14ac:dyDescent="0.3">
      <c r="A264" s="21">
        <f t="shared" si="29"/>
        <v>46285</v>
      </c>
      <c r="B264" s="21"/>
      <c r="C264" s="22"/>
      <c r="D264" s="23"/>
      <c r="E264" s="24">
        <f t="shared" si="30"/>
        <v>0</v>
      </c>
      <c r="F264" t="str">
        <f>IF($C264="","",COUNTIF($C$3:$C264,$C264))</f>
        <v/>
      </c>
      <c r="H264" s="33"/>
      <c r="I264" s="33"/>
      <c r="J264" s="33"/>
      <c r="K264" s="33"/>
    </row>
    <row r="265" spans="1:11" ht="14.25" customHeight="1" x14ac:dyDescent="0.3">
      <c r="A265" s="21">
        <f t="shared" si="29"/>
        <v>46285</v>
      </c>
      <c r="B265" s="21"/>
      <c r="C265" s="22"/>
      <c r="D265" s="23"/>
      <c r="E265" s="24">
        <f t="shared" si="30"/>
        <v>0</v>
      </c>
      <c r="F265" t="str">
        <f>IF($C265="","",COUNTIF($C$3:$C265,$C265))</f>
        <v/>
      </c>
      <c r="H265" s="33"/>
      <c r="I265" s="33"/>
      <c r="J265" s="33"/>
      <c r="K265" s="33"/>
    </row>
    <row r="266" spans="1:11" ht="15" customHeight="1" x14ac:dyDescent="0.3">
      <c r="C266" s="25" t="s">
        <v>24</v>
      </c>
      <c r="D266" s="26"/>
      <c r="E266" s="27">
        <f>SUM(E259:E265)</f>
        <v>167.59</v>
      </c>
      <c r="H266" s="33"/>
      <c r="I266" s="33"/>
      <c r="J266" s="33"/>
      <c r="K266" s="33"/>
    </row>
    <row r="267" spans="1:11" ht="14.25" customHeight="1" x14ac:dyDescent="0.3">
      <c r="C267" s="39"/>
      <c r="D267" s="40"/>
      <c r="E267" s="40"/>
      <c r="H267" s="33"/>
      <c r="I267" s="33"/>
      <c r="J267" s="33"/>
      <c r="K267" s="33"/>
    </row>
    <row r="268" spans="1:11" ht="14.25" customHeight="1" x14ac:dyDescent="0.3">
      <c r="H268" s="33"/>
      <c r="I268" s="33"/>
      <c r="J268" s="33"/>
      <c r="K268" s="33"/>
    </row>
    <row r="269" spans="1:11" ht="14.25" customHeight="1" x14ac:dyDescent="0.3">
      <c r="H269" s="33"/>
      <c r="I269" s="33"/>
      <c r="J269" s="33"/>
      <c r="K269" s="33"/>
    </row>
    <row r="270" spans="1:11" ht="14.25" customHeight="1" x14ac:dyDescent="0.3">
      <c r="H270" s="33"/>
      <c r="I270" s="33"/>
      <c r="J270" s="33"/>
      <c r="K270" s="33"/>
    </row>
    <row r="271" spans="1:11" ht="14.25" customHeight="1" x14ac:dyDescent="0.3">
      <c r="H271" s="33"/>
      <c r="I271" s="33"/>
      <c r="J271" s="33"/>
      <c r="K271" s="33"/>
    </row>
    <row r="272" spans="1:11" ht="14.25" customHeight="1" x14ac:dyDescent="0.3">
      <c r="H272" s="33"/>
      <c r="I272" s="33"/>
      <c r="J272" s="33"/>
      <c r="K272" s="33"/>
    </row>
    <row r="273" spans="8:11" ht="14.25" customHeight="1" x14ac:dyDescent="0.3">
      <c r="H273" s="33"/>
      <c r="I273" s="33"/>
      <c r="J273" s="33"/>
      <c r="K273" s="33"/>
    </row>
    <row r="274" spans="8:11" ht="14.25" customHeight="1" x14ac:dyDescent="0.3">
      <c r="H274" s="33"/>
      <c r="I274" s="33"/>
      <c r="J274" s="33"/>
      <c r="K274" s="33"/>
    </row>
    <row r="275" spans="8:11" ht="14.25" customHeight="1" x14ac:dyDescent="0.3">
      <c r="H275" s="33"/>
      <c r="I275" s="33"/>
      <c r="J275" s="33"/>
      <c r="K275" s="33"/>
    </row>
    <row r="276" spans="8:11" ht="14.25" customHeight="1" x14ac:dyDescent="0.3">
      <c r="H276" s="33"/>
      <c r="I276" s="33"/>
      <c r="J276" s="33"/>
      <c r="K276" s="33"/>
    </row>
    <row r="277" spans="8:11" ht="14.25" customHeight="1" x14ac:dyDescent="0.3">
      <c r="H277" s="33"/>
      <c r="I277" s="33"/>
      <c r="J277" s="33"/>
      <c r="K277" s="33"/>
    </row>
    <row r="278" spans="8:11" ht="14.25" customHeight="1" x14ac:dyDescent="0.3">
      <c r="H278" s="33"/>
      <c r="I278" s="33"/>
      <c r="J278" s="33"/>
      <c r="K278" s="33"/>
    </row>
    <row r="279" spans="8:11" ht="14.25" customHeight="1" x14ac:dyDescent="0.3">
      <c r="H279" s="33"/>
      <c r="I279" s="33"/>
      <c r="J279" s="33"/>
      <c r="K279" s="33"/>
    </row>
    <row r="280" spans="8:11" ht="14.25" customHeight="1" x14ac:dyDescent="0.3">
      <c r="H280" s="33"/>
      <c r="I280" s="33"/>
      <c r="J280" s="33"/>
      <c r="K280" s="33"/>
    </row>
    <row r="281" spans="8:11" ht="14.25" customHeight="1" x14ac:dyDescent="0.3">
      <c r="H281" s="33"/>
      <c r="I281" s="33"/>
      <c r="J281" s="33"/>
      <c r="K281" s="33"/>
    </row>
    <row r="282" spans="8:11" ht="14.25" customHeight="1" x14ac:dyDescent="0.3">
      <c r="H282" s="33"/>
      <c r="I282" s="33"/>
      <c r="J282" s="33"/>
      <c r="K282" s="33"/>
    </row>
    <row r="283" spans="8:11" ht="14.25" customHeight="1" x14ac:dyDescent="0.3">
      <c r="H283" s="33"/>
      <c r="I283" s="33"/>
      <c r="J283" s="33"/>
      <c r="K283" s="33"/>
    </row>
    <row r="284" spans="8:11" ht="14.25" customHeight="1" x14ac:dyDescent="0.3">
      <c r="H284" s="33"/>
      <c r="I284" s="33"/>
      <c r="J284" s="33"/>
      <c r="K284" s="33"/>
    </row>
    <row r="285" spans="8:11" ht="14.25" customHeight="1" x14ac:dyDescent="0.3">
      <c r="H285" s="33"/>
      <c r="I285" s="33"/>
      <c r="J285" s="33"/>
      <c r="K285" s="33"/>
    </row>
    <row r="286" spans="8:11" ht="14.25" customHeight="1" x14ac:dyDescent="0.3">
      <c r="H286" s="33"/>
      <c r="I286" s="33"/>
      <c r="J286" s="33"/>
      <c r="K286" s="33"/>
    </row>
    <row r="287" spans="8:11" ht="14.25" customHeight="1" x14ac:dyDescent="0.3">
      <c r="H287" s="33"/>
      <c r="I287" s="33"/>
      <c r="J287" s="33"/>
      <c r="K287" s="33"/>
    </row>
    <row r="288" spans="8:11" ht="14.25" customHeight="1" x14ac:dyDescent="0.3">
      <c r="H288" s="33"/>
      <c r="I288" s="33"/>
      <c r="J288" s="33"/>
      <c r="K288" s="33"/>
    </row>
    <row r="289" spans="8:11" ht="14.25" customHeight="1" x14ac:dyDescent="0.3">
      <c r="H289" s="33"/>
      <c r="I289" s="33"/>
      <c r="J289" s="33"/>
      <c r="K289" s="33"/>
    </row>
    <row r="290" spans="8:11" ht="14.25" customHeight="1" x14ac:dyDescent="0.3">
      <c r="H290" s="33"/>
      <c r="I290" s="33"/>
      <c r="J290" s="33"/>
      <c r="K290" s="33"/>
    </row>
    <row r="291" spans="8:11" ht="14.25" customHeight="1" x14ac:dyDescent="0.3">
      <c r="H291" s="33"/>
      <c r="I291" s="33"/>
      <c r="J291" s="33"/>
      <c r="K291" s="33"/>
    </row>
    <row r="292" spans="8:11" ht="14.25" customHeight="1" x14ac:dyDescent="0.3">
      <c r="H292" s="33"/>
      <c r="I292" s="33"/>
      <c r="J292" s="33"/>
      <c r="K292" s="33"/>
    </row>
    <row r="293" spans="8:11" ht="14.25" customHeight="1" x14ac:dyDescent="0.3">
      <c r="H293" s="33"/>
      <c r="I293" s="33"/>
      <c r="J293" s="33"/>
      <c r="K293" s="33"/>
    </row>
    <row r="294" spans="8:11" ht="14.25" customHeight="1" x14ac:dyDescent="0.3">
      <c r="H294" s="33"/>
      <c r="I294" s="33"/>
      <c r="J294" s="33"/>
      <c r="K294" s="33"/>
    </row>
    <row r="295" spans="8:11" ht="14.25" customHeight="1" x14ac:dyDescent="0.3">
      <c r="H295" s="33"/>
      <c r="I295" s="33"/>
      <c r="J295" s="33"/>
      <c r="K295" s="33"/>
    </row>
    <row r="296" spans="8:11" ht="14.25" customHeight="1" x14ac:dyDescent="0.3">
      <c r="H296" s="33"/>
      <c r="I296" s="33"/>
      <c r="J296" s="33"/>
      <c r="K296" s="33"/>
    </row>
    <row r="297" spans="8:11" ht="14.25" customHeight="1" x14ac:dyDescent="0.3">
      <c r="H297" s="33"/>
      <c r="I297" s="33"/>
      <c r="J297" s="33"/>
      <c r="K297" s="33"/>
    </row>
    <row r="298" spans="8:11" ht="14.25" customHeight="1" x14ac:dyDescent="0.3">
      <c r="H298" s="33"/>
      <c r="I298" s="33"/>
      <c r="J298" s="33"/>
      <c r="K298" s="33"/>
    </row>
    <row r="299" spans="8:11" ht="14.25" customHeight="1" x14ac:dyDescent="0.3">
      <c r="H299" s="33"/>
      <c r="I299" s="33"/>
      <c r="J299" s="33"/>
      <c r="K299" s="33"/>
    </row>
    <row r="300" spans="8:11" ht="14.25" customHeight="1" x14ac:dyDescent="0.3">
      <c r="H300" s="33"/>
      <c r="I300" s="33"/>
      <c r="J300" s="33"/>
      <c r="K300" s="33"/>
    </row>
    <row r="301" spans="8:11" ht="14.25" customHeight="1" x14ac:dyDescent="0.3">
      <c r="H301" s="33"/>
      <c r="I301" s="33"/>
      <c r="J301" s="33"/>
      <c r="K301" s="33"/>
    </row>
    <row r="302" spans="8:11" ht="14.25" customHeight="1" x14ac:dyDescent="0.3">
      <c r="H302" s="33"/>
      <c r="I302" s="33"/>
      <c r="J302" s="33"/>
      <c r="K302" s="33"/>
    </row>
    <row r="303" spans="8:11" ht="14.25" customHeight="1" x14ac:dyDescent="0.3">
      <c r="H303" s="33"/>
      <c r="I303" s="33"/>
      <c r="J303" s="33"/>
      <c r="K303" s="33"/>
    </row>
    <row r="304" spans="8:11" ht="14.25" customHeight="1" x14ac:dyDescent="0.3">
      <c r="H304" s="33"/>
      <c r="I304" s="33"/>
      <c r="J304" s="33"/>
      <c r="K304" s="33"/>
    </row>
    <row r="305" spans="8:11" ht="14.25" customHeight="1" x14ac:dyDescent="0.3">
      <c r="H305" s="33"/>
      <c r="I305" s="33"/>
      <c r="J305" s="33"/>
      <c r="K305" s="33"/>
    </row>
    <row r="306" spans="8:11" ht="14.25" customHeight="1" x14ac:dyDescent="0.3">
      <c r="H306" s="33"/>
      <c r="I306" s="33"/>
      <c r="J306" s="33"/>
      <c r="K306" s="33"/>
    </row>
    <row r="307" spans="8:11" ht="14.25" customHeight="1" x14ac:dyDescent="0.3">
      <c r="H307" s="33"/>
      <c r="I307" s="33"/>
      <c r="J307" s="33"/>
      <c r="K307" s="33"/>
    </row>
    <row r="308" spans="8:11" ht="14.25" customHeight="1" x14ac:dyDescent="0.3">
      <c r="H308" s="33"/>
      <c r="I308" s="33"/>
      <c r="J308" s="33"/>
      <c r="K308" s="33"/>
    </row>
    <row r="309" spans="8:11" ht="14.25" customHeight="1" x14ac:dyDescent="0.3">
      <c r="H309" s="33"/>
      <c r="I309" s="33"/>
      <c r="J309" s="33"/>
      <c r="K309" s="33"/>
    </row>
    <row r="310" spans="8:11" ht="14.25" customHeight="1" x14ac:dyDescent="0.3">
      <c r="H310" s="33"/>
      <c r="I310" s="33"/>
      <c r="J310" s="33"/>
      <c r="K310" s="33"/>
    </row>
    <row r="311" spans="8:11" ht="14.25" customHeight="1" x14ac:dyDescent="0.3">
      <c r="H311" s="33"/>
      <c r="I311" s="33"/>
      <c r="J311" s="33"/>
      <c r="K311" s="33"/>
    </row>
    <row r="312" spans="8:11" ht="14.25" customHeight="1" x14ac:dyDescent="0.3">
      <c r="H312" s="33"/>
      <c r="I312" s="33"/>
      <c r="J312" s="33"/>
      <c r="K312" s="33"/>
    </row>
    <row r="313" spans="8:11" ht="14.25" customHeight="1" x14ac:dyDescent="0.3">
      <c r="H313" s="33"/>
      <c r="I313" s="33"/>
      <c r="J313" s="33"/>
      <c r="K313" s="33"/>
    </row>
    <row r="314" spans="8:11" ht="14.25" customHeight="1" x14ac:dyDescent="0.3">
      <c r="H314" s="33"/>
      <c r="I314" s="33"/>
      <c r="J314" s="33"/>
      <c r="K314" s="33"/>
    </row>
    <row r="315" spans="8:11" ht="14.25" customHeight="1" x14ac:dyDescent="0.3">
      <c r="H315" s="33"/>
      <c r="I315" s="33"/>
      <c r="J315" s="33"/>
      <c r="K315" s="33"/>
    </row>
    <row r="316" spans="8:11" ht="14.25" customHeight="1" x14ac:dyDescent="0.3">
      <c r="H316" s="33"/>
      <c r="I316" s="33"/>
      <c r="J316" s="33"/>
      <c r="K316" s="33"/>
    </row>
    <row r="317" spans="8:11" ht="14.25" customHeight="1" x14ac:dyDescent="0.3">
      <c r="H317" s="33"/>
      <c r="I317" s="33"/>
      <c r="J317" s="33"/>
      <c r="K317" s="33"/>
    </row>
    <row r="318" spans="8:11" ht="14.25" customHeight="1" x14ac:dyDescent="0.3">
      <c r="H318" s="33"/>
      <c r="I318" s="33"/>
      <c r="J318" s="33"/>
      <c r="K318" s="33"/>
    </row>
    <row r="319" spans="8:11" ht="14.25" customHeight="1" x14ac:dyDescent="0.3">
      <c r="H319" s="33"/>
      <c r="I319" s="33"/>
      <c r="J319" s="33"/>
      <c r="K319" s="33"/>
    </row>
    <row r="320" spans="8:11" ht="14.25" customHeight="1" x14ac:dyDescent="0.3">
      <c r="H320" s="33"/>
      <c r="I320" s="33"/>
      <c r="J320" s="33"/>
      <c r="K320" s="33"/>
    </row>
    <row r="321" spans="8:11" ht="14.25" customHeight="1" x14ac:dyDescent="0.3">
      <c r="H321" s="33"/>
      <c r="I321" s="33"/>
      <c r="J321" s="33"/>
      <c r="K321" s="33"/>
    </row>
    <row r="322" spans="8:11" ht="14.25" customHeight="1" x14ac:dyDescent="0.3">
      <c r="H322" s="33"/>
      <c r="I322" s="33"/>
      <c r="J322" s="33"/>
      <c r="K322" s="33"/>
    </row>
    <row r="323" spans="8:11" ht="14.25" customHeight="1" x14ac:dyDescent="0.3">
      <c r="H323" s="33"/>
      <c r="I323" s="33"/>
      <c r="J323" s="33"/>
      <c r="K323" s="33"/>
    </row>
    <row r="324" spans="8:11" ht="14.25" customHeight="1" x14ac:dyDescent="0.3">
      <c r="H324" s="33"/>
      <c r="I324" s="33"/>
      <c r="J324" s="33"/>
      <c r="K324" s="33"/>
    </row>
    <row r="325" spans="8:11" ht="14.25" customHeight="1" x14ac:dyDescent="0.3">
      <c r="H325" s="33"/>
      <c r="I325" s="33"/>
      <c r="J325" s="33"/>
      <c r="K325" s="33"/>
    </row>
    <row r="326" spans="8:11" ht="14.25" customHeight="1" x14ac:dyDescent="0.3">
      <c r="H326" s="33"/>
      <c r="I326" s="33"/>
      <c r="J326" s="33"/>
      <c r="K326" s="33"/>
    </row>
    <row r="327" spans="8:11" ht="14.25" customHeight="1" x14ac:dyDescent="0.3">
      <c r="H327" s="33"/>
      <c r="I327" s="33"/>
      <c r="J327" s="33"/>
      <c r="K327" s="33"/>
    </row>
    <row r="328" spans="8:11" ht="14.25" customHeight="1" x14ac:dyDescent="0.3">
      <c r="H328" s="33"/>
      <c r="I328" s="33"/>
      <c r="J328" s="33"/>
      <c r="K328" s="33"/>
    </row>
    <row r="329" spans="8:11" ht="14.25" customHeight="1" x14ac:dyDescent="0.3">
      <c r="H329" s="33"/>
      <c r="I329" s="33"/>
      <c r="J329" s="33"/>
      <c r="K329" s="33"/>
    </row>
    <row r="330" spans="8:11" ht="14.25" customHeight="1" x14ac:dyDescent="0.3">
      <c r="H330" s="33"/>
      <c r="I330" s="33"/>
      <c r="J330" s="33"/>
      <c r="K330" s="33"/>
    </row>
    <row r="331" spans="8:11" ht="14.25" customHeight="1" x14ac:dyDescent="0.3">
      <c r="H331" s="33"/>
      <c r="I331" s="33"/>
      <c r="J331" s="33"/>
      <c r="K331" s="33"/>
    </row>
    <row r="332" spans="8:11" ht="14.25" customHeight="1" x14ac:dyDescent="0.3">
      <c r="H332" s="33"/>
      <c r="I332" s="33"/>
      <c r="J332" s="33"/>
      <c r="K332" s="33"/>
    </row>
    <row r="333" spans="8:11" ht="14.25" customHeight="1" x14ac:dyDescent="0.3">
      <c r="H333" s="33"/>
      <c r="I333" s="33"/>
      <c r="J333" s="33"/>
      <c r="K333" s="33"/>
    </row>
    <row r="334" spans="8:11" ht="14.25" customHeight="1" x14ac:dyDescent="0.3">
      <c r="H334" s="33"/>
      <c r="I334" s="33"/>
      <c r="J334" s="33"/>
      <c r="K334" s="33"/>
    </row>
    <row r="335" spans="8:11" ht="14.25" customHeight="1" x14ac:dyDescent="0.3">
      <c r="H335" s="33"/>
      <c r="I335" s="33"/>
      <c r="J335" s="33"/>
      <c r="K335" s="33"/>
    </row>
    <row r="336" spans="8:11" ht="14.25" customHeight="1" x14ac:dyDescent="0.3">
      <c r="H336" s="33"/>
      <c r="I336" s="33"/>
      <c r="J336" s="33"/>
      <c r="K336" s="33"/>
    </row>
    <row r="337" spans="8:11" ht="14.25" customHeight="1" x14ac:dyDescent="0.3">
      <c r="H337" s="33"/>
      <c r="I337" s="33"/>
      <c r="J337" s="33"/>
      <c r="K337" s="33"/>
    </row>
    <row r="338" spans="8:11" ht="14.25" customHeight="1" x14ac:dyDescent="0.3">
      <c r="H338" s="33"/>
      <c r="I338" s="33"/>
      <c r="J338" s="33"/>
      <c r="K338" s="33"/>
    </row>
    <row r="339" spans="8:11" ht="14.25" customHeight="1" x14ac:dyDescent="0.3">
      <c r="H339" s="33"/>
      <c r="I339" s="33"/>
      <c r="J339" s="33"/>
      <c r="K339" s="33"/>
    </row>
    <row r="340" spans="8:11" ht="14.25" customHeight="1" x14ac:dyDescent="0.3">
      <c r="H340" s="33"/>
      <c r="I340" s="33"/>
      <c r="J340" s="33"/>
      <c r="K340" s="33"/>
    </row>
    <row r="341" spans="8:11" ht="14.25" customHeight="1" x14ac:dyDescent="0.3">
      <c r="H341" s="33"/>
      <c r="I341" s="33"/>
      <c r="J341" s="33"/>
      <c r="K341" s="33"/>
    </row>
    <row r="342" spans="8:11" ht="14.25" customHeight="1" x14ac:dyDescent="0.3">
      <c r="H342" s="33"/>
      <c r="I342" s="33"/>
      <c r="J342" s="33"/>
      <c r="K342" s="33"/>
    </row>
    <row r="343" spans="8:11" ht="14.25" customHeight="1" x14ac:dyDescent="0.3">
      <c r="H343" s="33"/>
      <c r="I343" s="33"/>
      <c r="J343" s="33"/>
      <c r="K343" s="33"/>
    </row>
    <row r="344" spans="8:11" ht="14.25" customHeight="1" x14ac:dyDescent="0.3">
      <c r="H344" s="33"/>
      <c r="I344" s="33"/>
      <c r="J344" s="33"/>
      <c r="K344" s="33"/>
    </row>
    <row r="345" spans="8:11" ht="14.25" customHeight="1" x14ac:dyDescent="0.3">
      <c r="H345" s="33"/>
      <c r="I345" s="33"/>
      <c r="J345" s="33"/>
      <c r="K345" s="33"/>
    </row>
    <row r="346" spans="8:11" ht="14.25" customHeight="1" x14ac:dyDescent="0.3">
      <c r="H346" s="33"/>
      <c r="I346" s="33"/>
      <c r="J346" s="33"/>
      <c r="K346" s="33"/>
    </row>
    <row r="347" spans="8:11" ht="14.25" customHeight="1" x14ac:dyDescent="0.3">
      <c r="H347" s="33"/>
      <c r="I347" s="33"/>
      <c r="J347" s="33"/>
      <c r="K347" s="33"/>
    </row>
    <row r="348" spans="8:11" ht="14.25" customHeight="1" x14ac:dyDescent="0.3">
      <c r="H348" s="33"/>
      <c r="I348" s="33"/>
      <c r="J348" s="33"/>
      <c r="K348" s="33"/>
    </row>
    <row r="349" spans="8:11" ht="14.25" customHeight="1" x14ac:dyDescent="0.3">
      <c r="H349" s="33"/>
      <c r="I349" s="33"/>
      <c r="J349" s="33"/>
      <c r="K349" s="33"/>
    </row>
    <row r="350" spans="8:11" ht="14.25" customHeight="1" x14ac:dyDescent="0.3">
      <c r="H350" s="33"/>
      <c r="I350" s="33"/>
      <c r="J350" s="33"/>
      <c r="K350" s="33"/>
    </row>
    <row r="351" spans="8:11" ht="14.25" customHeight="1" x14ac:dyDescent="0.3">
      <c r="H351" s="33"/>
      <c r="I351" s="33"/>
      <c r="J351" s="33"/>
      <c r="K351" s="33"/>
    </row>
    <row r="352" spans="8:11" ht="14.25" customHeight="1" x14ac:dyDescent="0.3">
      <c r="H352" s="33"/>
      <c r="I352" s="33"/>
      <c r="J352" s="33"/>
      <c r="K352" s="33"/>
    </row>
    <row r="353" spans="8:11" ht="14.25" customHeight="1" x14ac:dyDescent="0.3">
      <c r="H353" s="33"/>
      <c r="I353" s="33"/>
      <c r="J353" s="33"/>
      <c r="K353" s="33"/>
    </row>
    <row r="354" spans="8:11" ht="14.25" customHeight="1" x14ac:dyDescent="0.3">
      <c r="H354" s="33"/>
      <c r="I354" s="33"/>
      <c r="J354" s="33"/>
      <c r="K354" s="33"/>
    </row>
    <row r="355" spans="8:11" ht="14.25" customHeight="1" x14ac:dyDescent="0.3">
      <c r="H355" s="33"/>
      <c r="I355" s="33"/>
      <c r="J355" s="33"/>
      <c r="K355" s="33"/>
    </row>
    <row r="356" spans="8:11" ht="14.25" customHeight="1" x14ac:dyDescent="0.3">
      <c r="H356" s="33"/>
      <c r="I356" s="33"/>
      <c r="J356" s="33"/>
      <c r="K356" s="33"/>
    </row>
    <row r="357" spans="8:11" ht="14.25" customHeight="1" x14ac:dyDescent="0.3">
      <c r="H357" s="33"/>
      <c r="I357" s="33"/>
      <c r="J357" s="33"/>
      <c r="K357" s="33"/>
    </row>
    <row r="358" spans="8:11" ht="14.25" customHeight="1" x14ac:dyDescent="0.3">
      <c r="H358" s="33"/>
      <c r="I358" s="33"/>
      <c r="J358" s="33"/>
      <c r="K358" s="33"/>
    </row>
    <row r="359" spans="8:11" ht="14.25" customHeight="1" x14ac:dyDescent="0.3">
      <c r="H359" s="33"/>
      <c r="I359" s="33"/>
      <c r="J359" s="33"/>
      <c r="K359" s="33"/>
    </row>
    <row r="360" spans="8:11" ht="14.25" customHeight="1" x14ac:dyDescent="0.3">
      <c r="H360" s="33"/>
      <c r="I360" s="33"/>
      <c r="J360" s="33"/>
      <c r="K360" s="33"/>
    </row>
    <row r="361" spans="8:11" ht="14.25" customHeight="1" x14ac:dyDescent="0.3">
      <c r="H361" s="33"/>
      <c r="I361" s="33"/>
      <c r="J361" s="33"/>
      <c r="K361" s="33"/>
    </row>
    <row r="362" spans="8:11" ht="14.25" customHeight="1" x14ac:dyDescent="0.3">
      <c r="H362" s="33"/>
      <c r="I362" s="33"/>
      <c r="J362" s="33"/>
      <c r="K362" s="33"/>
    </row>
    <row r="363" spans="8:11" ht="14.25" customHeight="1" x14ac:dyDescent="0.3">
      <c r="H363" s="33"/>
      <c r="I363" s="33"/>
      <c r="J363" s="33"/>
      <c r="K363" s="33"/>
    </row>
    <row r="364" spans="8:11" ht="14.25" customHeight="1" x14ac:dyDescent="0.3">
      <c r="H364" s="33"/>
      <c r="I364" s="33"/>
      <c r="J364" s="33"/>
      <c r="K364" s="33"/>
    </row>
    <row r="365" spans="8:11" ht="14.25" customHeight="1" x14ac:dyDescent="0.3">
      <c r="H365" s="33"/>
      <c r="I365" s="33"/>
      <c r="J365" s="33"/>
      <c r="K365" s="33"/>
    </row>
    <row r="366" spans="8:11" ht="14.25" customHeight="1" x14ac:dyDescent="0.3">
      <c r="H366" s="33"/>
      <c r="I366" s="33"/>
      <c r="J366" s="33"/>
      <c r="K366" s="33"/>
    </row>
    <row r="367" spans="8:11" ht="14.25" customHeight="1" x14ac:dyDescent="0.3">
      <c r="H367" s="33"/>
      <c r="I367" s="33"/>
      <c r="J367" s="33"/>
      <c r="K367" s="33"/>
    </row>
    <row r="368" spans="8:11" ht="14.25" customHeight="1" x14ac:dyDescent="0.3">
      <c r="H368" s="33"/>
      <c r="I368" s="33"/>
      <c r="J368" s="33"/>
      <c r="K368" s="33"/>
    </row>
    <row r="369" spans="8:11" ht="14.25" customHeight="1" x14ac:dyDescent="0.3">
      <c r="H369" s="33"/>
      <c r="I369" s="33"/>
      <c r="J369" s="33"/>
      <c r="K369" s="33"/>
    </row>
    <row r="370" spans="8:11" ht="14.25" customHeight="1" x14ac:dyDescent="0.3">
      <c r="H370" s="33"/>
      <c r="I370" s="33"/>
      <c r="J370" s="33"/>
      <c r="K370" s="33"/>
    </row>
    <row r="371" spans="8:11" ht="14.25" customHeight="1" x14ac:dyDescent="0.3">
      <c r="H371" s="33"/>
      <c r="I371" s="33"/>
      <c r="J371" s="33"/>
      <c r="K371" s="33"/>
    </row>
    <row r="372" spans="8:11" ht="14.25" customHeight="1" x14ac:dyDescent="0.3">
      <c r="H372" s="33"/>
      <c r="I372" s="33"/>
      <c r="J372" s="33"/>
      <c r="K372" s="33"/>
    </row>
    <row r="373" spans="8:11" ht="14.25" customHeight="1" x14ac:dyDescent="0.3">
      <c r="H373" s="33"/>
      <c r="I373" s="33"/>
      <c r="J373" s="33"/>
      <c r="K373" s="33"/>
    </row>
    <row r="374" spans="8:11" ht="14.25" customHeight="1" x14ac:dyDescent="0.3">
      <c r="H374" s="33"/>
      <c r="I374" s="33"/>
      <c r="J374" s="33"/>
      <c r="K374" s="33"/>
    </row>
    <row r="375" spans="8:11" ht="14.25" customHeight="1" x14ac:dyDescent="0.3">
      <c r="H375" s="33"/>
      <c r="I375" s="33"/>
      <c r="J375" s="33"/>
      <c r="K375" s="33"/>
    </row>
    <row r="376" spans="8:11" ht="14.25" customHeight="1" x14ac:dyDescent="0.3">
      <c r="H376" s="33"/>
      <c r="I376" s="33"/>
      <c r="J376" s="33"/>
      <c r="K376" s="33"/>
    </row>
    <row r="377" spans="8:11" ht="14.25" customHeight="1" x14ac:dyDescent="0.3">
      <c r="H377" s="33"/>
      <c r="I377" s="33"/>
      <c r="J377" s="33"/>
      <c r="K377" s="33"/>
    </row>
    <row r="378" spans="8:11" ht="14.25" customHeight="1" x14ac:dyDescent="0.3">
      <c r="H378" s="33"/>
      <c r="I378" s="33"/>
      <c r="J378" s="33"/>
      <c r="K378" s="33"/>
    </row>
    <row r="379" spans="8:11" ht="14.25" customHeight="1" x14ac:dyDescent="0.3">
      <c r="H379" s="33"/>
      <c r="I379" s="33"/>
      <c r="J379" s="33"/>
      <c r="K379" s="33"/>
    </row>
    <row r="380" spans="8:11" ht="14.25" customHeight="1" x14ac:dyDescent="0.3">
      <c r="H380" s="33"/>
      <c r="I380" s="33"/>
      <c r="J380" s="33"/>
      <c r="K380" s="33"/>
    </row>
    <row r="381" spans="8:11" ht="14.25" customHeight="1" x14ac:dyDescent="0.3">
      <c r="H381" s="33"/>
      <c r="I381" s="33"/>
      <c r="J381" s="33"/>
      <c r="K381" s="33"/>
    </row>
    <row r="382" spans="8:11" ht="14.25" customHeight="1" x14ac:dyDescent="0.3">
      <c r="H382" s="33"/>
      <c r="I382" s="33"/>
      <c r="J382" s="33"/>
      <c r="K382" s="33"/>
    </row>
    <row r="383" spans="8:11" ht="14.25" customHeight="1" x14ac:dyDescent="0.3">
      <c r="H383" s="33"/>
      <c r="I383" s="33"/>
      <c r="J383" s="33"/>
      <c r="K383" s="33"/>
    </row>
    <row r="384" spans="8:11" ht="14.25" customHeight="1" x14ac:dyDescent="0.3">
      <c r="H384" s="33"/>
      <c r="I384" s="33"/>
      <c r="J384" s="33"/>
      <c r="K384" s="33"/>
    </row>
    <row r="385" spans="8:11" ht="14.25" customHeight="1" x14ac:dyDescent="0.3">
      <c r="H385" s="33"/>
      <c r="I385" s="33"/>
      <c r="J385" s="33"/>
      <c r="K385" s="33"/>
    </row>
    <row r="386" spans="8:11" ht="14.25" customHeight="1" x14ac:dyDescent="0.3">
      <c r="H386" s="33"/>
      <c r="I386" s="33"/>
      <c r="J386" s="33"/>
      <c r="K386" s="33"/>
    </row>
    <row r="387" spans="8:11" ht="14.25" customHeight="1" x14ac:dyDescent="0.3">
      <c r="H387" s="33"/>
      <c r="I387" s="33"/>
      <c r="J387" s="33"/>
      <c r="K387" s="33"/>
    </row>
    <row r="388" spans="8:11" ht="14.25" customHeight="1" x14ac:dyDescent="0.3">
      <c r="H388" s="33"/>
      <c r="I388" s="33"/>
      <c r="J388" s="33"/>
      <c r="K388" s="33"/>
    </row>
    <row r="389" spans="8:11" ht="14.25" customHeight="1" x14ac:dyDescent="0.3">
      <c r="H389" s="33"/>
      <c r="I389" s="33"/>
      <c r="J389" s="33"/>
      <c r="K389" s="33"/>
    </row>
    <row r="390" spans="8:11" ht="14.25" customHeight="1" x14ac:dyDescent="0.3">
      <c r="H390" s="33"/>
      <c r="I390" s="33"/>
      <c r="J390" s="33"/>
      <c r="K390" s="33"/>
    </row>
    <row r="391" spans="8:11" ht="14.25" customHeight="1" x14ac:dyDescent="0.3">
      <c r="H391" s="33"/>
      <c r="I391" s="33"/>
      <c r="J391" s="33"/>
      <c r="K391" s="33"/>
    </row>
    <row r="392" spans="8:11" ht="14.25" customHeight="1" x14ac:dyDescent="0.3">
      <c r="H392" s="33"/>
      <c r="I392" s="33"/>
      <c r="J392" s="33"/>
      <c r="K392" s="33"/>
    </row>
    <row r="393" spans="8:11" ht="14.25" customHeight="1" x14ac:dyDescent="0.3">
      <c r="H393" s="33"/>
      <c r="I393" s="33"/>
      <c r="J393" s="33"/>
      <c r="K393" s="33"/>
    </row>
    <row r="394" spans="8:11" ht="14.25" customHeight="1" x14ac:dyDescent="0.3">
      <c r="H394" s="33"/>
      <c r="I394" s="33"/>
      <c r="J394" s="33"/>
      <c r="K394" s="33"/>
    </row>
    <row r="395" spans="8:11" ht="14.25" customHeight="1" x14ac:dyDescent="0.3">
      <c r="H395" s="33"/>
      <c r="I395" s="33"/>
      <c r="J395" s="33"/>
      <c r="K395" s="33"/>
    </row>
    <row r="396" spans="8:11" ht="14.25" customHeight="1" x14ac:dyDescent="0.3">
      <c r="H396" s="33"/>
      <c r="I396" s="33"/>
      <c r="J396" s="33"/>
      <c r="K396" s="33"/>
    </row>
    <row r="397" spans="8:11" ht="14.25" customHeight="1" x14ac:dyDescent="0.3">
      <c r="H397" s="33"/>
      <c r="I397" s="33"/>
      <c r="J397" s="33"/>
      <c r="K397" s="33"/>
    </row>
    <row r="398" spans="8:11" ht="14.25" customHeight="1" x14ac:dyDescent="0.3">
      <c r="H398" s="33"/>
      <c r="I398" s="33"/>
      <c r="J398" s="33"/>
      <c r="K398" s="33"/>
    </row>
    <row r="399" spans="8:11" ht="14.25" customHeight="1" x14ac:dyDescent="0.3">
      <c r="H399" s="33"/>
      <c r="I399" s="33"/>
      <c r="J399" s="33"/>
      <c r="K399" s="33"/>
    </row>
    <row r="400" spans="8:11" ht="14.25" customHeight="1" x14ac:dyDescent="0.3">
      <c r="H400" s="33"/>
      <c r="I400" s="33"/>
      <c r="J400" s="33"/>
      <c r="K400" s="33"/>
    </row>
    <row r="401" spans="8:11" ht="14.25" customHeight="1" x14ac:dyDescent="0.3">
      <c r="H401" s="33"/>
      <c r="I401" s="33"/>
      <c r="J401" s="33"/>
      <c r="K401" s="33"/>
    </row>
  </sheetData>
  <mergeCells count="16">
    <mergeCell ref="C249:E249"/>
    <mergeCell ref="C154:E154"/>
    <mergeCell ref="C173:E173"/>
    <mergeCell ref="C192:E192"/>
    <mergeCell ref="C211:E211"/>
    <mergeCell ref="C230:E230"/>
    <mergeCell ref="C59:E59"/>
    <mergeCell ref="C78:E78"/>
    <mergeCell ref="C97:E97"/>
    <mergeCell ref="C116:E116"/>
    <mergeCell ref="C135:E135"/>
    <mergeCell ref="C3:E3"/>
    <mergeCell ref="H3:K3"/>
    <mergeCell ref="C21:E21"/>
    <mergeCell ref="H24:J25"/>
    <mergeCell ref="C40:E40"/>
  </mergeCells>
  <dataValidations count="1">
    <dataValidation type="list" allowBlank="1" sqref="H5:H20" xr:uid="{00000000-0002-0000-0200-000000000000}">
      <formula1>$H$5:$H$20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13 - 26 July</vt:lpstr>
      <vt:lpstr> 7-20-Sep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Yahya Qureshi</dc:creator>
  <dc:description/>
  <cp:lastModifiedBy>Yahya Qureshi</cp:lastModifiedBy>
  <cp:revision>0</cp:revision>
  <dcterms:created xsi:type="dcterms:W3CDTF">2015-06-05T18:17:20Z</dcterms:created>
  <dcterms:modified xsi:type="dcterms:W3CDTF">2026-09-24T11:24:58Z</dcterms:modified>
  <dc:language>en-US</dc:language>
</cp:coreProperties>
</file>